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hidden" name="SEEDDATA" sheetId="2" r:id="rId5"/>
    <sheet state="visible" name="Skills" sheetId="3" r:id="rId6"/>
    <sheet state="visible" name="Vitals" sheetId="4" r:id="rId7"/>
    <sheet state="visible" name="Inventory" sheetId="5" r:id="rId8"/>
    <sheet state="hidden" name="Munition Items" sheetId="6" r:id="rId9"/>
    <sheet state="hidden" name="EQUIPPED" sheetId="7" r:id="rId10"/>
    <sheet state="visible" name="Woven Spells" sheetId="8" r:id="rId11"/>
    <sheet state="visible" name="Exploit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Vitals!$J$28</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7"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4" name="WEIGHT">Inventory!$AI$38</definedName>
    <definedName name="STR">Main!$F$4</definedName>
    <definedName name="WOUNDSTREATED">Vitals!$I$15</definedName>
    <definedName localSheetId="8" name="WEIGHT">#REF!</definedName>
    <definedName name="RIGHTUPPERLEG">Vitals!$E$13:$E$14</definedName>
    <definedName name="STRAIN">#REF!</definedName>
  </definedNames>
  <calcPr/>
</workbook>
</file>

<file path=xl/sharedStrings.xml><?xml version="1.0" encoding="utf-8"?>
<sst xmlns="http://schemas.openxmlformats.org/spreadsheetml/2006/main" count="3130" uniqueCount="265">
  <si>
    <t>Irsos</t>
  </si>
  <si>
    <t>1 - Primitive</t>
  </si>
  <si>
    <t>1 - Destitute</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</si>
  <si>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</si>
  <si>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</si>
  <si>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</si>
  <si>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</si>
  <si>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</si>
  <si>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</si>
  <si>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</si>
  <si>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</si>
  <si>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</si>
  <si>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</si>
  <si>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</si>
  <si>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</si>
  <si>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</si>
  <si>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</si>
  <si>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</si>
  <si>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</si>
  <si>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</si>
  <si>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</si>
  <si>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</si>
  <si>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</si>
  <si>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</si>
  <si>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</si>
  <si>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</si>
  <si>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</si>
  <si>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RESIT MODS</t>
  </si>
  <si>
    <t>RESISTANCES</t>
  </si>
  <si>
    <t>MODS</t>
  </si>
  <si>
    <t>*Beta
(The Forgotten Ones)</t>
  </si>
  <si>
    <t>Male</t>
  </si>
  <si>
    <t>SEED</t>
  </si>
  <si>
    <t>SEX</t>
  </si>
  <si>
    <t>BEAUTY</t>
  </si>
  <si>
    <t>HOME</t>
  </si>
  <si>
    <t>HEIGHT</t>
  </si>
  <si>
    <t>WEIGHT</t>
  </si>
  <si>
    <t>HAIR &amp; EYES</t>
  </si>
  <si>
    <t>6 - Immortal</t>
  </si>
  <si>
    <t>1st</t>
  </si>
  <si>
    <t>None</t>
  </si>
  <si>
    <t>LIFE SPAN</t>
  </si>
  <si>
    <t>AGE</t>
  </si>
  <si>
    <t>BIRTH MONTH</t>
  </si>
  <si>
    <t>BIRTH DAY</t>
  </si>
  <si>
    <t>MONKEY PAW</t>
  </si>
  <si>
    <t>APPEARANCE</t>
  </si>
  <si>
    <t>GOALS &amp; VALUES</t>
  </si>
  <si>
    <t>KARMA</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</si>
  <si>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</si>
  <si>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</si>
  <si>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</si>
  <si>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</si>
  <si>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</si>
  <si>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</si>
  <si>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</si>
  <si>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</si>
  <si>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</si>
  <si>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</si>
  <si>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</si>
  <si>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</si>
  <si>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</si>
  <si>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</si>
  <si>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</si>
  <si>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</si>
  <si>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</si>
  <si>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</si>
  <si>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</si>
  <si>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</si>
  <si>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</si>
  <si>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</si>
  <si>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</si>
  <si>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</si>
  <si>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</si>
  <si>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</si>
  <si>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</si>
  <si>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</si>
  <si>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</si>
  <si>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</si>
  <si>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</si>
  <si>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</si>
  <si>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</si>
  <si>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</si>
  <si>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</si>
  <si>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</si>
  <si>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</si>
  <si>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</si>
  <si>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</si>
  <si>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</si>
  <si>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</si>
  <si>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</si>
  <si>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</si>
  <si>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</si>
  <si>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</si>
  <si>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</si>
  <si>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</si>
  <si>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</si>
  <si>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ATTUNEMENT</t>
  </si>
  <si>
    <t>RESOURCES</t>
  </si>
  <si>
    <t>BODY MANA</t>
  </si>
  <si>
    <t>Polearms</t>
  </si>
  <si>
    <t>CATALYST MANA</t>
  </si>
  <si>
    <t>Hammers &amp; Axes</t>
  </si>
  <si>
    <t>Firearms</t>
  </si>
  <si>
    <t>DEX CHA</t>
  </si>
  <si>
    <t>LEARNING MOD</t>
  </si>
  <si>
    <t>LEARNING</t>
  </si>
  <si>
    <t>Exotic Weapons</t>
  </si>
  <si>
    <t>STR DEX WIS</t>
  </si>
  <si>
    <t>SKILLS TOTAL KV</t>
  </si>
  <si>
    <t>Archery</t>
  </si>
  <si>
    <t>DEX CON WIS</t>
  </si>
  <si>
    <t>Unarmed</t>
  </si>
  <si>
    <t>PASSIVE TASKS</t>
  </si>
  <si>
    <t>PERFORMING ARTS</t>
  </si>
  <si>
    <t>TYPE</t>
  </si>
  <si>
    <t>TIME</t>
  </si>
  <si>
    <t>NOTES</t>
  </si>
  <si>
    <t>Music</t>
  </si>
  <si>
    <t>Drama</t>
  </si>
  <si>
    <t>DEX WIS CHA</t>
  </si>
  <si>
    <t>Dance</t>
  </si>
  <si>
    <t xml:space="preserve">STR DEX CHA </t>
  </si>
  <si>
    <t>VISUAL ARTS</t>
  </si>
  <si>
    <t>STATUS EFFECTS</t>
  </si>
  <si>
    <t>Sculpt</t>
  </si>
  <si>
    <t>Paint &amp; Draw</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</si>
  <si>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</si>
  <si>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</si>
  <si>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</si>
  <si>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</si>
  <si>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</si>
  <si>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</si>
  <si>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</si>
  <si>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</si>
  <si>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</si>
  <si>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</si>
  <si>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</si>
  <si>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</si>
  <si>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</si>
  <si>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</si>
  <si>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</si>
  <si>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</si>
  <si>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</si>
  <si>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</si>
  <si>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</si>
  <si>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</si>
  <si>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</si>
  <si>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</si>
  <si>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</si>
  <si>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</si>
  <si>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</si>
  <si>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</si>
  <si>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</si>
  <si>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</si>
  <si>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</si>
  <si>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</si>
  <si>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</si>
  <si>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</si>
  <si>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</si>
  <si>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</si>
  <si>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</si>
  <si>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</si>
  <si>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</si>
  <si>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</si>
  <si>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</si>
  <si>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</si>
  <si>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</si>
  <si>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</si>
  <si>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Vitals</t>
  </si>
  <si>
    <t>Undamaged</t>
  </si>
  <si>
    <t xml:space="preserve"> </t>
  </si>
  <si>
    <t>BODY</t>
  </si>
  <si>
    <t>CLOTHING</t>
  </si>
  <si>
    <t>LIGHT ARMOR</t>
  </si>
  <si>
    <t>HEAVY ARMOR</t>
  </si>
  <si>
    <t>MAX</t>
  </si>
  <si>
    <t>DEAD</t>
  </si>
  <si>
    <t>Wounds Treated</t>
  </si>
  <si>
    <t>CURRENT</t>
  </si>
  <si>
    <t>WOUNDED</t>
  </si>
  <si>
    <t>UNCONCIOUS</t>
  </si>
  <si>
    <t>FORTITUDE</t>
  </si>
  <si>
    <t>HEAL RATE</t>
  </si>
  <si>
    <t>APT</t>
  </si>
  <si>
    <t>SPEED</t>
  </si>
  <si>
    <t>JUMP</t>
  </si>
  <si>
    <t>UNARMED DMG</t>
  </si>
  <si>
    <t>SPELL CONTROL</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</si>
  <si>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</si>
  <si>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</si>
  <si>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</si>
  <si>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</si>
  <si>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</si>
  <si>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</si>
  <si>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</si>
  <si>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</si>
  <si>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</si>
  <si>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</si>
  <si>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</si>
  <si>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</si>
  <si>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</si>
  <si>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</si>
  <si>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</si>
  <si>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</si>
  <si>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</si>
  <si>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</si>
  <si>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</si>
  <si>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</si>
  <si>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</si>
  <si>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</si>
  <si>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</si>
  <si>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</si>
  <si>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</si>
  <si>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</si>
  <si>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</si>
  <si>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</si>
  <si>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</si>
  <si>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</si>
  <si>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t>
  </si>
  <si>
    <t>WEIGHT STATUS</t>
  </si>
  <si>
    <t>CARRY LEVEL</t>
  </si>
  <si>
    <t>Woven Spells</t>
  </si>
  <si>
    <t>KARMA SPENT SPELLWEAVING</t>
  </si>
  <si>
    <t>MONTHS SPENT SPELLWEAVING</t>
  </si>
  <si>
    <t>DOMAINS</t>
  </si>
  <si>
    <t>DR</t>
  </si>
  <si>
    <t>CASTING SPEED</t>
  </si>
  <si>
    <t>REQS</t>
  </si>
  <si>
    <t>DURATION</t>
  </si>
  <si>
    <t>TARGETS</t>
  </si>
  <si>
    <t>DESCRIPTION</t>
  </si>
  <si>
    <t>CAST DR</t>
  </si>
  <si>
    <t>ALTERATION</t>
  </si>
  <si>
    <t>RESTORATION</t>
  </si>
  <si>
    <t>ENCHANTMENT</t>
  </si>
  <si>
    <t>DIVINATION</t>
  </si>
  <si>
    <t>DISSOLUTION</t>
  </si>
  <si>
    <t>ABJURATION</t>
  </si>
  <si>
    <t>ILLUSION</t>
  </si>
  <si>
    <t>FORTUNE</t>
  </si>
  <si>
    <t>FORCE</t>
  </si>
  <si>
    <t>CONJURATION</t>
  </si>
  <si>
    <t>RAW</t>
  </si>
  <si>
    <t>REDUCTION</t>
  </si>
  <si>
    <t>RESIST</t>
  </si>
  <si>
    <t>VERBAL</t>
  </si>
  <si>
    <t>SOMATIC</t>
  </si>
  <si>
    <t>C/D</t>
  </si>
  <si>
    <t>+</t>
  </si>
  <si>
    <t>Exploits</t>
  </si>
  <si>
    <t>X</t>
  </si>
  <si>
    <t>KV</t>
  </si>
  <si>
    <t>Notes</t>
  </si>
  <si>
    <t>ROOT</t>
  </si>
  <si>
    <t>BRANCHES</t>
  </si>
  <si>
    <t>THORNS</t>
  </si>
  <si>
    <t>BLOSSOMS</t>
  </si>
  <si>
    <t>Portrait picture URL:
(8x10) Ratio</t>
  </si>
  <si>
    <t>https://docs.google.com/uc?export=view&amp;id=1QhP4TqwU_VUD0HXZxcP6oQ1kF3xh3dMf</t>
  </si>
  <si>
    <t>Unlock 4th Goal&amp;Value:</t>
  </si>
  <si>
    <t>Unlock 5th Goal&amp;Value:</t>
  </si>
  <si>
    <t>KV Mod:</t>
  </si>
  <si>
    <t>Fast Learner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</si>
</sst>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8">
    <font>
      <sz val="10.0"/>
      <color rgb="FF000000"/>
      <name val="Arial"/>
    </font>
    <font>
      <name val="Inknut Antiqua"/>
    </font>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sz val="12.0"/>
      <name val="Inknut Antiqua"/>
    </font>
    <font>
      <color rgb="FF582A72"/>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8.0"/>
      <color rgb="FFFBFBEC"/>
      <name val="Montserrat"/>
    </font>
    <font>
      <b/>
      <sz val="18.0"/>
      <color rgb="FF582A72"/>
      <name val="Montserrat"/>
    </font>
    <font>
      <sz val="9.0"/>
      <color rgb="FF582A72"/>
      <name val="Montserrat"/>
    </font>
    <font>
      <sz val="18.0"/>
      <color rgb="FF582A72"/>
      <name val="Inknut Antiqua"/>
    </font>
    <font>
      <sz val="10.0"/>
      <color rgb="FFF3F3F3"/>
      <name val="Montserrat"/>
    </font>
    <font>
      <sz val="10.0"/>
      <color rgb="FF582A72"/>
      <name val="&quot;Inknut Antiqua&quot;"/>
    </font>
    <font>
      <name val="Arial"/>
    </font>
    <font>
      <name val="Montserrat"/>
    </font>
    <font>
      <color rgb="FF582A72"/>
      <name val="Montserrat"/>
    </font>
    <font>
      <sz val="8.0"/>
      <color rgb="FF582A72"/>
      <name val="Inknut Antiqua"/>
    </font>
    <font>
      <color rgb="FF582A72"/>
    </font>
    <font>
      <sz val="14.0"/>
      <color rgb="FFADB39E"/>
      <name val="Inknut Antiqua"/>
    </font>
    <font>
      <sz val="11.0"/>
      <color rgb="FF582A72"/>
      <name val="Inknut Antiqua"/>
    </font>
    <font>
      <b/>
      <sz val="9.0"/>
      <color rgb="FF582A72"/>
      <name val="Montserrat"/>
    </font>
    <font>
      <color rgb="FFADB39E"/>
    </font>
    <font>
      <sz val="24.0"/>
      <color rgb="FF0B8043"/>
      <name val="Inknut Antiqua"/>
    </font>
    <font>
      <sz val="6.0"/>
      <color rgb="FFFBFBEC"/>
      <name val="Inknut Antiqua"/>
    </font>
    <font>
      <sz val="24.0"/>
      <color rgb="FFFBFBEC"/>
      <name val="Inknut Antiqua"/>
    </font>
    <font>
      <color rgb="FFFBFBEC"/>
      <name val="Montserrat"/>
    </font>
    <font>
      <sz val="9.0"/>
      <color rgb="FF596750"/>
      <name val="Inknut Antiqua"/>
    </font>
    <font>
      <sz val="10.0"/>
      <name val="Inknut Antiqua"/>
    </font>
    <font>
      <sz val="10.0"/>
      <color rgb="FFFFFFFF"/>
      <name val="Montserrat"/>
    </font>
    <font>
      <color rgb="FFFFFFFF"/>
      <name val="Inknut Antiqua"/>
    </font>
    <font>
      <sz val="11.0"/>
      <color rgb="FF000000"/>
      <name val="Inconsolata"/>
    </font>
    <font>
      <sz val="7.0"/>
      <color rgb="FFFBFBEC"/>
      <name val="Montserrat"/>
    </font>
    <font>
      <b/>
      <sz val="9.0"/>
      <color rgb="FF582A72"/>
      <name val="Inknut Antiqua"/>
    </font>
    <font>
      <b/>
      <sz val="18.0"/>
      <color rgb="FF582A72"/>
      <name val="&quot;Inknut Antiqua&quot;"/>
    </font>
    <font>
      <b/>
      <sz val="12.0"/>
      <color rgb="FF582A72"/>
      <name val="&quot;Inknut Antiqua&quot;"/>
    </font>
    <font>
      <b/>
      <color rgb="FF582A72"/>
      <name val="Inknut Antiqua"/>
    </font>
    <font>
      <b/>
      <sz val="10.0"/>
      <color rgb="FF582A72"/>
      <name val="Inknut Antiqua"/>
    </font>
    <font>
      <sz val="14.0"/>
      <name val="Montserrat"/>
    </font>
    <font>
      <color rgb="FF000000"/>
      <name val="Montserrat"/>
    </font>
    <font>
      <color rgb="FF000000"/>
    </font>
    <font>
      <b/>
      <color rgb="FF582A72"/>
      <name val="Montserrat"/>
    </font>
    <font>
      <u/>
      <color rgb="FF0000FF"/>
      <name val="Inknut Antiqua"/>
    </font>
  </fonts>
  <fills count="18">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
      <patternFill patternType="solid">
        <fgColor rgb="FFD9EAD3"/>
        <bgColor rgb="FFD9EAD3"/>
      </patternFill>
    </fill>
  </fills>
  <borders count="55">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82A72"/>
      </left>
      <right style="thin">
        <color rgb="FF582A72"/>
      </right>
      <top style="thin">
        <color rgb="FF582A72"/>
      </top>
    </border>
    <border>
      <left style="thin">
        <color rgb="FF582A72"/>
      </left>
      <right style="thin">
        <color rgb="FF582A72"/>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53">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horizontal="center" readingOrder="0" vertical="center"/>
    </xf>
    <xf borderId="0" fillId="8" fontId="8" numFmtId="0" xfId="0" applyAlignment="1" applyFont="1">
      <alignment horizontal="center" readingOrder="0" shrinkToFit="0" vertical="top" wrapText="1"/>
    </xf>
    <xf borderId="6" fillId="0" fontId="2" numFmtId="0" xfId="0" applyBorder="1" applyFont="1"/>
    <xf borderId="7" fillId="3" fontId="9" numFmtId="0" xfId="0" applyAlignment="1" applyBorder="1" applyFont="1">
      <alignment horizontal="right" readingOrder="0" vertical="center"/>
    </xf>
    <xf borderId="8" fillId="0" fontId="2" numFmtId="0" xfId="0" applyBorder="1" applyFont="1"/>
    <xf borderId="8" fillId="5" fontId="10" numFmtId="0" xfId="0" applyAlignment="1" applyBorder="1" applyFont="1">
      <alignment horizontal="center" readingOrder="0" vertical="center"/>
    </xf>
    <xf borderId="9" fillId="9"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9"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2"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9" fontId="11" numFmtId="0" xfId="0" applyAlignment="1" applyBorder="1" applyFont="1">
      <alignment horizontal="center" vertical="center"/>
    </xf>
    <xf borderId="0" fillId="6" fontId="6" numFmtId="0" xfId="0" applyAlignment="1" applyFont="1">
      <alignment horizontal="center" readingOrder="0" vertical="center"/>
    </xf>
    <xf borderId="0" fillId="9" fontId="12" numFmtId="0" xfId="0" applyAlignment="1" applyFont="1">
      <alignment horizontal="center" vertical="center"/>
    </xf>
    <xf borderId="0" fillId="3" fontId="13" numFmtId="0" xfId="0" applyAlignment="1" applyFont="1">
      <alignment horizontal="left" readingOrder="0" vertical="center"/>
    </xf>
    <xf borderId="11" fillId="0" fontId="2" numFmtId="0" xfId="0" applyBorder="1" applyFont="1"/>
    <xf borderId="10" fillId="10" fontId="8" numFmtId="0" xfId="0" applyAlignment="1" applyBorder="1" applyFill="1" applyFont="1">
      <alignment horizontal="center" readingOrder="0" shrinkToFit="0" vertical="top" wrapText="1"/>
    </xf>
    <xf borderId="11" fillId="10"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1" fontId="9" numFmtId="0" xfId="0" applyAlignment="1" applyBorder="1" applyFill="1" applyFont="1">
      <alignment horizontal="right" readingOrder="0" vertical="center"/>
    </xf>
    <xf borderId="0" fillId="11" fontId="13" numFmtId="0" xfId="0" applyAlignment="1" applyFont="1">
      <alignment horizontal="left" readingOrder="0" vertical="center"/>
    </xf>
    <xf borderId="11" fillId="12"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1" fontId="9" numFmtId="0" xfId="0" applyAlignment="1" applyBorder="1" applyFont="1">
      <alignment horizontal="right" readingOrder="0" vertical="center"/>
    </xf>
    <xf borderId="13" fillId="0" fontId="2" numFmtId="0" xfId="0" applyBorder="1" applyFont="1"/>
    <xf borderId="13" fillId="6" fontId="10" numFmtId="0" xfId="0" applyAlignment="1" applyBorder="1" applyFont="1">
      <alignment horizontal="center" readingOrder="0" vertical="center"/>
    </xf>
    <xf borderId="14" fillId="12" fontId="11" numFmtId="0" xfId="0" applyAlignment="1" applyBorder="1" applyFont="1">
      <alignment horizontal="center" vertical="center"/>
    </xf>
    <xf borderId="13" fillId="6" fontId="6" numFmtId="0" xfId="0" applyAlignment="1" applyBorder="1" applyFont="1">
      <alignment horizontal="center" readingOrder="0" vertical="center"/>
    </xf>
    <xf borderId="13" fillId="9" fontId="12" numFmtId="0" xfId="0" applyAlignment="1" applyBorder="1" applyFont="1">
      <alignment horizontal="center" vertical="center"/>
    </xf>
    <xf borderId="13" fillId="11" fontId="13" numFmtId="0" xfId="0" applyAlignment="1" applyBorder="1" applyFont="1">
      <alignment horizontal="left" readingOrder="0" vertical="center"/>
    </xf>
    <xf borderId="14" fillId="0" fontId="2" numFmtId="0" xfId="0" applyBorder="1" applyFont="1"/>
    <xf borderId="12" fillId="10" fontId="8" numFmtId="0" xfId="0" applyAlignment="1" applyBorder="1" applyFont="1">
      <alignment horizontal="center" readingOrder="0" shrinkToFit="0" vertical="top" wrapText="1"/>
    </xf>
    <xf borderId="14" fillId="10" fontId="8" numFmtId="0" xfId="0" applyAlignment="1" applyBorder="1" applyFont="1">
      <alignment horizontal="center" readingOrder="0" vertical="top"/>
    </xf>
    <xf borderId="0" fillId="8" fontId="1"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2" numFmtId="0" xfId="0" applyFont="1"/>
    <xf borderId="0" fillId="6" fontId="2" numFmtId="0" xfId="0" applyFont="1"/>
    <xf borderId="16" fillId="6"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vertical="center" wrapText="1"/>
    </xf>
    <xf borderId="18" fillId="0" fontId="2" numFmtId="0" xfId="0" applyBorder="1" applyFont="1"/>
    <xf borderId="0" fillId="10" fontId="15" numFmtId="0" xfId="0" applyAlignment="1" applyFont="1">
      <alignment horizontal="center" readingOrder="0" shrinkToFit="0" vertical="center" wrapText="1"/>
    </xf>
    <xf borderId="16" fillId="5" fontId="14" numFmtId="0" xfId="0" applyAlignment="1" applyBorder="1" applyFont="1">
      <alignment horizontal="center" readingOrder="0" vertical="center"/>
    </xf>
    <xf borderId="18" fillId="5" fontId="14" numFmtId="0" xfId="0" applyAlignment="1" applyBorder="1" applyFont="1">
      <alignment horizontal="center" readingOrder="0" shrinkToFit="0" vertical="center" wrapText="1"/>
    </xf>
    <xf borderId="0" fillId="10" fontId="1" numFmtId="0" xfId="0" applyAlignment="1" applyFont="1">
      <alignment readingOrder="0"/>
    </xf>
    <xf borderId="19" fillId="8" fontId="8" numFmtId="0" xfId="0" applyAlignment="1" applyBorder="1" applyFont="1">
      <alignment horizontal="center" readingOrder="0" shrinkToFit="0" vertical="top" wrapText="1"/>
    </xf>
    <xf borderId="20" fillId="0" fontId="2" numFmtId="0" xfId="0" applyBorder="1" applyFont="1"/>
    <xf borderId="20" fillId="8"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4" numFmtId="0" xfId="0" applyAlignment="1" applyBorder="1" applyFont="1">
      <alignment horizontal="center" readingOrder="0" shrinkToFit="0" vertical="center" wrapText="1"/>
    </xf>
    <xf borderId="22" fillId="6" fontId="16"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4" numFmtId="0" xfId="0" applyAlignment="1" applyBorder="1" applyFont="1">
      <alignment horizontal="left" readingOrder="0" shrinkToFit="0" vertical="top" wrapText="1"/>
    </xf>
    <xf borderId="0" fillId="10" fontId="8" numFmtId="0" xfId="0" applyAlignment="1" applyFont="1">
      <alignment horizontal="center" readingOrder="0" shrinkToFit="0" vertical="top" wrapText="1"/>
    </xf>
    <xf borderId="0" fillId="10" fontId="8" numFmtId="0" xfId="0" applyAlignment="1" applyFont="1">
      <alignment horizontal="center" shrinkToFit="0" vertical="top" wrapText="1"/>
    </xf>
    <xf borderId="19" fillId="0" fontId="2" numFmtId="0" xfId="0" applyBorder="1" applyFont="1"/>
    <xf borderId="0" fillId="10" fontId="18" numFmtId="0" xfId="0" applyAlignment="1" applyFont="1">
      <alignment horizontal="center" readingOrder="0"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6" fillId="5" fontId="10" numFmtId="0" xfId="0" applyAlignment="1" applyBorder="1" applyFont="1">
      <alignment horizontal="center" readingOrder="0" vertical="center"/>
    </xf>
    <xf borderId="17" fillId="0" fontId="2" numFmtId="0" xfId="0" applyBorder="1" applyFont="1"/>
    <xf borderId="21" fillId="3" fontId="13" numFmtId="0" xfId="0" applyAlignment="1" applyBorder="1" applyFont="1">
      <alignment horizontal="center" readingOrder="0" vertical="center"/>
    </xf>
    <xf borderId="0" fillId="10" fontId="2" numFmtId="0" xfId="0" applyFont="1"/>
    <xf borderId="25" fillId="5" fontId="1" numFmtId="0" xfId="0" applyAlignment="1" applyBorder="1" applyFont="1">
      <alignment readingOrder="0"/>
    </xf>
    <xf borderId="19" fillId="6" fontId="10" numFmtId="0" xfId="0" applyAlignment="1" applyBorder="1" applyFont="1">
      <alignment horizontal="center" readingOrder="0" shrinkToFit="0" vertical="center" wrapText="1"/>
    </xf>
    <xf borderId="19" fillId="5" fontId="10" numFmtId="0" xfId="0" applyAlignment="1" applyBorder="1" applyFont="1">
      <alignment horizontal="center" readingOrder="0" vertical="center"/>
    </xf>
    <xf borderId="16" fillId="5" fontId="5" numFmtId="0" xfId="0" applyAlignment="1" applyBorder="1" applyFont="1">
      <alignment horizontal="center" readingOrder="0" shrinkToFit="0" vertical="center" wrapText="1"/>
    </xf>
    <xf borderId="24" fillId="10" fontId="1" numFmtId="0" xfId="0" applyAlignment="1" applyBorder="1" applyFont="1">
      <alignment readingOrder="0"/>
    </xf>
    <xf borderId="21" fillId="5" fontId="10" numFmtId="0" xfId="0" applyAlignment="1" applyBorder="1" applyFont="1">
      <alignment horizontal="center" readingOrder="0" vertical="center"/>
    </xf>
    <xf borderId="26" fillId="6" fontId="1" numFmtId="0" xfId="0" applyAlignment="1" applyBorder="1" applyFont="1">
      <alignment readingOrder="0"/>
    </xf>
    <xf borderId="27" fillId="3" fontId="13" numFmtId="0" xfId="0" applyAlignment="1" applyBorder="1" applyFont="1">
      <alignment horizontal="center" readingOrder="0" vertical="center"/>
    </xf>
    <xf borderId="26" fillId="0" fontId="2" numFmtId="0" xfId="0" applyBorder="1" applyFont="1"/>
    <xf borderId="28" fillId="2" fontId="1" numFmtId="0" xfId="0" applyAlignment="1" applyBorder="1" applyFont="1">
      <alignment readingOrder="0"/>
    </xf>
    <xf borderId="28" fillId="0" fontId="2" numFmtId="0" xfId="0" applyBorder="1" applyFont="1"/>
    <xf borderId="0" fillId="0" fontId="2" numFmtId="0" xfId="0" applyAlignment="1" applyFont="1">
      <alignment readingOrder="0"/>
    </xf>
    <xf borderId="0" fillId="9" fontId="7" numFmtId="0" xfId="0" applyAlignment="1" applyFont="1">
      <alignment horizontal="center" readingOrder="0" vertical="center"/>
    </xf>
    <xf borderId="0" fillId="8" fontId="19" numFmtId="0" xfId="0" applyAlignment="1" applyFont="1">
      <alignment horizontal="left" readingOrder="0" vertical="top"/>
    </xf>
    <xf borderId="0" fillId="7" fontId="19" numFmtId="0" xfId="0" applyAlignment="1" applyFont="1">
      <alignment horizontal="left" readingOrder="0" vertical="top"/>
    </xf>
    <xf borderId="0" fillId="11" fontId="7" numFmtId="0" xfId="0" applyAlignment="1" applyFont="1">
      <alignment horizontal="center" readingOrder="0" vertical="center"/>
    </xf>
    <xf borderId="0" fillId="8" fontId="2" numFmtId="0" xfId="0" applyFont="1"/>
    <xf borderId="0" fillId="8" fontId="20" numFmtId="0" xfId="0" applyAlignment="1" applyFont="1">
      <alignment horizontal="center" readingOrder="0" vertical="bottom"/>
    </xf>
    <xf borderId="0" fillId="8" fontId="20" numFmtId="0" xfId="0" applyAlignment="1" applyFont="1">
      <alignment horizontal="center" readingOrder="0" shrinkToFit="0" vertical="bottom" wrapText="1"/>
    </xf>
    <xf borderId="0" fillId="7" fontId="1" numFmtId="0" xfId="0" applyFont="1"/>
    <xf borderId="0" fillId="2" fontId="1" numFmtId="0" xfId="0" applyFont="1"/>
    <xf borderId="0" fillId="2" fontId="21" numFmtId="0" xfId="0" applyAlignment="1" applyFont="1">
      <alignment horizontal="center" readingOrder="0" shrinkToFit="0" vertical="center" wrapText="1"/>
    </xf>
    <xf borderId="16" fillId="13" fontId="22" numFmtId="0" xfId="0" applyAlignment="1" applyBorder="1" applyFill="1" applyFont="1">
      <alignment horizontal="center" readingOrder="0" shrinkToFit="0" vertical="center" wrapText="1"/>
    </xf>
    <xf borderId="0" fillId="6" fontId="1" numFmtId="0" xfId="0" applyFont="1"/>
    <xf borderId="16" fillId="9" fontId="22" numFmtId="0" xfId="0" applyAlignment="1" applyBorder="1" applyFont="1">
      <alignment horizontal="center" readingOrder="0" shrinkToFit="0" vertical="center" wrapText="1"/>
    </xf>
    <xf borderId="19" fillId="10"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0" fontId="23" numFmtId="0" xfId="0" applyAlignment="1" applyFont="1">
      <alignment horizontal="center" readingOrder="0" shrinkToFit="0" vertical="center" wrapText="1"/>
    </xf>
    <xf borderId="0" fillId="10" fontId="20" numFmtId="0" xfId="0" applyAlignment="1" applyFont="1">
      <alignment horizontal="center" shrinkToFit="0" vertical="center" wrapText="1"/>
    </xf>
    <xf borderId="0" fillId="10" fontId="20" numFmtId="0" xfId="0" applyAlignment="1" applyFont="1">
      <alignment vertical="center"/>
    </xf>
    <xf borderId="29" fillId="0" fontId="14" numFmtId="0" xfId="0" applyAlignment="1" applyBorder="1" applyFont="1">
      <alignment horizontal="center" readingOrder="0" vertical="center"/>
    </xf>
    <xf borderId="0" fillId="9" fontId="24" numFmtId="0" xfId="0" applyAlignment="1" applyFont="1">
      <alignment horizontal="center" readingOrder="0" shrinkToFit="0" vertical="center" wrapText="1"/>
    </xf>
    <xf borderId="0" fillId="10" fontId="24" numFmtId="0" xfId="0" applyAlignment="1" applyFont="1">
      <alignment horizontal="center" readingOrder="0" shrinkToFit="0" vertical="center" wrapText="1"/>
    </xf>
    <xf borderId="0" fillId="0" fontId="24" numFmtId="0" xfId="0" applyAlignment="1" applyFont="1">
      <alignment horizontal="center" vertical="center"/>
    </xf>
    <xf borderId="20" fillId="0" fontId="10" numFmtId="0" xfId="0" applyAlignment="1" applyBorder="1" applyFont="1">
      <alignment horizontal="center" readingOrder="0" shrinkToFit="0" vertical="center" wrapText="1"/>
    </xf>
    <xf borderId="19" fillId="11" fontId="25" numFmtId="0" xfId="0" applyAlignment="1" applyBorder="1" applyFont="1">
      <alignment horizontal="center" readingOrder="0" shrinkToFit="0" vertical="center" wrapText="1"/>
    </xf>
    <xf borderId="0" fillId="12" fontId="26" numFmtId="0" xfId="0" applyAlignment="1" applyFont="1">
      <alignment horizontal="center" readingOrder="0" shrinkToFit="0" vertical="center" wrapText="1"/>
    </xf>
    <xf borderId="29" fillId="6" fontId="14" numFmtId="0" xfId="0" applyAlignment="1" applyBorder="1" applyFont="1">
      <alignment horizontal="center" readingOrder="0" shrinkToFit="0" vertical="center" wrapText="1"/>
    </xf>
    <xf borderId="0" fillId="3" fontId="24" numFmtId="0" xfId="0" applyAlignment="1" applyFont="1">
      <alignment horizontal="center" shrinkToFit="0" vertical="center" wrapText="1"/>
    </xf>
    <xf borderId="0" fillId="10" fontId="24"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19" fillId="10" fontId="8" numFmtId="0" xfId="0" applyAlignment="1" applyBorder="1" applyFont="1">
      <alignment horizontal="center" readingOrder="0" shrinkToFit="0" vertical="center" wrapText="1"/>
    </xf>
    <xf borderId="21" fillId="11" fontId="25" numFmtId="0" xfId="0" applyAlignment="1" applyBorder="1" applyFont="1">
      <alignment horizontal="center" readingOrder="0" shrinkToFit="0" vertical="center" wrapText="1"/>
    </xf>
    <xf borderId="22" fillId="12" fontId="26"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24" numFmtId="0" xfId="0" applyAlignment="1" applyBorder="1" applyFont="1">
      <alignment horizontal="center" shrinkToFit="0" vertical="center" wrapText="1"/>
    </xf>
    <xf borderId="22" fillId="10" fontId="24"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0"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0" fontId="23" numFmtId="0" xfId="0" applyAlignment="1" applyBorder="1" applyFont="1">
      <alignment horizontal="center" readingOrder="0" shrinkToFit="0" vertical="center" wrapText="1"/>
    </xf>
    <xf borderId="22" fillId="10" fontId="20"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9" fontId="24" numFmtId="0" xfId="0" applyAlignment="1" applyBorder="1" applyFont="1">
      <alignment horizontal="center" readingOrder="0" shrinkToFit="0" vertical="center" wrapText="1"/>
    </xf>
    <xf borderId="22" fillId="10" fontId="24" numFmtId="0" xfId="0" applyAlignment="1" applyBorder="1" applyFont="1">
      <alignment horizontal="center" readingOrder="0" shrinkToFit="0" vertical="center" wrapText="1"/>
    </xf>
    <xf borderId="22" fillId="0" fontId="24"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26" numFmtId="0" xfId="0" applyAlignment="1" applyFont="1">
      <alignment horizontal="center" readingOrder="0" shrinkToFit="0" vertical="center" wrapText="1"/>
    </xf>
    <xf borderId="20" fillId="14" fontId="10" numFmtId="0" xfId="0" applyAlignment="1" applyBorder="1" applyFill="1" applyFont="1">
      <alignment horizontal="center" readingOrder="0" shrinkToFit="0" vertical="center" wrapText="1"/>
    </xf>
    <xf borderId="0" fillId="9" fontId="24" numFmtId="0" xfId="0" applyAlignment="1" applyFont="1">
      <alignment horizontal="center" shrinkToFit="0" wrapText="1"/>
    </xf>
    <xf borderId="0" fillId="0" fontId="24" numFmtId="0" xfId="0" applyAlignment="1" applyFont="1">
      <alignment horizontal="center" shrinkToFit="0" vertical="center" wrapText="1"/>
    </xf>
    <xf borderId="22" fillId="5" fontId="26" numFmtId="0" xfId="0" applyAlignment="1" applyBorder="1" applyFont="1">
      <alignment horizontal="center" readingOrder="0" shrinkToFit="0" vertical="center" wrapText="1"/>
    </xf>
    <xf borderId="23" fillId="14" fontId="10" numFmtId="0" xfId="0" applyAlignment="1" applyBorder="1" applyFont="1">
      <alignment horizontal="center" readingOrder="0" shrinkToFit="0" vertical="center" wrapText="1"/>
    </xf>
    <xf borderId="0" fillId="15" fontId="26" numFmtId="0" xfId="0" applyAlignment="1" applyFill="1" applyFont="1">
      <alignment horizontal="center" readingOrder="0" shrinkToFit="0" vertical="center" wrapText="1"/>
    </xf>
    <xf borderId="30" fillId="0" fontId="14" numFmtId="0" xfId="0" applyAlignment="1" applyBorder="1" applyFont="1">
      <alignment horizontal="center" readingOrder="0" vertical="center"/>
    </xf>
    <xf borderId="22" fillId="15" fontId="26" numFmtId="0" xfId="0" applyAlignment="1" applyBorder="1" applyFont="1">
      <alignment horizontal="center" readingOrder="0" shrinkToFit="0" vertical="center" wrapText="1"/>
    </xf>
    <xf borderId="20" fillId="11" fontId="14" numFmtId="0" xfId="0" applyAlignment="1" applyBorder="1" applyFont="1">
      <alignment horizontal="center" readingOrder="0" shrinkToFit="0" vertical="center" wrapText="1"/>
    </xf>
    <xf borderId="0" fillId="8" fontId="27" numFmtId="0" xfId="0" applyAlignment="1" applyFont="1">
      <alignment horizontal="center" readingOrder="0" shrinkToFit="0" vertical="center" wrapText="1"/>
    </xf>
    <xf borderId="16" fillId="10" fontId="8" numFmtId="0" xfId="0" applyAlignment="1" applyBorder="1" applyFont="1">
      <alignment horizontal="center" readingOrder="0" shrinkToFit="0" textRotation="180" vertical="center" wrapText="1"/>
    </xf>
    <xf borderId="32" fillId="10" fontId="8" numFmtId="0" xfId="0" applyAlignment="1" applyBorder="1" applyFont="1">
      <alignment horizontal="center" readingOrder="0" shrinkToFit="0" vertical="center" wrapText="1"/>
    </xf>
    <xf borderId="32" fillId="5" fontId="28" numFmtId="0" xfId="0" applyAlignment="1" applyBorder="1" applyFont="1">
      <alignment horizontal="center" shrinkToFit="0" vertical="center" wrapText="1"/>
    </xf>
    <xf borderId="32" fillId="5" fontId="28" numFmtId="0" xfId="0" applyAlignment="1" applyBorder="1" applyFont="1">
      <alignment horizontal="center" readingOrder="0" shrinkToFit="0" vertical="center" wrapText="1"/>
    </xf>
    <xf borderId="20" fillId="0" fontId="10" numFmtId="0" xfId="0" applyAlignment="1" applyBorder="1" applyFont="1">
      <alignment horizontal="center" shrinkToFit="0" vertical="center" wrapText="1"/>
    </xf>
    <xf borderId="33" fillId="6" fontId="16" numFmtId="0" xfId="0" applyAlignment="1" applyBorder="1" applyFont="1">
      <alignment horizontal="center" readingOrder="0" vertical="center"/>
    </xf>
    <xf borderId="34" fillId="5" fontId="14" numFmtId="0" xfId="0" applyAlignment="1" applyBorder="1" applyFont="1">
      <alignment horizontal="center" vertical="center"/>
    </xf>
    <xf borderId="32" fillId="6" fontId="28" numFmtId="0" xfId="0" applyAlignment="1" applyBorder="1" applyFont="1">
      <alignment horizontal="center" shrinkToFit="0" vertical="center" wrapText="1"/>
    </xf>
    <xf borderId="32" fillId="6" fontId="28" numFmtId="0" xfId="0" applyAlignment="1" applyBorder="1" applyFont="1">
      <alignment horizontal="center" readingOrder="0" shrinkToFit="0" vertical="center" wrapText="1"/>
    </xf>
    <xf borderId="0" fillId="8" fontId="29" numFmtId="0" xfId="0" applyFont="1"/>
    <xf borderId="35" fillId="0" fontId="2" numFmtId="0" xfId="0" applyBorder="1" applyFont="1"/>
    <xf borderId="36" fillId="0" fontId="2" numFmtId="0" xfId="0" applyBorder="1" applyFont="1"/>
    <xf borderId="37" fillId="10" fontId="8" numFmtId="0" xfId="0" applyAlignment="1" applyBorder="1" applyFont="1">
      <alignment horizontal="center" readingOrder="0" shrinkToFit="0" vertical="center" wrapText="1"/>
    </xf>
    <xf borderId="38" fillId="10" fontId="8" numFmtId="0" xfId="0" applyAlignment="1" applyBorder="1" applyFont="1">
      <alignment horizontal="center" readingOrder="0" vertical="center"/>
    </xf>
    <xf borderId="21" fillId="10" fontId="8" numFmtId="0" xfId="0" applyAlignment="1" applyBorder="1" applyFont="1">
      <alignment horizontal="center" readingOrder="0" shrinkToFit="0" vertical="center" wrapText="1"/>
    </xf>
    <xf borderId="23" fillId="5" fontId="14" numFmtId="0" xfId="0" applyAlignment="1" applyBorder="1" applyFont="1">
      <alignment horizontal="center" vertical="center"/>
    </xf>
    <xf borderId="23" fillId="0" fontId="10" numFmtId="0" xfId="0" applyAlignment="1" applyBorder="1" applyFont="1">
      <alignment horizontal="center" shrinkToFit="0" vertical="center" wrapText="1"/>
    </xf>
    <xf borderId="16" fillId="3" fontId="22" numFmtId="0" xfId="0" applyAlignment="1" applyBorder="1" applyFont="1">
      <alignment horizontal="center" readingOrder="0" vertical="center"/>
    </xf>
    <xf borderId="19" fillId="8" fontId="2" numFmtId="0" xfId="0" applyBorder="1" applyFont="1"/>
    <xf borderId="0" fillId="10" fontId="8" numFmtId="0" xfId="0" applyAlignment="1" applyFont="1">
      <alignment horizontal="center" readingOrder="0" vertical="center"/>
    </xf>
    <xf borderId="20" fillId="8" fontId="30" numFmtId="0" xfId="0" applyBorder="1" applyFont="1"/>
    <xf borderId="29" fillId="0" fontId="14" numFmtId="0" xfId="0" applyAlignment="1" applyBorder="1" applyFont="1">
      <alignment horizontal="center" readingOrder="0" vertical="center"/>
    </xf>
    <xf borderId="0" fillId="3" fontId="24" numFmtId="0" xfId="0" applyAlignment="1" applyFont="1">
      <alignment horizontal="center" readingOrder="0" shrinkToFit="0" vertical="center" wrapText="1"/>
    </xf>
    <xf borderId="0" fillId="16" fontId="24" numFmtId="0" xfId="0" applyAlignment="1" applyFill="1" applyFont="1">
      <alignment horizontal="center" shrinkToFit="0" vertical="center" wrapText="1"/>
    </xf>
    <xf borderId="20" fillId="14" fontId="10" numFmtId="0" xfId="0" applyAlignment="1" applyBorder="1" applyFont="1">
      <alignment horizontal="center" shrinkToFit="0" vertical="center" wrapText="1"/>
    </xf>
    <xf borderId="0" fillId="5" fontId="14" numFmtId="0" xfId="0" applyAlignment="1" applyFont="1">
      <alignment horizontal="center" readingOrder="0" vertical="center"/>
    </xf>
    <xf borderId="0" fillId="5" fontId="14" numFmtId="0" xfId="0" applyFont="1"/>
    <xf borderId="29" fillId="0" fontId="14" numFmtId="0" xfId="0" applyAlignment="1" applyBorder="1" applyFont="1">
      <alignment horizontal="center" vertical="center"/>
    </xf>
    <xf borderId="21" fillId="8" fontId="2" numFmtId="0" xfId="0" applyBorder="1" applyFont="1"/>
    <xf borderId="22" fillId="6" fontId="14" numFmtId="0" xfId="0" applyAlignment="1" applyBorder="1" applyFont="1">
      <alignment horizontal="center" readingOrder="0" vertical="center"/>
    </xf>
    <xf borderId="22" fillId="6" fontId="2" numFmtId="0" xfId="0" applyBorder="1" applyFont="1"/>
    <xf borderId="22" fillId="6" fontId="14" numFmtId="0" xfId="0" applyBorder="1" applyFont="1"/>
    <xf borderId="23" fillId="8" fontId="30" numFmtId="0" xfId="0" applyBorder="1" applyFont="1"/>
    <xf borderId="30" fillId="0" fontId="14" numFmtId="0" xfId="0" applyAlignment="1" applyBorder="1" applyFont="1">
      <alignment horizontal="center" vertical="center"/>
    </xf>
    <xf borderId="22" fillId="3" fontId="24" numFmtId="0" xfId="0" applyAlignment="1" applyBorder="1" applyFont="1">
      <alignment horizontal="center" readingOrder="0" shrinkToFit="0" vertical="center" wrapText="1"/>
    </xf>
    <xf borderId="22" fillId="16" fontId="24" numFmtId="0" xfId="0" applyAlignment="1" applyBorder="1" applyFont="1">
      <alignment horizontal="center" shrinkToFit="0" vertical="center" wrapText="1"/>
    </xf>
    <xf borderId="23" fillId="14" fontId="10" numFmtId="0" xfId="0" applyAlignment="1" applyBorder="1" applyFont="1">
      <alignment horizontal="center" shrinkToFit="0" vertical="center" wrapText="1"/>
    </xf>
    <xf borderId="0" fillId="6" fontId="30" numFmtId="0" xfId="0" applyAlignment="1" applyFont="1">
      <alignment horizontal="center" vertical="center"/>
    </xf>
    <xf borderId="0" fillId="6" fontId="30" numFmtId="0" xfId="0" applyFont="1"/>
    <xf borderId="20" fillId="6" fontId="30" numFmtId="0" xfId="0" applyBorder="1" applyFont="1"/>
    <xf borderId="17" fillId="6" fontId="2" numFmtId="0" xfId="0" applyBorder="1" applyFont="1"/>
    <xf borderId="18" fillId="6" fontId="2" numFmtId="0" xfId="0" applyBorder="1" applyFont="1"/>
    <xf borderId="0" fillId="16" fontId="24" numFmtId="0" xfId="0" applyAlignment="1" applyFont="1">
      <alignment horizontal="center" vertical="center"/>
    </xf>
    <xf borderId="0" fillId="5" fontId="14" numFmtId="0" xfId="0" applyAlignment="1" applyFont="1">
      <alignment horizontal="center" vertical="center"/>
    </xf>
    <xf borderId="0" fillId="6" fontId="14" numFmtId="0" xfId="0" applyAlignment="1" applyFont="1">
      <alignment horizontal="center" vertical="center"/>
    </xf>
    <xf borderId="0" fillId="6" fontId="14" numFmtId="0" xfId="0" applyFont="1"/>
    <xf borderId="22" fillId="16" fontId="24" numFmtId="0" xfId="0" applyAlignment="1" applyBorder="1" applyFont="1">
      <alignment horizontal="center" vertical="center"/>
    </xf>
    <xf borderId="22" fillId="10" fontId="20" numFmtId="0" xfId="0" applyAlignment="1" applyBorder="1" applyFont="1">
      <alignment vertical="center"/>
    </xf>
    <xf borderId="22" fillId="5" fontId="14" numFmtId="0" xfId="0" applyAlignment="1" applyBorder="1" applyFont="1">
      <alignment horizontal="center" vertical="center"/>
    </xf>
    <xf borderId="22" fillId="5" fontId="14" numFmtId="0" xfId="0" applyBorder="1" applyFont="1"/>
    <xf borderId="22" fillId="5" fontId="2" numFmtId="0" xfId="0" applyBorder="1" applyFont="1"/>
    <xf borderId="23" fillId="8" fontId="31" numFmtId="0" xfId="0" applyBorder="1" applyFont="1"/>
    <xf borderId="0" fillId="6" fontId="21" numFmtId="0" xfId="0" applyAlignment="1" applyFont="1">
      <alignment horizontal="center" readingOrder="0" shrinkToFit="0" vertical="center" wrapText="1"/>
    </xf>
    <xf borderId="0" fillId="2" fontId="2" numFmtId="0" xfId="0" applyFont="1"/>
    <xf borderId="0" fillId="6" fontId="32" numFmtId="0" xfId="0" applyAlignment="1" applyFont="1">
      <alignment horizontal="center" readingOrder="0" vertical="center"/>
    </xf>
    <xf borderId="0" fillId="5" fontId="6" numFmtId="0" xfId="0" applyAlignment="1" applyFont="1">
      <alignment horizontal="center" vertical="center"/>
    </xf>
    <xf borderId="0" fillId="6" fontId="32" numFmtId="0" xfId="0" applyAlignment="1" applyFont="1">
      <alignment horizontal="center" readingOrder="0" shrinkToFit="0" vertical="center" wrapText="1"/>
    </xf>
    <xf borderId="0" fillId="7" fontId="6" numFmtId="0" xfId="0" applyAlignment="1" applyFont="1">
      <alignment horizontal="center" readingOrder="0" vertical="center"/>
    </xf>
    <xf borderId="0" fillId="5" fontId="32" numFmtId="0" xfId="0" applyAlignment="1" applyFont="1">
      <alignment horizontal="center" readingOrder="0" shrinkToFit="0" vertical="center" wrapText="1"/>
    </xf>
    <xf borderId="0" fillId="7" fontId="17" numFmtId="0" xfId="0" applyAlignment="1" applyFont="1">
      <alignment horizontal="center" readingOrder="0" shrinkToFit="0" vertical="center" wrapText="1"/>
    </xf>
    <xf borderId="0" fillId="7" fontId="16" numFmtId="0" xfId="0" applyAlignment="1" applyFont="1">
      <alignment horizontal="center" readingOrder="0" shrinkToFit="0" vertical="center" wrapText="1"/>
    </xf>
    <xf borderId="0" fillId="7" fontId="33" numFmtId="0" xfId="0" applyFont="1"/>
    <xf borderId="0" fillId="10" fontId="33" numFmtId="0" xfId="0" applyFont="1"/>
    <xf borderId="0" fillId="10" fontId="17" numFmtId="0" xfId="0" applyAlignment="1" applyFont="1">
      <alignment horizontal="center" readingOrder="0" vertical="center"/>
    </xf>
    <xf borderId="0" fillId="8" fontId="33" numFmtId="0" xfId="0" applyFont="1"/>
    <xf borderId="0" fillId="8" fontId="6" numFmtId="0" xfId="0" applyAlignment="1" applyFont="1">
      <alignment horizontal="center" readingOrder="0" vertical="center"/>
    </xf>
    <xf borderId="0" fillId="8" fontId="33" numFmtId="0" xfId="0" applyFont="1"/>
    <xf borderId="0" fillId="5" fontId="32" numFmtId="0" xfId="0" applyAlignment="1" applyFont="1">
      <alignment horizontal="center" readingOrder="0" vertical="center"/>
    </xf>
    <xf borderId="0" fillId="7" fontId="33" numFmtId="0" xfId="0" applyAlignment="1" applyFont="1">
      <alignment readingOrder="0"/>
    </xf>
    <xf borderId="0" fillId="5" fontId="17" numFmtId="0" xfId="0" applyAlignment="1" applyFont="1">
      <alignment horizontal="center" readingOrder="0" shrinkToFit="0" vertical="center" wrapText="1"/>
    </xf>
    <xf borderId="0" fillId="7" fontId="34" numFmtId="0" xfId="0" applyAlignment="1" applyFont="1">
      <alignment horizontal="center" readingOrder="0" vertical="center"/>
    </xf>
    <xf borderId="0" fillId="10" fontId="35" numFmtId="0" xfId="0" applyAlignment="1" applyFont="1">
      <alignment horizontal="center" readingOrder="0" shrinkToFit="0" wrapText="1"/>
    </xf>
    <xf borderId="0" fillId="8" fontId="35" numFmtId="0" xfId="0" applyAlignment="1" applyFont="1">
      <alignment horizontal="center" readingOrder="0" shrinkToFit="0" wrapText="1"/>
    </xf>
    <xf borderId="0" fillId="8" fontId="32" numFmtId="0" xfId="0" applyAlignment="1" applyFont="1">
      <alignment horizontal="center" readingOrder="0" shrinkToFit="0" wrapText="1"/>
    </xf>
    <xf borderId="0" fillId="8" fontId="14" numFmtId="0" xfId="0" applyAlignment="1" applyFont="1">
      <alignment horizontal="center" readingOrder="0" vertical="center"/>
    </xf>
    <xf borderId="0" fillId="5" fontId="6" numFmtId="0" xfId="0" applyAlignment="1" applyFont="1">
      <alignment horizontal="center" vertical="center"/>
    </xf>
    <xf borderId="0" fillId="5" fontId="32"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1" fontId="32" numFmtId="0" xfId="0" applyAlignment="1" applyFont="1">
      <alignment horizontal="center" readingOrder="0" shrinkToFit="0" wrapText="1"/>
    </xf>
    <xf borderId="0" fillId="11" fontId="33"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8" fontId="23" numFmtId="0" xfId="0" applyAlignment="1" applyFont="1">
      <alignment horizontal="right" readingOrder="0" shrinkToFit="0" vertical="center" wrapText="1"/>
    </xf>
    <xf borderId="10" fillId="5" fontId="6" numFmtId="0" xfId="0" applyAlignment="1" applyBorder="1" applyFont="1">
      <alignment horizontal="center" readingOrder="0"/>
    </xf>
    <xf borderId="0" fillId="8" fontId="36" numFmtId="0" xfId="0" applyAlignment="1" applyFont="1">
      <alignment horizontal="center" readingOrder="0" shrinkToFit="0" vertical="center" wrapText="1"/>
    </xf>
    <xf borderId="0" fillId="5" fontId="35" numFmtId="0" xfId="0" applyAlignment="1" applyFont="1">
      <alignment horizontal="center" readingOrder="0" shrinkToFit="0" vertical="center" wrapText="1"/>
    </xf>
    <xf borderId="0" fillId="2" fontId="33" numFmtId="0" xfId="0" applyFont="1"/>
    <xf borderId="0" fillId="7" fontId="37" numFmtId="0" xfId="0" applyFont="1"/>
    <xf borderId="10" fillId="6" fontId="38" numFmtId="0" xfId="0" applyAlignment="1" applyBorder="1" applyFont="1">
      <alignment horizontal="center" readingOrder="0" vertical="center"/>
    </xf>
    <xf borderId="12" fillId="0" fontId="2" numFmtId="0" xfId="0" applyBorder="1" applyFont="1"/>
    <xf borderId="13" fillId="10" fontId="33" numFmtId="0" xfId="0" applyBorder="1" applyFont="1"/>
    <xf borderId="13" fillId="8" fontId="36" numFmtId="0" xfId="0" applyAlignment="1" applyBorder="1" applyFont="1">
      <alignment horizontal="center" readingOrder="0" shrinkToFit="0" vertical="center" wrapText="1"/>
    </xf>
    <xf borderId="0" fillId="6" fontId="16" numFmtId="0" xfId="0" applyAlignment="1" applyFont="1">
      <alignment horizontal="center" readingOrder="0" shrinkToFit="0" vertical="center" wrapText="1"/>
    </xf>
    <xf borderId="0" fillId="8" fontId="23" numFmtId="0" xfId="0" applyAlignment="1" applyFont="1">
      <alignment horizontal="center" readingOrder="0" shrinkToFit="0" vertical="top" wrapText="1"/>
    </xf>
    <xf borderId="0" fillId="10" fontId="8" numFmtId="0" xfId="0" applyAlignment="1" applyFont="1">
      <alignment horizontal="right" readingOrder="0" shrinkToFit="0" vertical="center" wrapText="1"/>
    </xf>
    <xf borderId="0" fillId="7" fontId="20" numFmtId="0" xfId="0" applyAlignment="1" applyFont="1">
      <alignment horizontal="right" readingOrder="0" shrinkToFit="0" vertical="center" wrapText="1"/>
    </xf>
    <xf borderId="0" fillId="17" fontId="14"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8" fontId="39" numFmtId="0" xfId="0" applyAlignment="1" applyFont="1">
      <alignment horizontal="center" readingOrder="0" shrinkToFit="0" vertical="center" wrapText="1"/>
    </xf>
    <xf borderId="0" fillId="17" fontId="32" numFmtId="0" xfId="0" applyAlignment="1" applyFont="1">
      <alignment horizontal="center" readingOrder="0" shrinkToFit="0" vertical="center" wrapText="1"/>
    </xf>
    <xf borderId="0" fillId="17" fontId="14" numFmtId="0" xfId="0" applyAlignment="1" applyFont="1">
      <alignment horizontal="center" vertical="center"/>
    </xf>
    <xf borderId="16" fillId="10" fontId="40" numFmtId="0" xfId="0" applyAlignment="1" applyBorder="1" applyFont="1">
      <alignment horizontal="center" readingOrder="0" vertical="center"/>
    </xf>
    <xf borderId="19" fillId="8" fontId="41" numFmtId="0" xfId="0" applyAlignment="1" applyBorder="1" applyFont="1">
      <alignment horizontal="center" readingOrder="0" textRotation="180" vertical="center"/>
    </xf>
    <xf borderId="0" fillId="8" fontId="20" numFmtId="0" xfId="0" applyAlignment="1" applyFont="1">
      <alignment horizontal="center" readingOrder="0" vertical="center"/>
    </xf>
    <xf borderId="0" fillId="8" fontId="20" numFmtId="49" xfId="0" applyAlignment="1" applyFont="1" applyNumberFormat="1">
      <alignment horizontal="center" readingOrder="0" vertical="center"/>
    </xf>
    <xf borderId="39" fillId="8" fontId="20" numFmtId="0" xfId="0" applyAlignment="1" applyBorder="1" applyFont="1">
      <alignment horizontal="center" readingOrder="0" vertical="center"/>
    </xf>
    <xf borderId="40" fillId="0" fontId="2" numFmtId="0" xfId="0" applyBorder="1" applyFont="1"/>
    <xf borderId="41" fillId="0" fontId="2" numFmtId="0" xfId="0" applyBorder="1" applyFont="1"/>
    <xf borderId="0" fillId="8" fontId="20" numFmtId="0" xfId="0" applyAlignment="1" applyFont="1">
      <alignment horizontal="center" readingOrder="0" shrinkToFit="0" vertical="center" wrapText="1"/>
    </xf>
    <xf borderId="20" fillId="8" fontId="20" numFmtId="0" xfId="0" applyAlignment="1" applyBorder="1" applyFont="1">
      <alignment horizontal="center" readingOrder="0" vertical="center"/>
    </xf>
    <xf borderId="42" fillId="8" fontId="23" numFmtId="0" xfId="0" applyAlignment="1" applyBorder="1" applyFont="1">
      <alignment horizontal="center" readingOrder="0" textRotation="180" vertical="bottom"/>
    </xf>
    <xf borderId="22" fillId="8" fontId="23" numFmtId="0" xfId="0" applyAlignment="1" applyBorder="1" applyFont="1">
      <alignment horizontal="center" readingOrder="0" textRotation="180" vertical="bottom"/>
    </xf>
    <xf borderId="43" fillId="8" fontId="23" numFmtId="0" xfId="0" applyAlignment="1" applyBorder="1" applyFont="1">
      <alignment horizontal="center" readingOrder="0" textRotation="180" vertical="bottom"/>
    </xf>
    <xf borderId="44" fillId="8" fontId="23" numFmtId="0" xfId="0" applyAlignment="1" applyBorder="1" applyFont="1">
      <alignment horizontal="center" readingOrder="0" textRotation="180" vertical="bottom"/>
    </xf>
    <xf borderId="0" fillId="8" fontId="23" numFmtId="0" xfId="0" applyAlignment="1" applyFont="1">
      <alignment horizontal="center" readingOrder="0" textRotation="180" vertical="bottom"/>
    </xf>
    <xf borderId="45" fillId="8" fontId="23" numFmtId="0" xfId="0" applyAlignment="1" applyBorder="1" applyFont="1">
      <alignment horizontal="center" readingOrder="0" textRotation="180" vertical="bottom"/>
    </xf>
    <xf borderId="0" fillId="10" fontId="41" numFmtId="0" xfId="0" applyAlignment="1" applyFont="1">
      <alignment horizontal="center" readingOrder="0" vertical="center"/>
    </xf>
    <xf borderId="16" fillId="5" fontId="17" numFmtId="49" xfId="0" applyAlignment="1" applyBorder="1" applyFont="1" applyNumberFormat="1">
      <alignment horizontal="center" readingOrder="0" shrinkToFit="0" vertical="center" wrapText="1"/>
    </xf>
    <xf borderId="17" fillId="5" fontId="17" numFmtId="49" xfId="0" applyAlignment="1" applyBorder="1" applyFont="1" applyNumberFormat="1">
      <alignment horizontal="center" shrinkToFit="0" vertical="center" wrapText="1"/>
    </xf>
    <xf borderId="46" fillId="5" fontId="17" numFmtId="49" xfId="0" applyAlignment="1" applyBorder="1" applyFont="1" applyNumberFormat="1">
      <alignment horizontal="center" shrinkToFit="0" vertical="center" wrapText="1"/>
    </xf>
    <xf borderId="47" fillId="7" fontId="17" numFmtId="49" xfId="0" applyAlignment="1" applyBorder="1" applyFont="1" applyNumberFormat="1">
      <alignment horizontal="center" vertical="center"/>
    </xf>
    <xf borderId="46" fillId="6" fontId="17" numFmtId="49" xfId="0" applyAlignment="1" applyBorder="1" applyFont="1" applyNumberFormat="1">
      <alignment horizontal="center" vertical="center"/>
    </xf>
    <xf borderId="17" fillId="6" fontId="17" numFmtId="49" xfId="0" applyAlignment="1" applyBorder="1" applyFont="1" applyNumberFormat="1">
      <alignment horizontal="center" vertical="center"/>
    </xf>
    <xf borderId="16" fillId="6" fontId="17" numFmtId="49" xfId="0" applyAlignment="1" applyBorder="1" applyFont="1" applyNumberFormat="1">
      <alignment horizontal="center" vertical="center"/>
    </xf>
    <xf borderId="17" fillId="6" fontId="17" numFmtId="49" xfId="0" applyAlignment="1" applyBorder="1" applyFont="1" applyNumberFormat="1">
      <alignment horizontal="center" shrinkToFit="0" vertical="center" wrapText="1"/>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vertical="center"/>
    </xf>
    <xf borderId="18" fillId="6" fontId="17" numFmtId="49" xfId="0" applyAlignment="1" applyBorder="1" applyFont="1" applyNumberFormat="1">
      <alignment horizontal="center" readingOrder="0" vertical="center"/>
    </xf>
    <xf borderId="0" fillId="2" fontId="42" numFmtId="0" xfId="0" applyAlignment="1" applyFont="1">
      <alignment horizontal="center" readingOrder="0" shrinkToFit="0" vertical="center" wrapText="0"/>
    </xf>
    <xf borderId="19"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shrinkToFit="0" vertical="center" wrapText="1"/>
    </xf>
    <xf borderId="0" fillId="6" fontId="17" numFmtId="49" xfId="0" applyAlignment="1" applyFont="1" applyNumberFormat="1">
      <alignment horizontal="center" readingOrder="0" shrinkToFit="0" vertical="center" wrapText="1"/>
    </xf>
    <xf borderId="47" fillId="6" fontId="17" numFmtId="49" xfId="0" applyAlignment="1" applyBorder="1" applyFont="1" applyNumberFormat="1">
      <alignment horizontal="center" readingOrder="0" shrinkToFit="0" vertical="center" wrapText="1"/>
    </xf>
    <xf borderId="47" fillId="6" fontId="17" numFmtId="49" xfId="0" applyAlignment="1" applyBorder="1" applyFont="1" applyNumberFormat="1">
      <alignment horizontal="center" shrinkToFit="0" vertical="center" wrapText="1"/>
    </xf>
    <xf borderId="47" fillId="6" fontId="17" numFmtId="49" xfId="0" applyAlignment="1" applyBorder="1" applyFont="1" applyNumberFormat="1">
      <alignment horizontal="center" vertical="center"/>
    </xf>
    <xf borderId="0" fillId="6" fontId="17" numFmtId="49" xfId="0" applyAlignment="1" applyFont="1" applyNumberFormat="1">
      <alignment horizontal="center" vertical="center"/>
    </xf>
    <xf borderId="19" fillId="6" fontId="17" numFmtId="49" xfId="0" applyAlignment="1" applyBorder="1" applyFont="1" applyNumberFormat="1">
      <alignment horizontal="center" vertical="center"/>
    </xf>
    <xf borderId="0" fillId="6" fontId="17" numFmtId="49" xfId="0" applyAlignment="1" applyFont="1" applyNumberFormat="1">
      <alignment horizontal="center" readingOrder="0" shrinkToFit="0" vertical="center" wrapText="1"/>
    </xf>
    <xf borderId="20" fillId="6" fontId="17" numFmtId="49" xfId="0" applyAlignment="1" applyBorder="1" applyFont="1" applyNumberForma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vertical="center"/>
    </xf>
    <xf borderId="20"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readingOrder="0" shrinkToFit="0" vertical="center" wrapText="1"/>
    </xf>
    <xf borderId="0" fillId="5" fontId="17" numFmtId="49" xfId="0" applyAlignment="1" applyFont="1" applyNumberFormat="1">
      <alignment horizontal="center" shrinkToFit="0" vertical="center" wrapText="1"/>
    </xf>
    <xf borderId="0" fillId="5" fontId="17" numFmtId="49" xfId="0" applyAlignment="1" applyFont="1" applyNumberFormat="1">
      <alignment horizontal="center" readingOrder="0" shrinkToFit="0" vertical="center" wrapText="1"/>
    </xf>
    <xf borderId="47" fillId="5" fontId="17" numFmtId="49" xfId="0" applyAlignment="1" applyBorder="1" applyFont="1" applyNumberFormat="1">
      <alignment horizontal="center" shrinkToFit="0" vertical="center" wrapText="1"/>
    </xf>
    <xf borderId="19"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vertical="center"/>
    </xf>
    <xf borderId="47" fillId="5" fontId="17" numFmtId="49" xfId="0" applyAlignment="1" applyBorder="1" applyFont="1" applyNumberFormat="1">
      <alignment horizontal="center" readingOrder="0" shrinkToFit="0" vertical="center" wrapText="1"/>
    </xf>
    <xf borderId="47" fillId="7" fontId="17" numFmtId="49" xfId="0" applyAlignment="1" applyBorder="1" applyFont="1" applyNumberFormat="1">
      <alignment horizontal="center" readingOrder="0" vertical="center"/>
    </xf>
    <xf borderId="0" fillId="6" fontId="17" numFmtId="4" xfId="0" applyAlignment="1" applyFont="1" applyNumberFormat="1">
      <alignment horizontal="center" readingOrder="0" vertical="center"/>
    </xf>
    <xf borderId="47"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shrinkToFit="0" vertical="center" wrapText="1"/>
    </xf>
    <xf borderId="19" fillId="6" fontId="17" numFmtId="49" xfId="0" applyAlignment="1" applyBorder="1" applyFont="1" applyNumberFormat="1">
      <alignment horizontal="center" shrinkToFit="0" vertical="center" wrapText="1"/>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vertical="center"/>
    </xf>
    <xf borderId="22" fillId="6" fontId="17" numFmtId="49" xfId="0" applyAlignment="1" applyBorder="1" applyFont="1" applyNumberFormat="1">
      <alignment horizontal="center" vertical="center"/>
    </xf>
    <xf borderId="21" fillId="6" fontId="17" numFmtId="49" xfId="0" applyAlignment="1" applyBorder="1" applyFont="1" applyNumberFormat="1">
      <alignment horizontal="center" vertical="center"/>
    </xf>
    <xf borderId="22"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3"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9" xfId="0" applyAlignment="1" applyBorder="1" applyFont="1" applyNumberFormat="1">
      <alignment horizontal="center" readingOrder="0" vertical="center"/>
    </xf>
    <xf borderId="0" fillId="7" fontId="2" numFmtId="0" xfId="0" applyAlignment="1" applyFont="1">
      <alignment readingOrder="0"/>
    </xf>
    <xf borderId="0" fillId="7" fontId="43" numFmtId="0" xfId="0" applyAlignment="1" applyFont="1">
      <alignment horizontal="center" readingOrder="0" shrinkToFit="0" vertical="center" wrapText="1"/>
    </xf>
    <xf borderId="21" fillId="10" fontId="44" numFmtId="0" xfId="0" applyAlignment="1" applyBorder="1" applyFont="1">
      <alignment horizontal="center" readingOrder="0" shrinkToFit="0" vertical="center" wrapText="1"/>
    </xf>
    <xf borderId="23" fillId="11" fontId="14" numFmtId="49" xfId="0" applyAlignment="1" applyBorder="1" applyFont="1" applyNumberFormat="1">
      <alignment horizontal="center" vertical="center"/>
    </xf>
    <xf borderId="23" fillId="11" fontId="25" numFmtId="49" xfId="0" applyAlignment="1" applyBorder="1" applyFont="1" applyNumberFormat="1">
      <alignment horizontal="center" readingOrder="0" vertical="center"/>
    </xf>
    <xf borderId="0" fillId="2" fontId="45" numFmtId="0" xfId="0" applyAlignment="1" applyFont="1">
      <alignment horizontal="center" readingOrder="0" vertical="center"/>
    </xf>
    <xf borderId="0" fillId="12" fontId="46" numFmtId="49" xfId="0" applyFont="1" applyNumberFormat="1"/>
    <xf borderId="0" fillId="0" fontId="2" numFmtId="49" xfId="0" applyFont="1" applyNumberFormat="1"/>
    <xf borderId="0" fillId="0" fontId="2" numFmtId="4" xfId="0" applyFont="1" applyNumberFormat="1"/>
    <xf borderId="0" fillId="11" fontId="2" numFmtId="0" xfId="0" applyAlignment="1" applyFont="1">
      <alignment readingOrder="0"/>
    </xf>
    <xf borderId="21" fillId="10" fontId="41" numFmtId="0" xfId="0" applyAlignment="1" applyBorder="1" applyFont="1">
      <alignment horizontal="center" readingOrder="0" shrinkToFit="0" vertical="center" wrapText="1"/>
    </xf>
    <xf borderId="22" fillId="10" fontId="41" numFmtId="0" xfId="0" applyAlignment="1" applyBorder="1" applyFont="1">
      <alignment horizontal="center" readingOrder="0" shrinkToFit="0" vertical="center" wrapText="1"/>
    </xf>
    <xf borderId="48" fillId="8" fontId="20" numFmtId="0" xfId="0" applyAlignment="1" applyBorder="1" applyFont="1">
      <alignment horizontal="center" readingOrder="0" shrinkToFit="0" vertical="center" wrapText="1"/>
    </xf>
    <xf borderId="49" fillId="0" fontId="2" numFmtId="0" xfId="0" applyBorder="1" applyFont="1"/>
    <xf borderId="50" fillId="0" fontId="2" numFmtId="0" xfId="0" applyBorder="1" applyFont="1"/>
    <xf borderId="48" fillId="8" fontId="20" numFmtId="0" xfId="0" applyAlignment="1" applyBorder="1" applyFont="1">
      <alignment horizontal="center" readingOrder="0" vertical="center"/>
    </xf>
    <xf borderId="39" fillId="8" fontId="20" numFmtId="49" xfId="0" applyAlignment="1" applyBorder="1" applyFont="1" applyNumberFormat="1">
      <alignment horizontal="center" readingOrder="0" vertical="center"/>
    </xf>
    <xf borderId="51" fillId="8" fontId="20" numFmtId="0" xfId="0" applyAlignment="1" applyBorder="1" applyFont="1">
      <alignment horizontal="center" readingOrder="0" vertical="center"/>
    </xf>
    <xf borderId="52" fillId="0" fontId="2" numFmtId="0" xfId="0" applyBorder="1" applyFont="1"/>
    <xf borderId="44" fillId="8" fontId="47" numFmtId="0" xfId="0" applyAlignment="1" applyBorder="1" applyFont="1">
      <alignment horizontal="center" readingOrder="0" shrinkToFit="0" textRotation="180" vertical="bottom" wrapText="1"/>
    </xf>
    <xf borderId="0" fillId="8" fontId="47" numFmtId="0" xfId="0" applyAlignment="1" applyFont="1">
      <alignment horizontal="center" readingOrder="0" shrinkToFit="0" textRotation="180" vertical="bottom" wrapText="1"/>
    </xf>
    <xf borderId="45" fillId="8" fontId="47" numFmtId="0" xfId="0" applyAlignment="1" applyBorder="1" applyFont="1">
      <alignment horizontal="center" readingOrder="0" shrinkToFit="0" textRotation="180" vertical="bottom" wrapText="1"/>
    </xf>
    <xf borderId="51" fillId="8" fontId="8" numFmtId="0" xfId="0" applyAlignment="1" applyBorder="1" applyFont="1">
      <alignment horizontal="center" readingOrder="0" textRotation="180" vertical="bottom"/>
    </xf>
    <xf borderId="53" fillId="8" fontId="8" numFmtId="0" xfId="0" applyAlignment="1" applyBorder="1" applyFont="1">
      <alignment horizontal="center" readingOrder="0" textRotation="180" vertical="bottom"/>
    </xf>
    <xf borderId="53" fillId="8" fontId="20" numFmtId="0" xfId="0" applyAlignment="1" applyBorder="1" applyFont="1">
      <alignment horizontal="center" readingOrder="0" textRotation="180" vertical="center"/>
    </xf>
    <xf borderId="52" fillId="8" fontId="8" numFmtId="0" xfId="0" applyAlignment="1" applyBorder="1" applyFont="1">
      <alignment horizontal="center" readingOrder="0" textRotation="180" vertical="bottom"/>
    </xf>
    <xf borderId="51" fillId="8" fontId="8" numFmtId="49" xfId="0" applyAlignment="1" applyBorder="1" applyFont="1" applyNumberFormat="1">
      <alignment horizontal="center" readingOrder="0" textRotation="180" vertical="bottom"/>
    </xf>
    <xf borderId="53" fillId="8" fontId="8" numFmtId="49" xfId="0" applyAlignment="1" applyBorder="1" applyFont="1" applyNumberFormat="1">
      <alignment horizontal="center" readingOrder="0" textRotation="180" vertical="bottom"/>
    </xf>
    <xf borderId="48" fillId="8" fontId="20" numFmtId="0" xfId="0" applyAlignment="1" applyBorder="1" applyFont="1">
      <alignment horizontal="center" readingOrder="0" textRotation="180" vertical="bottom"/>
    </xf>
    <xf borderId="50" fillId="8" fontId="8" numFmtId="0" xfId="0" applyAlignment="1" applyBorder="1" applyFont="1">
      <alignment horizontal="center" readingOrder="0" textRotation="180" vertical="bottom"/>
    </xf>
    <xf borderId="19" fillId="10" fontId="41" numFmtId="0" xfId="0" applyAlignment="1" applyBorder="1" applyFont="1">
      <alignment horizontal="center" readingOrder="0" vertical="center"/>
    </xf>
    <xf borderId="16" fillId="6" fontId="48"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quotePrefix="1" borderId="17" fillId="7" fontId="48"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17" fillId="10" fontId="49" numFmtId="0" xfId="0" applyAlignment="1" applyBorder="1" applyFont="1">
      <alignment horizontal="center" vertical="center"/>
    </xf>
    <xf borderId="18" fillId="10" fontId="50" numFmtId="0" xfId="0" applyAlignment="1" applyBorder="1" applyFont="1">
      <alignment horizontal="center" vertical="center"/>
    </xf>
    <xf borderId="19" fillId="5" fontId="48"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quotePrefix="1" borderId="0" fillId="7" fontId="48" numFmtId="0" xfId="0" applyAlignment="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0" fillId="10" fontId="49" numFmtId="0" xfId="0" applyAlignment="1" applyFont="1">
      <alignment horizontal="center" vertical="center"/>
    </xf>
    <xf borderId="20" fillId="10" fontId="50" numFmtId="0" xfId="0" applyAlignment="1" applyBorder="1" applyFont="1">
      <alignment horizontal="center" vertical="center"/>
    </xf>
    <xf borderId="19" fillId="6" fontId="48"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19" fillId="6" fontId="17" numFmtId="0" xfId="0" applyAlignment="1" applyBorder="1" applyFont="1">
      <alignment horizontal="center" shrinkToFit="0" vertical="center" wrapText="1"/>
    </xf>
    <xf borderId="0" fillId="6" fontId="17" numFmtId="0" xfId="0" applyAlignment="1" applyFont="1">
      <alignment horizontal="center"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19" fillId="5" fontId="17" numFmtId="0" xfId="0" applyAlignment="1" applyBorder="1" applyFont="1">
      <alignment horizontal="center" shrinkToFit="0" vertical="center" wrapText="1"/>
    </xf>
    <xf borderId="0" fillId="5" fontId="17" numFmtId="0" xfId="0" applyAlignment="1" applyFont="1">
      <alignment horizontal="center" shrinkToFit="0" vertical="center" wrapText="1"/>
    </xf>
    <xf borderId="19" fillId="10" fontId="41" numFmtId="0" xfId="0" applyAlignment="1" applyBorder="1" applyFont="1">
      <alignment horizontal="center" readingOrder="0" vertical="center"/>
    </xf>
    <xf borderId="21" fillId="10" fontId="41" numFmtId="0" xfId="0" applyAlignment="1" applyBorder="1" applyFont="1">
      <alignment horizontal="center" readingOrder="0" vertical="center"/>
    </xf>
    <xf borderId="21" fillId="6" fontId="48"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48"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2" fillId="10" fontId="29" numFmtId="0" xfId="0" applyAlignment="1" applyBorder="1" applyFont="1">
      <alignment horizontal="center" vertical="center"/>
    </xf>
    <xf borderId="23" fillId="10" fontId="29" numFmtId="0" xfId="0" applyAlignment="1" applyBorder="1" applyFont="1">
      <alignment horizontal="center" vertical="center"/>
    </xf>
    <xf borderId="0" fillId="10" fontId="40" numFmtId="0" xfId="0" applyAlignment="1" applyFont="1">
      <alignment horizontal="center" readingOrder="0" vertical="center"/>
    </xf>
    <xf borderId="16" fillId="6" fontId="51" numFmtId="0" xfId="0" applyAlignment="1" applyBorder="1" applyFont="1">
      <alignment horizontal="center" readingOrder="0" shrinkToFit="0" vertical="center" wrapText="1"/>
    </xf>
    <xf borderId="17" fillId="6" fontId="52" numFmtId="0" xfId="0" applyAlignment="1" applyBorder="1" applyFont="1">
      <alignment horizontal="center" readingOrder="0" shrinkToFit="0" vertical="center" wrapText="1"/>
    </xf>
    <xf borderId="18" fillId="6" fontId="52" numFmtId="0" xfId="0" applyAlignment="1" applyBorder="1" applyFont="1">
      <alignment horizontal="center" readingOrder="0" shrinkToFit="0" vertical="center" wrapText="1"/>
    </xf>
    <xf borderId="19" fillId="6" fontId="51" numFmtId="0" xfId="0" applyAlignment="1" applyBorder="1" applyFont="1">
      <alignment horizontal="center" readingOrder="0" shrinkToFit="0" vertical="center" wrapText="1"/>
    </xf>
    <xf borderId="0" fillId="6" fontId="52" numFmtId="0" xfId="0" applyAlignment="1" applyFont="1">
      <alignment horizontal="center" readingOrder="0" shrinkToFit="0" vertical="center" wrapText="1"/>
    </xf>
    <xf borderId="20" fillId="6" fontId="52" numFmtId="0" xfId="0" applyAlignment="1" applyBorder="1" applyFont="1">
      <alignment horizontal="center" readingOrder="0" shrinkToFit="0" vertical="center" wrapText="1"/>
    </xf>
    <xf borderId="21" fillId="6" fontId="51" numFmtId="0" xfId="0" applyAlignment="1" applyBorder="1" applyFont="1">
      <alignment horizontal="center" readingOrder="0" shrinkToFit="0" vertical="center" wrapText="1"/>
    </xf>
    <xf borderId="22" fillId="6" fontId="52" numFmtId="0" xfId="0" applyAlignment="1" applyBorder="1" applyFont="1">
      <alignment horizontal="center" readingOrder="0" shrinkToFit="0" vertical="center" wrapText="1"/>
    </xf>
    <xf borderId="23" fillId="6" fontId="52" numFmtId="0" xfId="0" applyAlignment="1" applyBorder="1" applyFont="1">
      <alignment horizontal="center" readingOrder="0" shrinkToFit="0" vertical="center" wrapText="1"/>
    </xf>
    <xf borderId="0" fillId="2" fontId="53" numFmtId="0" xfId="0" applyAlignment="1" applyFont="1">
      <alignment readingOrder="0"/>
    </xf>
    <xf borderId="0" fillId="2" fontId="19" numFmtId="0" xfId="0" applyAlignment="1" applyFont="1">
      <alignment horizontal="center" readingOrder="0" vertical="center"/>
    </xf>
    <xf borderId="16" fillId="8" fontId="20" numFmtId="0" xfId="0" applyAlignment="1" applyBorder="1" applyFont="1">
      <alignment horizontal="center" readingOrder="0" shrinkToFit="0" vertical="center" wrapText="1"/>
    </xf>
    <xf borderId="54" fillId="6" fontId="17" numFmtId="0" xfId="0" applyAlignment="1" applyBorder="1" applyFont="1">
      <alignment horizontal="center" readingOrder="0" vertical="center"/>
    </xf>
    <xf borderId="0" fillId="7" fontId="17" numFmtId="0" xfId="0" applyAlignment="1" applyFont="1">
      <alignment horizontal="center" vertical="center"/>
    </xf>
    <xf borderId="54" fillId="5" fontId="17" numFmtId="0" xfId="0" applyAlignment="1" applyBorder="1" applyFont="1">
      <alignment horizontal="center" vertical="center"/>
    </xf>
    <xf borderId="19" fillId="8" fontId="20" numFmtId="0" xfId="0" applyAlignment="1" applyBorder="1" applyFont="1">
      <alignment horizontal="center" readingOrder="0" shrinkToFit="0" vertical="center" wrapText="1"/>
    </xf>
    <xf borderId="54" fillId="6" fontId="17" numFmtId="0" xfId="0" applyAlignment="1" applyBorder="1" applyFont="1">
      <alignment horizontal="center" vertical="center"/>
    </xf>
    <xf borderId="21" fillId="8" fontId="20" numFmtId="0" xfId="0" applyAlignment="1" applyBorder="1" applyFont="1">
      <alignment horizontal="center" readingOrder="0" shrinkToFit="0" vertical="center" wrapText="1"/>
    </xf>
    <xf borderId="16" fillId="6" fontId="10" numFmtId="0" xfId="0" applyAlignment="1" applyBorder="1" applyFont="1">
      <alignment horizontal="left" readingOrder="0" vertical="center"/>
    </xf>
    <xf borderId="19" fillId="5" fontId="10" numFmtId="0" xfId="0" applyAlignment="1" applyBorder="1" applyFont="1">
      <alignment horizontal="left" vertical="center"/>
    </xf>
    <xf borderId="20" fillId="5" fontId="2" numFmtId="0" xfId="0" applyBorder="1" applyFont="1"/>
    <xf borderId="19" fillId="6" fontId="10" numFmtId="0" xfId="0" applyAlignment="1" applyBorder="1" applyFont="1">
      <alignment horizontal="left" vertical="center"/>
    </xf>
    <xf borderId="20" fillId="6" fontId="2" numFmtId="0" xfId="0" applyBorder="1" applyFont="1"/>
    <xf borderId="21" fillId="6" fontId="10" numFmtId="0" xfId="0" applyAlignment="1" applyBorder="1" applyFont="1">
      <alignment horizontal="left" vertical="center"/>
    </xf>
    <xf borderId="23" fillId="6" fontId="2" numFmtId="0" xfId="0" applyBorder="1" applyFont="1"/>
    <xf borderId="0" fillId="2" fontId="53" numFmtId="0" xfId="0" applyFont="1"/>
    <xf borderId="0" fillId="2" fontId="54" numFmtId="0" xfId="0" applyAlignment="1" applyFont="1">
      <alignment readingOrder="0"/>
    </xf>
    <xf borderId="0" fillId="2" fontId="55" numFmtId="0" xfId="0" applyFont="1"/>
    <xf borderId="0" fillId="5" fontId="56" numFmtId="0" xfId="0" applyAlignment="1" applyFont="1">
      <alignment horizontal="right" readingOrder="0" vertical="bottom"/>
    </xf>
    <xf borderId="0" fillId="7" fontId="56" numFmtId="0" xfId="0" applyAlignment="1" applyFont="1">
      <alignment horizontal="right" readingOrder="0" vertical="bottom"/>
    </xf>
    <xf borderId="0" fillId="6" fontId="57" numFmtId="0" xfId="0" applyAlignment="1" applyFont="1">
      <alignment readingOrder="0"/>
    </xf>
    <xf borderId="0" fillId="7" fontId="33" numFmtId="0" xfId="0" applyAlignment="1" applyFont="1">
      <alignment horizontal="right" vertical="bottom"/>
    </xf>
    <xf borderId="0" fillId="6" fontId="1" numFmtId="0" xfId="0" applyAlignment="1" applyFont="1">
      <alignment horizontal="left" readingOrder="0" vertical="bottom"/>
    </xf>
    <xf borderId="0" fillId="5" fontId="56" numFmtId="0" xfId="0" applyAlignment="1" applyFont="1">
      <alignment horizontal="right" vertical="bottom"/>
    </xf>
    <xf borderId="0" fillId="7" fontId="29" numFmtId="0" xfId="0" applyAlignment="1" applyFont="1">
      <alignment vertical="bottom"/>
    </xf>
    <xf borderId="0" fillId="6" fontId="29" numFmtId="0" xfId="0" applyAlignment="1" applyFont="1">
      <alignment horizontal="left" readingOrder="0" vertical="bottom"/>
    </xf>
    <xf borderId="0" fillId="0" fontId="29"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2" fontId="46"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8" type="firstRowStripe"/>
      <tableStyleElement dxfId="9" type="secondRowStripe"/>
    </tableStyle>
    <tableStyle count="2" pivot="0" name="Skills-style 2">
      <tableStyleElement dxfId="8" type="firstRowStripe"/>
      <tableStyleElement dxfId="9" type="secondRowStripe"/>
    </tableStyle>
    <tableStyle count="2" pivot="0" name="Skills-style 3">
      <tableStyleElement dxfId="8" type="firstRowStripe"/>
      <tableStyleElement dxfId="9" type="secondRowStripe"/>
    </tableStyle>
    <tableStyle count="2" pivot="0" name="Skills-style 4">
      <tableStyleElement dxfId="8" type="firstRowStripe"/>
      <tableStyleElement dxfId="9" type="secondRowStripe"/>
    </tableStyle>
    <tableStyle count="2" pivot="0" name="Skills-style 5">
      <tableStyleElement dxfId="8" type="firstRowStripe"/>
      <tableStyleElement dxfId="9" type="secondRowStripe"/>
    </tableStyle>
    <tableStyle count="2" pivot="0" name="Skills-style 6">
      <tableStyleElement dxfId="8" type="firstRowStripe"/>
      <tableStyleElement dxfId="9" type="secondRowStripe"/>
    </tableStyle>
    <tableStyle count="2" pivot="0" name="Skills-style 7">
      <tableStyleElement dxfId="8" type="firstRowStripe"/>
      <tableStyleElement dxfId="9" type="secondRowStripe"/>
    </tableStyle>
    <tableStyle count="2" pivot="0" name="Skills-style 8">
      <tableStyleElement dxfId="8" type="firstRowStripe"/>
      <tableStyleElement dxfId="9" type="secondRowStripe"/>
    </tableStyle>
    <tableStyle count="2" pivot="0" name="Skills-style 9">
      <tableStyleElement dxfId="8" type="firstRowStripe"/>
      <tableStyleElement dxfId="9" type="secondRowStripe"/>
    </tableStyle>
    <tableStyle count="2" pivot="0" name="Skills-style 10">
      <tableStyleElement dxfId="8" type="firstRowStripe"/>
      <tableStyleElement dxfId="9" type="secondRowStripe"/>
    </tableStyle>
    <tableStyle count="2" pivot="0" name="Skills-style 11">
      <tableStyleElement dxfId="8" type="firstRowStripe"/>
      <tableStyleElement dxfId="9" type="secondRowStripe"/>
    </tableStyle>
    <tableStyle count="2" pivot="0" name="Skills-style 12">
      <tableStyleElement dxfId="8" type="firstRowStripe"/>
      <tableStyleElement dxfId="9" type="secondRowStripe"/>
    </tableStyle>
    <tableStyle count="2" pivot="0" name="Skills-style 13">
      <tableStyleElement dxfId="8" type="firstRowStripe"/>
      <tableStyleElement dxfId="9" type="secondRowStripe"/>
    </tableStyle>
    <tableStyle count="2" pivot="0" name="Skills-style 14">
      <tableStyleElement dxfId="8" type="firstRowStripe"/>
      <tableStyleElement dxfId="9" type="secondRowStripe"/>
    </tableStyle>
    <tableStyle count="2" pivot="0" name="Skills-style 15">
      <tableStyleElement dxfId="8" type="firstRowStripe"/>
      <tableStyleElement dxfId="9" type="secondRowStripe"/>
    </tableStyle>
    <tableStyle count="2" pivot="0" name="Skills-style 16">
      <tableStyleElement dxfId="8" type="firstRowStripe"/>
      <tableStyleElement dxfId="9" type="secondRowStripe"/>
    </tableStyle>
    <tableStyle count="2" pivot="0" name="Skills-style 17">
      <tableStyleElement dxfId="8" type="firstRowStripe"/>
      <tableStyleElement dxfId="9" type="secondRowStripe"/>
    </tableStyle>
    <tableStyle count="2" pivot="0" name="Skills-style 18">
      <tableStyleElement dxfId="8" type="firstRowStripe"/>
      <tableStyleElement dxfId="9" type="secondRowStripe"/>
    </tableStyle>
    <tableStyle count="2" pivot="0" name="Skills-style 19">
      <tableStyleElement dxfId="8" type="firstRowStripe"/>
      <tableStyleElement dxfId="9" type="secondRowStripe"/>
    </tableStyle>
    <tableStyle count="2" pivot="0" name="Skills-style 20">
      <tableStyleElement dxfId="8" type="firstRowStripe"/>
      <tableStyleElement dxfId="9" type="secondRowStripe"/>
    </tableStyle>
    <tableStyle count="2" pivot="0" name="Skills-style 21">
      <tableStyleElement dxfId="8" type="firstRowStripe"/>
      <tableStyleElement dxfId="9" type="secondRowStripe"/>
    </tableStyle>
    <tableStyle count="2" pivot="0" name="Skills-style 22">
      <tableStyleElement dxfId="8" type="firstRowStripe"/>
      <tableStyleElement dxfId="9" type="secondRowStripe"/>
    </tableStyle>
    <tableStyle count="2" pivot="0" name="Skills-style 23">
      <tableStyleElement dxfId="8" type="firstRowStripe"/>
      <tableStyleElement dxfId="9" type="secondRowStripe"/>
    </tableStyle>
    <tableStyle count="2" pivot="0" name="Skills-style 24">
      <tableStyleElement dxfId="8" type="firstRowStripe"/>
      <tableStyleElement dxfId="9" type="secondRowStripe"/>
    </tableStyle>
    <tableStyle count="2" pivot="0" name="Skills-style 25">
      <tableStyleElement dxfId="8" type="firstRowStripe"/>
      <tableStyleElement dxfId="9" type="secondRowStripe"/>
    </tableStyle>
    <tableStyle count="2" pivot="0" name="Skills-style 26">
      <tableStyleElement dxfId="8" type="firstRowStripe"/>
      <tableStyleElement dxfId="9" type="secondRowStripe"/>
    </tableStyle>
    <tableStyle count="2" pivot="0" name="Skills-style 27">
      <tableStyleElement dxfId="8" type="firstRowStripe"/>
      <tableStyleElement dxfId="9" type="secondRowStripe"/>
    </tableStyle>
    <tableStyle count="2" pivot="0" name="Skills-style 28">
      <tableStyleElement dxfId="8" type="firstRowStripe"/>
      <tableStyleElement dxfId="9" type="secondRowStripe"/>
    </tableStyle>
    <tableStyle count="2" pivot="0" name="Skills-style 29">
      <tableStyleElement dxfId="8" type="firstRowStripe"/>
      <tableStyleElement dxfId="9" type="secondRowStripe"/>
    </tableStyle>
    <tableStyle count="2" pivot="0" name="Skills-style 30">
      <tableStyleElement dxfId="8" type="firstRowStripe"/>
      <tableStyleElement dxfId="9" type="secondRowStripe"/>
    </tableStyle>
    <tableStyle count="2" pivot="0" name="Skills-style 31">
      <tableStyleElement dxfId="8" type="firstRowStripe"/>
      <tableStyleElement dxfId="9" type="secondRowStripe"/>
    </tableStyle>
    <tableStyle count="2" pivot="0" name="Skills-style 32">
      <tableStyleElement dxfId="8" type="firstRowStripe"/>
      <tableStyleElement dxfId="9" type="secondRowStripe"/>
    </tableStyle>
    <tableStyle count="2" pivot="0" name="Skills-style 33">
      <tableStyleElement dxfId="8" type="firstRowStripe"/>
      <tableStyleElement dxfId="9" type="secondRowStripe"/>
    </tableStyle>
    <tableStyle count="2" pivot="0" name="Skills-style 34">
      <tableStyleElement dxfId="8" type="firstRowStripe"/>
      <tableStyleElement dxfId="9" type="secondRowStripe"/>
    </tableStyle>
    <tableStyle count="2" pivot="0" name="Skills-style 35">
      <tableStyleElement dxfId="8" type="firstRowStripe"/>
      <tableStyleElement dxfId="9" type="secondRowStripe"/>
    </tableStyle>
    <tableStyle count="2" pivot="0" name="Skills-style 36">
      <tableStyleElement dxfId="8" type="firstRowStripe"/>
      <tableStyleElement dxfId="9" type="secondRowStripe"/>
    </tableStyle>
    <tableStyle count="2" pivot="0" name="Skills-style 37">
      <tableStyleElement dxfId="8" type="firstRowStripe"/>
      <tableStyleElement dxfId="9" type="secondRowStripe"/>
    </tableStyle>
    <tableStyle count="2" pivot="0" name="Skills-style 38">
      <tableStyleElement dxfId="8" type="firstRowStripe"/>
      <tableStyleElement dxfId="9" type="secondRowStripe"/>
    </tableStyle>
    <tableStyle count="2" pivot="0" name="Skills-style 39">
      <tableStyleElement dxfId="8" type="firstRowStripe"/>
      <tableStyleElement dxfId="9" type="secondRowStripe"/>
    </tableStyle>
    <tableStyle count="2" pivot="0" name="Skills-style 40">
      <tableStyleElement dxfId="8" type="firstRowStripe"/>
      <tableStyleElement dxfId="9" type="secondRowStripe"/>
    </tableStyle>
    <tableStyle count="2" pivot="0" name="Skills-style 41">
      <tableStyleElement dxfId="8" type="firstRowStripe"/>
      <tableStyleElement dxfId="9" type="secondRowStripe"/>
    </tableStyle>
    <tableStyle count="2" pivot="0" name="Inventory-style">
      <tableStyleElement dxfId="9" type="firstRowStripe"/>
      <tableStyleElement dxfId="8" type="secondRowStripe"/>
    </tableStyle>
    <tableStyle count="2" pivot="0" name="Exploits-style">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8.png"/><Relationship Id="rId3" Type="http://schemas.openxmlformats.org/officeDocument/2006/relationships/image" Target="../media/image2.png"/><Relationship Id="rId4" Type="http://schemas.openxmlformats.org/officeDocument/2006/relationships/image" Target="../media/image1.png"/><Relationship Id="rId5" Type="http://schemas.openxmlformats.org/officeDocument/2006/relationships/image" Target="../media/image5.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3.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QhP4TqwU_VUD0HXZxcP6oQ1kF3xh3dMf"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1.25" customHeight="1">
      <c r="A1" s="1"/>
      <c r="B1" s="2"/>
      <c r="C1" s="3"/>
      <c r="D1" s="3"/>
      <c r="E1" s="3"/>
      <c r="F1" s="3"/>
      <c r="G1" s="3"/>
      <c r="H1" s="3"/>
      <c r="I1" s="3"/>
      <c r="J1" s="3"/>
      <c r="K1" s="3"/>
      <c r="L1" s="3"/>
      <c r="M1" s="3"/>
      <c r="N1" s="1"/>
      <c r="O1" s="4"/>
    </row>
    <row r="2" ht="57.0" customHeight="1">
      <c r="A2" s="5"/>
      <c r="B2" s="6" t="s">
        <v>0</v>
      </c>
      <c r="C2" s="7">
        <f t="array" ref="C2">'Sheet Settings'!D5 + Skills!R21+(SUM(F4:F6))*4+(SUM(F7:F9))*8+SUM(Exploits!G3:G52)+vlookup(D12,indirect("SEEDDATA!A:C"),2,false)+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508</v>
      </c>
      <c r="D2" s="8"/>
      <c r="E2" s="9" t="s">
        <v>1</v>
      </c>
      <c r="F2" s="8"/>
      <c r="G2" s="10" t="s">
        <v>2</v>
      </c>
      <c r="H2" s="8"/>
      <c r="I2" s="11"/>
      <c r="J2" s="12" t="b">
        <v>1</v>
      </c>
      <c r="K2" s="13" t="b">
        <v>1</v>
      </c>
      <c r="L2" s="13" t="b">
        <v>1</v>
      </c>
      <c r="M2" s="14"/>
      <c r="N2" s="15"/>
      <c r="O2" s="4"/>
    </row>
    <row r="3" ht="21.75" customHeight="1">
      <c r="A3" s="16"/>
      <c r="B3" s="17" t="str">
        <f>IMAGE(PORTRAITURL,1)</f>
        <v>#REF!</v>
      </c>
      <c r="C3" s="18" t="s">
        <v>3</v>
      </c>
      <c r="E3" s="18" t="s">
        <v>4</v>
      </c>
      <c r="G3" s="18" t="s">
        <v>5</v>
      </c>
      <c r="N3" s="15"/>
    </row>
    <row r="4" ht="25.5" customHeight="1">
      <c r="A4" s="16"/>
      <c r="B4" s="19"/>
      <c r="C4" s="20" t="s">
        <v>6</v>
      </c>
      <c r="D4" s="21"/>
      <c r="E4" s="22">
        <v>14.0</v>
      </c>
      <c r="F4" s="23">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14</v>
      </c>
      <c r="G4" s="24">
        <v>0.0</v>
      </c>
      <c r="H4" s="25">
        <f>MIN(20,(STR)+G4)</f>
        <v>14</v>
      </c>
      <c r="I4" s="26" t="s">
        <v>7</v>
      </c>
      <c r="J4" s="27"/>
      <c r="K4" s="28">
        <v>20.0</v>
      </c>
      <c r="L4" s="29">
        <v>10.0</v>
      </c>
      <c r="N4" s="15"/>
    </row>
    <row r="5" ht="25.5" customHeight="1">
      <c r="A5" s="16"/>
      <c r="B5" s="19"/>
      <c r="C5" s="30" t="s">
        <v>8</v>
      </c>
      <c r="E5" s="31">
        <v>15.0</v>
      </c>
      <c r="F5" s="32">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15</v>
      </c>
      <c r="G5" s="33">
        <v>10.0</v>
      </c>
      <c r="H5" s="34">
        <f>MIN(20,(DEX)+G5-Vitals!BS30)</f>
        <v>20</v>
      </c>
      <c r="I5" s="35" t="s">
        <v>9</v>
      </c>
      <c r="J5" s="36"/>
      <c r="K5" s="37" t="s">
        <v>10</v>
      </c>
      <c r="L5" s="38" t="s">
        <v>11</v>
      </c>
      <c r="N5" s="15"/>
    </row>
    <row r="6" ht="25.5" customHeight="1">
      <c r="A6" s="16"/>
      <c r="B6" s="19"/>
      <c r="C6" s="30" t="s">
        <v>12</v>
      </c>
      <c r="E6" s="39">
        <v>15.0</v>
      </c>
      <c r="F6" s="32">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15</v>
      </c>
      <c r="G6" s="40">
        <v>0.0</v>
      </c>
      <c r="H6" s="34">
        <f>MIN(20,(CON)+G6)</f>
        <v>15</v>
      </c>
      <c r="I6" s="35" t="s">
        <v>13</v>
      </c>
      <c r="J6" s="36"/>
      <c r="K6" s="41">
        <v>5.0</v>
      </c>
      <c r="L6" s="42">
        <v>5.0</v>
      </c>
      <c r="N6" s="15"/>
    </row>
    <row r="7" ht="25.5" customHeight="1">
      <c r="A7" s="16"/>
      <c r="B7" s="19"/>
      <c r="C7" s="43" t="s">
        <v>14</v>
      </c>
      <c r="E7" s="31">
        <v>17.0</v>
      </c>
      <c r="F7" s="32">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17</v>
      </c>
      <c r="G7" s="33">
        <v>10.0</v>
      </c>
      <c r="H7" s="34">
        <f>MIN(20,(INT)+G7)</f>
        <v>20</v>
      </c>
      <c r="I7" s="44" t="s">
        <v>15</v>
      </c>
      <c r="J7" s="36"/>
      <c r="K7" s="37" t="s">
        <v>16</v>
      </c>
      <c r="L7" s="38" t="s">
        <v>17</v>
      </c>
      <c r="N7" s="15"/>
    </row>
    <row r="8" ht="25.5" customHeight="1">
      <c r="A8" s="16"/>
      <c r="B8" s="19"/>
      <c r="C8" s="43" t="s">
        <v>18</v>
      </c>
      <c r="E8" s="39">
        <v>16.0</v>
      </c>
      <c r="F8" s="45">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16</v>
      </c>
      <c r="G8" s="40">
        <v>10.0</v>
      </c>
      <c r="H8" s="34">
        <f>MIN(20,(WIS)+G8)</f>
        <v>20</v>
      </c>
      <c r="I8" s="44" t="s">
        <v>19</v>
      </c>
      <c r="J8" s="36"/>
      <c r="K8" s="46">
        <v>500.0</v>
      </c>
      <c r="L8" s="47">
        <v>30.0</v>
      </c>
      <c r="N8" s="15"/>
    </row>
    <row r="9" ht="25.5" customHeight="1">
      <c r="A9" s="16"/>
      <c r="B9" s="19"/>
      <c r="C9" s="48" t="s">
        <v>20</v>
      </c>
      <c r="D9" s="49"/>
      <c r="E9" s="50">
        <v>20.0</v>
      </c>
      <c r="F9" s="51">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20</v>
      </c>
      <c r="G9" s="52">
        <v>10.0</v>
      </c>
      <c r="H9" s="53">
        <f>MIN(20,(CHA)+G9)</f>
        <v>20</v>
      </c>
      <c r="I9" s="54" t="s">
        <v>21</v>
      </c>
      <c r="J9" s="55"/>
      <c r="K9" s="56" t="s">
        <v>22</v>
      </c>
      <c r="L9" s="57" t="s">
        <v>23</v>
      </c>
      <c r="N9" s="15"/>
    </row>
    <row r="10" ht="25.5" customHeight="1">
      <c r="A10" s="16"/>
      <c r="B10" s="19"/>
      <c r="C10" s="58"/>
      <c r="D10" s="59" t="s">
        <v>24</v>
      </c>
      <c r="E10" s="60" t="s">
        <v>25</v>
      </c>
      <c r="F10" s="60" t="s">
        <v>26</v>
      </c>
      <c r="G10" s="60" t="s">
        <v>27</v>
      </c>
      <c r="H10" s="60" t="s">
        <v>28</v>
      </c>
      <c r="K10" s="59" t="s">
        <v>29</v>
      </c>
      <c r="L10" s="61"/>
      <c r="N10" s="15"/>
    </row>
    <row r="11" ht="21.75" customHeight="1">
      <c r="A11" s="16"/>
      <c r="B11" s="19"/>
      <c r="C11" s="14"/>
      <c r="D11" s="62"/>
      <c r="E11" s="62"/>
      <c r="F11" s="62"/>
      <c r="G11" s="62"/>
      <c r="H11" s="62"/>
      <c r="I11" s="62"/>
      <c r="J11" s="62"/>
      <c r="K11" s="62"/>
      <c r="L11" s="62"/>
      <c r="M11" s="62"/>
      <c r="N11" s="61"/>
    </row>
    <row r="12" ht="25.5" customHeight="1">
      <c r="A12" s="16"/>
      <c r="B12" s="19"/>
      <c r="D12" s="63" t="s">
        <v>30</v>
      </c>
      <c r="E12" s="64" t="s">
        <v>31</v>
      </c>
      <c r="F12" s="65">
        <v>1.0</v>
      </c>
      <c r="G12" s="64"/>
      <c r="H12" s="66"/>
      <c r="I12" s="67"/>
      <c r="J12" s="68"/>
      <c r="K12" s="65"/>
      <c r="L12" s="69"/>
      <c r="M12" s="70"/>
      <c r="N12" s="15"/>
    </row>
    <row r="13" ht="25.5" customHeight="1">
      <c r="A13" s="16"/>
      <c r="B13" s="19"/>
      <c r="D13" s="71" t="s">
        <v>32</v>
      </c>
      <c r="E13" s="18" t="s">
        <v>33</v>
      </c>
      <c r="F13" s="18" t="s">
        <v>34</v>
      </c>
      <c r="G13" s="18" t="s">
        <v>35</v>
      </c>
      <c r="H13" s="72"/>
      <c r="J13" s="71" t="s">
        <v>36</v>
      </c>
      <c r="K13" s="18" t="s">
        <v>37</v>
      </c>
      <c r="L13" s="73" t="s">
        <v>38</v>
      </c>
      <c r="N13" s="15"/>
    </row>
    <row r="14" ht="25.5" customHeight="1">
      <c r="A14" s="16"/>
      <c r="B14" s="19"/>
      <c r="D14" s="74" t="s">
        <v>39</v>
      </c>
      <c r="E14" s="75">
        <v>5918492.0</v>
      </c>
      <c r="F14" s="76" t="s">
        <v>40</v>
      </c>
      <c r="G14" s="77">
        <v>1.0</v>
      </c>
      <c r="H14" s="78" t="s">
        <v>41</v>
      </c>
      <c r="J14" s="79"/>
      <c r="L14" s="72"/>
      <c r="N14" s="15"/>
    </row>
    <row r="15" ht="25.5" customHeight="1">
      <c r="A15" s="16"/>
      <c r="B15" s="19"/>
      <c r="D15" s="80" t="s">
        <v>42</v>
      </c>
      <c r="E15" s="80" t="s">
        <v>43</v>
      </c>
      <c r="F15" s="80" t="s">
        <v>44</v>
      </c>
      <c r="G15" s="81" t="s">
        <v>45</v>
      </c>
      <c r="H15" s="80" t="s">
        <v>46</v>
      </c>
      <c r="J15" s="82"/>
      <c r="L15" s="72"/>
      <c r="N15" s="15"/>
    </row>
    <row r="16" ht="25.5" customHeight="1">
      <c r="A16" s="16"/>
      <c r="B16" s="19"/>
      <c r="D16" s="83"/>
      <c r="J16" s="84"/>
      <c r="K16" s="85"/>
      <c r="L16" s="86"/>
      <c r="N16" s="15"/>
    </row>
    <row r="17" ht="25.5" customHeight="1">
      <c r="A17" s="16"/>
      <c r="B17" s="87"/>
      <c r="D17" s="88"/>
      <c r="E17" s="89"/>
      <c r="F17" s="89"/>
      <c r="G17" s="89"/>
      <c r="H17" s="66"/>
      <c r="J17" s="90" t="s">
        <v>47</v>
      </c>
      <c r="K17" s="86"/>
      <c r="L17" s="91"/>
      <c r="N17" s="15"/>
    </row>
    <row r="18" ht="25.5" customHeight="1">
      <c r="A18" s="16"/>
      <c r="B18" s="92"/>
      <c r="D18" s="93"/>
      <c r="H18" s="72"/>
      <c r="J18" s="91"/>
      <c r="N18" s="15"/>
    </row>
    <row r="19" ht="25.5" customHeight="1">
      <c r="A19" s="16"/>
      <c r="B19" s="19"/>
      <c r="D19" s="94"/>
      <c r="H19" s="72"/>
      <c r="J19" s="95"/>
      <c r="K19" s="66"/>
      <c r="N19" s="15"/>
    </row>
    <row r="20" ht="25.5" customHeight="1">
      <c r="A20" s="16"/>
      <c r="B20" s="19"/>
      <c r="D20" s="93"/>
      <c r="H20" s="72"/>
      <c r="J20" s="82"/>
      <c r="K20" s="72"/>
      <c r="N20" s="15"/>
    </row>
    <row r="21" ht="25.5" customHeight="1">
      <c r="A21" s="16"/>
      <c r="B21" s="96"/>
      <c r="D21" s="97"/>
      <c r="E21" s="85"/>
      <c r="F21" s="85"/>
      <c r="G21" s="85"/>
      <c r="H21" s="86"/>
      <c r="J21" s="84"/>
      <c r="K21" s="86"/>
      <c r="N21" s="15"/>
    </row>
    <row r="22" ht="25.5" customHeight="1">
      <c r="A22" s="16"/>
      <c r="B22" s="98"/>
      <c r="D22" s="99" t="s">
        <v>48</v>
      </c>
      <c r="E22" s="62"/>
      <c r="J22" s="99" t="s">
        <v>49</v>
      </c>
      <c r="K22" s="62"/>
      <c r="N22" s="61"/>
    </row>
    <row r="23" ht="22.5" customHeight="1">
      <c r="A23" s="16"/>
      <c r="B23" s="100"/>
      <c r="D23" s="62"/>
      <c r="J23" s="62"/>
      <c r="N23" s="61"/>
    </row>
    <row r="24" ht="11.25" customHeight="1">
      <c r="A24" s="1"/>
      <c r="B24" s="101"/>
      <c r="C24" s="102"/>
      <c r="D24" s="102"/>
      <c r="E24" s="102"/>
      <c r="F24" s="102"/>
      <c r="G24" s="102"/>
      <c r="H24" s="102"/>
      <c r="I24" s="102"/>
      <c r="J24" s="102"/>
      <c r="K24" s="102"/>
      <c r="L24" s="102"/>
      <c r="M24" s="102"/>
      <c r="N24" s="1"/>
      <c r="O24" s="4"/>
    </row>
  </sheetData>
  <mergeCells count="45">
    <mergeCell ref="C2:D2"/>
    <mergeCell ref="C3:D3"/>
    <mergeCell ref="E3:F3"/>
    <mergeCell ref="G3:L3"/>
    <mergeCell ref="C4:D4"/>
    <mergeCell ref="I4:J4"/>
    <mergeCell ref="C5:D5"/>
    <mergeCell ref="I5:J5"/>
    <mergeCell ref="C6:D6"/>
    <mergeCell ref="I6:J6"/>
    <mergeCell ref="C7:D7"/>
    <mergeCell ref="I7:J7"/>
    <mergeCell ref="C8:D8"/>
    <mergeCell ref="I8:J8"/>
    <mergeCell ref="M12:M21"/>
    <mergeCell ref="J14:L16"/>
    <mergeCell ref="J17:K17"/>
    <mergeCell ref="L17:L21"/>
    <mergeCell ref="J18:K18"/>
    <mergeCell ref="J19:K21"/>
    <mergeCell ref="K22:M23"/>
    <mergeCell ref="B24:M24"/>
    <mergeCell ref="B1:M1"/>
    <mergeCell ref="A2:A23"/>
    <mergeCell ref="E2:F2"/>
    <mergeCell ref="G2:I2"/>
    <mergeCell ref="M2:M10"/>
    <mergeCell ref="O2:O23"/>
    <mergeCell ref="H10:J10"/>
    <mergeCell ref="C9:D9"/>
    <mergeCell ref="I9:J9"/>
    <mergeCell ref="B3:B17"/>
    <mergeCell ref="C11:C21"/>
    <mergeCell ref="B18:B20"/>
    <mergeCell ref="G12:H12"/>
    <mergeCell ref="I12:I21"/>
    <mergeCell ref="G13:H13"/>
    <mergeCell ref="D16:H16"/>
    <mergeCell ref="D17:H17"/>
    <mergeCell ref="D18:H18"/>
    <mergeCell ref="D19:H19"/>
    <mergeCell ref="D20:H20"/>
    <mergeCell ref="D21:H21"/>
    <mergeCell ref="B22:C23"/>
    <mergeCell ref="E22:I23"/>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list" allowBlank="1" showErrorMessage="1" sqref="F12">
      <formula1>"1,2,3,4,5,6,7,8,9,10"</formula1>
    </dataValidation>
    <dataValidation type="decimal" operator="greaterThan" allowBlank="1" showErrorMessage="1" sqref="E14">
      <formula1>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10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28.5" customHeight="1">
      <c r="A1" s="58"/>
      <c r="C1" s="104" t="s">
        <v>50</v>
      </c>
      <c r="N1" s="105"/>
      <c r="O1" s="106"/>
      <c r="P1" s="105"/>
      <c r="Q1" s="107" t="s">
        <v>51</v>
      </c>
      <c r="Y1" s="108"/>
    </row>
    <row r="2" ht="18.75" customHeight="1">
      <c r="C2" s="109" t="s">
        <v>52</v>
      </c>
      <c r="D2" s="110" t="s">
        <v>25</v>
      </c>
      <c r="E2" s="109" t="s">
        <v>53</v>
      </c>
      <c r="I2" s="109" t="s">
        <v>29</v>
      </c>
      <c r="J2" s="110" t="s">
        <v>54</v>
      </c>
      <c r="K2" s="110" t="s">
        <v>55</v>
      </c>
      <c r="L2" s="110" t="s">
        <v>56</v>
      </c>
      <c r="M2" s="110" t="s">
        <v>57</v>
      </c>
      <c r="Q2" s="109" t="s">
        <v>52</v>
      </c>
      <c r="R2" s="110" t="s">
        <v>25</v>
      </c>
      <c r="S2" s="110" t="s">
        <v>58</v>
      </c>
      <c r="T2" s="110" t="s">
        <v>29</v>
      </c>
      <c r="U2" s="110" t="s">
        <v>54</v>
      </c>
      <c r="V2" s="110" t="s">
        <v>59</v>
      </c>
      <c r="W2" s="110" t="s">
        <v>56</v>
      </c>
      <c r="X2" s="110" t="s">
        <v>57</v>
      </c>
    </row>
    <row r="3" ht="7.5" customHeight="1">
      <c r="A3" s="1"/>
      <c r="B3" s="1"/>
      <c r="O3" s="111"/>
      <c r="P3" s="112"/>
      <c r="Y3" s="113"/>
    </row>
    <row r="4" ht="22.5" customHeight="1">
      <c r="B4" s="14"/>
      <c r="C4" s="114" t="s">
        <v>60</v>
      </c>
      <c r="D4" s="89"/>
      <c r="E4" s="89"/>
      <c r="F4" s="89"/>
      <c r="G4" s="89"/>
      <c r="H4" s="89"/>
      <c r="I4" s="89"/>
      <c r="J4" s="89"/>
      <c r="K4" s="89"/>
      <c r="L4" s="89"/>
      <c r="M4" s="66"/>
      <c r="N4" s="115"/>
      <c r="P4" s="115"/>
      <c r="Q4" s="116" t="s">
        <v>61</v>
      </c>
      <c r="R4" s="89"/>
      <c r="S4" s="89"/>
      <c r="T4" s="89"/>
      <c r="U4" s="89"/>
      <c r="V4" s="89"/>
      <c r="W4" s="89"/>
      <c r="X4" s="66"/>
    </row>
    <row r="5" ht="22.5" customHeight="1">
      <c r="C5" s="117" t="s">
        <v>62</v>
      </c>
      <c r="D5" s="118"/>
      <c r="E5" s="119" t="s">
        <v>63</v>
      </c>
      <c r="F5" s="120">
        <f>STR</f>
        <v>14</v>
      </c>
      <c r="G5" s="120">
        <f>CON</f>
        <v>15</v>
      </c>
      <c r="H5" s="121"/>
      <c r="I5" s="122"/>
      <c r="J5" s="123" t="str">
        <f t="shared" ref="J5:J9" si="1">IF(AND(D5 &lt; 4, D5 &gt; 1)," Coin",
IF(AND(D5 &lt; 20, D5 &gt; 12)," d12",
IF(D5 = 0, "No Skill",
IF(D5 = 1, 1,
" d" &amp; 2*ROUNDDOWN(D5/2,0)))))
&amp;
IF(I5&gt;0,"+"&amp;I5,I5)</f>
        <v>No Skill</v>
      </c>
      <c r="K5" s="124">
        <f t="shared" ref="K5:K9" si="2">MIN(F5,G5,H5)</f>
        <v>14</v>
      </c>
      <c r="L5" s="125">
        <f t="shared" ref="L5:L9" si="3">D5+I5</f>
        <v>0</v>
      </c>
      <c r="M5" s="126" t="s">
        <v>64</v>
      </c>
      <c r="Q5" s="127" t="s">
        <v>65</v>
      </c>
      <c r="R5" s="128"/>
      <c r="S5" s="129"/>
      <c r="T5" s="129"/>
      <c r="U5" s="130" t="str">
        <f t="shared" ref="U5:U7" si="4">
IF(AND(R5 &lt; 4, R5 &gt; 1)," Coin",
IF(AND(R5 &lt; 20, R5 &gt; 12)," d12", 
IF(R5 = 0, "No Skill",
IF(R5 = 1, 1,
" d" &amp; 2*ROUNDDOWN(R5/2,0)))))
&amp;
IF(T5&gt;0,"+"&amp;T5,T5)</f>
        <v>No Skill</v>
      </c>
      <c r="V5" s="131">
        <f>IF(S5&gt;0,S5,IF(R17="Mercy",10,IF(R17="Severity",0,5)))</f>
        <v>5</v>
      </c>
      <c r="W5" s="130">
        <f>R5+W17+W18+T5</f>
        <v>0</v>
      </c>
      <c r="X5" s="132" t="s">
        <v>64</v>
      </c>
    </row>
    <row r="6" ht="22.5" customHeight="1">
      <c r="C6" s="117" t="s">
        <v>66</v>
      </c>
      <c r="D6" s="118"/>
      <c r="E6" s="119" t="s">
        <v>67</v>
      </c>
      <c r="F6" s="120">
        <f>DEX</f>
        <v>15</v>
      </c>
      <c r="G6" s="120">
        <f>WIS</f>
        <v>16</v>
      </c>
      <c r="H6" s="121"/>
      <c r="I6" s="122"/>
      <c r="J6" s="123" t="str">
        <f t="shared" si="1"/>
        <v>No Skill</v>
      </c>
      <c r="K6" s="124">
        <f t="shared" si="2"/>
        <v>15</v>
      </c>
      <c r="L6" s="125">
        <f t="shared" si="3"/>
        <v>0</v>
      </c>
      <c r="M6" s="126" t="s">
        <v>64</v>
      </c>
      <c r="Q6" s="127" t="s">
        <v>68</v>
      </c>
      <c r="R6" s="128"/>
      <c r="S6" s="129"/>
      <c r="T6" s="129"/>
      <c r="U6" s="130" t="str">
        <f t="shared" si="4"/>
        <v>No Skill</v>
      </c>
      <c r="V6" s="131">
        <f>IF(S6&gt;0,S6,IF(R17="Mercy",10,IF(R17="Severity",0,5)))</f>
        <v>5</v>
      </c>
      <c r="W6" s="130">
        <f>R6+W17+W18+T6</f>
        <v>0</v>
      </c>
      <c r="X6" s="132" t="s">
        <v>64</v>
      </c>
    </row>
    <row r="7" ht="22.5" customHeight="1">
      <c r="C7" s="133" t="s">
        <v>69</v>
      </c>
      <c r="D7" s="118"/>
      <c r="E7" s="119" t="s">
        <v>70</v>
      </c>
      <c r="F7" s="120">
        <f>STR</f>
        <v>14</v>
      </c>
      <c r="G7" s="120">
        <f>DEX</f>
        <v>15</v>
      </c>
      <c r="H7" s="121"/>
      <c r="I7" s="122"/>
      <c r="J7" s="123" t="str">
        <f t="shared" si="1"/>
        <v>No Skill</v>
      </c>
      <c r="K7" s="124">
        <f t="shared" si="2"/>
        <v>14</v>
      </c>
      <c r="L7" s="125">
        <f t="shared" si="3"/>
        <v>0</v>
      </c>
      <c r="M7" s="126" t="s">
        <v>64</v>
      </c>
      <c r="Q7" s="134" t="s">
        <v>71</v>
      </c>
      <c r="R7" s="135"/>
      <c r="S7" s="136"/>
      <c r="T7" s="136"/>
      <c r="U7" s="137" t="str">
        <f t="shared" si="4"/>
        <v>No Skill</v>
      </c>
      <c r="V7" s="138">
        <f>IF(S7&gt;0,S7,IF(R17="Mercy",10,IF(R17="Severity",0,5)))</f>
        <v>5</v>
      </c>
      <c r="W7" s="137">
        <f>R7+W17+W18+T7</f>
        <v>0</v>
      </c>
      <c r="X7" s="139" t="s">
        <v>64</v>
      </c>
    </row>
    <row r="8" ht="22.5" customHeight="1">
      <c r="C8" s="117" t="s">
        <v>72</v>
      </c>
      <c r="D8" s="118"/>
      <c r="E8" s="119" t="s">
        <v>73</v>
      </c>
      <c r="F8" s="120">
        <f>STR</f>
        <v>14</v>
      </c>
      <c r="G8" s="120">
        <f>DEX</f>
        <v>15</v>
      </c>
      <c r="H8" s="120">
        <f>CON</f>
        <v>15</v>
      </c>
      <c r="I8" s="122"/>
      <c r="J8" s="123" t="str">
        <f t="shared" si="1"/>
        <v>No Skill</v>
      </c>
      <c r="K8" s="124">
        <f t="shared" si="2"/>
        <v>14</v>
      </c>
      <c r="L8" s="125">
        <f t="shared" si="3"/>
        <v>0</v>
      </c>
      <c r="M8" s="126" t="s">
        <v>64</v>
      </c>
      <c r="Q8" s="116" t="s">
        <v>74</v>
      </c>
      <c r="R8" s="89"/>
      <c r="S8" s="89"/>
      <c r="T8" s="89"/>
      <c r="U8" s="89"/>
      <c r="V8" s="89"/>
      <c r="W8" s="89"/>
      <c r="X8" s="66"/>
    </row>
    <row r="9" ht="22.5" customHeight="1">
      <c r="C9" s="140" t="s">
        <v>75</v>
      </c>
      <c r="D9" s="141"/>
      <c r="E9" s="142" t="s">
        <v>76</v>
      </c>
      <c r="F9" s="143">
        <f>STR</f>
        <v>14</v>
      </c>
      <c r="G9" s="143">
        <f>DEX</f>
        <v>15</v>
      </c>
      <c r="H9" s="143">
        <f>CHA</f>
        <v>20</v>
      </c>
      <c r="I9" s="144"/>
      <c r="J9" s="145" t="str">
        <f t="shared" si="1"/>
        <v>No Skill</v>
      </c>
      <c r="K9" s="146">
        <f t="shared" si="2"/>
        <v>14</v>
      </c>
      <c r="L9" s="147">
        <f t="shared" si="3"/>
        <v>0</v>
      </c>
      <c r="M9" s="148" t="s">
        <v>64</v>
      </c>
      <c r="Q9" s="127" t="s">
        <v>77</v>
      </c>
      <c r="R9" s="149"/>
      <c r="S9" s="129"/>
      <c r="T9" s="129"/>
      <c r="U9" s="130" t="str">
        <f t="shared" ref="U9:U12" si="5">
IF(AND(R9 &lt; 4, R9 &gt; 1)," Coin",
IF(AND(R9 &lt; 20, R9 &gt; 12)," d12", 
IF(R9 = 0, "No Skill",
IF(R9 = 1, 1,
" d" &amp; 2*ROUNDDOWN(R9/2,0)))))
&amp;
IF(T9&gt;0,"+"&amp;T9,T9)</f>
        <v>No Skill</v>
      </c>
      <c r="V9" s="131">
        <f>IF(S9&gt;0,S9,IF(R17="Mercy",5,IF(R17="Severity",5,5)))</f>
        <v>5</v>
      </c>
      <c r="W9" s="130">
        <f>R9+W17+W18+T9</f>
        <v>0</v>
      </c>
      <c r="X9" s="150" t="s">
        <v>64</v>
      </c>
    </row>
    <row r="10" ht="22.5" customHeight="1">
      <c r="C10" s="114" t="s">
        <v>78</v>
      </c>
      <c r="D10" s="89"/>
      <c r="E10" s="89"/>
      <c r="F10" s="89"/>
      <c r="G10" s="89"/>
      <c r="H10" s="89"/>
      <c r="I10" s="89"/>
      <c r="J10" s="89"/>
      <c r="K10" s="89"/>
      <c r="L10" s="89"/>
      <c r="M10" s="66"/>
      <c r="Q10" s="127" t="s">
        <v>79</v>
      </c>
      <c r="R10" s="149"/>
      <c r="S10" s="129"/>
      <c r="T10" s="129"/>
      <c r="U10" s="130" t="str">
        <f t="shared" si="5"/>
        <v>No Skill</v>
      </c>
      <c r="V10" s="131">
        <f>IF(S10&gt;0,S10,IF(R17="Mercy",5,IF(R17="Severity",5,5)))</f>
        <v>5</v>
      </c>
      <c r="W10" s="130">
        <f>R10+W17+W18+T10</f>
        <v>0</v>
      </c>
      <c r="X10" s="150" t="s">
        <v>64</v>
      </c>
    </row>
    <row r="11" ht="22.5" customHeight="1">
      <c r="C11" s="117" t="s">
        <v>80</v>
      </c>
      <c r="D11" s="118"/>
      <c r="E11" s="119" t="s">
        <v>81</v>
      </c>
      <c r="F11" s="120">
        <f>WIS</f>
        <v>16</v>
      </c>
      <c r="G11" s="120">
        <f>CHA</f>
        <v>20</v>
      </c>
      <c r="H11" s="121"/>
      <c r="I11" s="122"/>
      <c r="J11" s="151" t="str">
        <f>IF(AND(D11 &lt; 4, D11 &gt; 1)," Coin",
IF(AND(D11 &lt; 20, D11 &gt; 12)," d12",
IF(D11 = 0, "No Skill",
IF(D11 = 1, 1,
" d" &amp; 2*ROUNDDOWN(D11/2,0)))))
&amp;
IF(I11&gt;0,"+"&amp;I11,I11)
&amp;
IF(BEAUTYMOD &gt; 0,"+" &amp; BEAUTYMOD, "-" &amp; BEAUTYMOD*-1)</f>
        <v>No Skill-3</v>
      </c>
      <c r="K11" s="124">
        <f t="shared" ref="K11:K15" si="6">MIN(F11,G11,H11)</f>
        <v>16</v>
      </c>
      <c r="L11" s="152">
        <f>BEAUTYMOD+I11+D11</f>
        <v>-3</v>
      </c>
      <c r="M11" s="126" t="s">
        <v>64</v>
      </c>
      <c r="Q11" s="127" t="s">
        <v>82</v>
      </c>
      <c r="R11" s="149"/>
      <c r="S11" s="129"/>
      <c r="T11" s="129"/>
      <c r="U11" s="130" t="str">
        <f t="shared" si="5"/>
        <v>No Skill</v>
      </c>
      <c r="V11" s="131">
        <f>IF(S11&gt;0,S11,IF(R17="Mercy",5,IF(R17="Severity",5,5)))</f>
        <v>5</v>
      </c>
      <c r="W11" s="130">
        <f>R11+W17+W18+T11</f>
        <v>0</v>
      </c>
      <c r="X11" s="150" t="s">
        <v>64</v>
      </c>
    </row>
    <row r="12" ht="22.5" customHeight="1">
      <c r="C12" s="117" t="s">
        <v>83</v>
      </c>
      <c r="D12" s="118"/>
      <c r="E12" s="119" t="s">
        <v>84</v>
      </c>
      <c r="F12" s="120">
        <f>STR</f>
        <v>14</v>
      </c>
      <c r="G12" s="120">
        <f>CHA</f>
        <v>20</v>
      </c>
      <c r="H12" s="121"/>
      <c r="I12" s="122"/>
      <c r="J12" s="151" t="str">
        <f>IF(AND(D12 &lt; 4, D12 &gt; 1)," Coin",
IF(AND(D12 &lt; 20, D12 &gt; 12)," d12",
IF(D12 = 0, "No Skill",
IF(D12 = 1, 1,
" d" &amp; 2*ROUNDDOWN(D12/2,0)))))
&amp;
IF(I12&gt;0,"+"&amp;I12,I12)
&amp;
IF(BEAUTYMOD &gt; 0,"-" &amp; BEAUTYMOD, "+" &amp; BEAUTYMOD*-1)</f>
        <v>No Skill+3</v>
      </c>
      <c r="K12" s="124">
        <f t="shared" si="6"/>
        <v>14</v>
      </c>
      <c r="L12" s="152">
        <f>(BEAUTYMOD*-1)+I12+D12</f>
        <v>3</v>
      </c>
      <c r="M12" s="126" t="s">
        <v>64</v>
      </c>
      <c r="Q12" s="134" t="s">
        <v>85</v>
      </c>
      <c r="R12" s="153"/>
      <c r="S12" s="136"/>
      <c r="T12" s="136"/>
      <c r="U12" s="137" t="str">
        <f t="shared" si="5"/>
        <v>No Skill</v>
      </c>
      <c r="V12" s="138">
        <f>IF(S12&gt;0,S12,IF(R17="Mercy",5,IF(R17="Severity",5,5)))</f>
        <v>5</v>
      </c>
      <c r="W12" s="137">
        <f>R12+W17+W18+T12</f>
        <v>0</v>
      </c>
      <c r="X12" s="154" t="s">
        <v>64</v>
      </c>
    </row>
    <row r="13" ht="22.5" customHeight="1">
      <c r="C13" s="117" t="s">
        <v>86</v>
      </c>
      <c r="D13" s="118"/>
      <c r="E13" s="119" t="s">
        <v>87</v>
      </c>
      <c r="F13" s="120">
        <f>INT</f>
        <v>17</v>
      </c>
      <c r="G13" s="120">
        <f>CHA</f>
        <v>20</v>
      </c>
      <c r="H13" s="121"/>
      <c r="I13" s="122"/>
      <c r="J13" s="151" t="str">
        <f>IF(AND(D13 &lt; 4, D13 &gt; 1)," Coin",
IF(AND(D13 &lt; 20, D13 &gt; 12)," d12",
IF(D13 = 0, "No Skill",
IF(D13 = 1, 1,
" d" &amp; 2*ROUNDDOWN(D13/2,0)))))
&amp;
IF(I13&gt;0,"+"&amp;I13,I13)
&amp;
IF(BEAUTYMOD &gt; 0,"+" &amp; BEAUTYMOD, "-" &amp; BEAUTYMOD*-1)</f>
        <v>No Skill-3</v>
      </c>
      <c r="K13" s="124">
        <f t="shared" si="6"/>
        <v>17</v>
      </c>
      <c r="L13" s="152">
        <f>BEAUTYMOD+I13+D13</f>
        <v>-3</v>
      </c>
      <c r="M13" s="126" t="s">
        <v>64</v>
      </c>
      <c r="Q13" s="116" t="s">
        <v>88</v>
      </c>
      <c r="R13" s="89"/>
      <c r="S13" s="89"/>
      <c r="T13" s="89"/>
      <c r="U13" s="89"/>
      <c r="V13" s="89"/>
      <c r="W13" s="89"/>
      <c r="X13" s="66"/>
    </row>
    <row r="14" ht="22.5" customHeight="1">
      <c r="C14" s="117" t="s">
        <v>89</v>
      </c>
      <c r="D14" s="118"/>
      <c r="E14" s="119" t="s">
        <v>90</v>
      </c>
      <c r="F14" s="120">
        <f>INT</f>
        <v>17</v>
      </c>
      <c r="G14" s="120">
        <f>WIS</f>
        <v>16</v>
      </c>
      <c r="H14" s="120"/>
      <c r="I14" s="122"/>
      <c r="J14" s="123" t="str">
        <f t="shared" ref="J14:J15" si="7">IF(AND(D14 &lt; 4, D14 &gt; 1)," Coin",
IF(AND(D14 &lt; 20, D14 &gt; 12)," d12",
IF(D14 = 0, "No Skill",
IF(D14 = 1, 1,
" d" &amp; 2*ROUNDDOWN(D14/2,0)))))
&amp;
IF(I14&gt;0,"+"&amp;I14,I14)</f>
        <v>No Skill</v>
      </c>
      <c r="K14" s="124">
        <f t="shared" si="6"/>
        <v>16</v>
      </c>
      <c r="L14" s="125">
        <f t="shared" ref="L14:L15" si="8">D14+I14</f>
        <v>0</v>
      </c>
      <c r="M14" s="126" t="s">
        <v>64</v>
      </c>
      <c r="Q14" s="127" t="s">
        <v>91</v>
      </c>
      <c r="R14" s="155"/>
      <c r="S14" s="129"/>
      <c r="T14" s="129"/>
      <c r="U14" s="130" t="str">
        <f t="shared" ref="U14:U16" si="9">
IF(AND(R14 &lt; 4, R14 &gt; 1)," Coin",
IF(AND(R14 &lt; 20, R14 &gt; 12)," d12", 
IF(R14 = 0, "No Skill",
IF(R14 = 1, 1,
" d" &amp; 2*ROUNDDOWN(R14/2,0)))))
&amp;
IF(T14&gt;0,"+"&amp;T14,T14)</f>
        <v>No Skill</v>
      </c>
      <c r="V14" s="131">
        <f>IF(S14&gt;0,S14,IF(R17="Mercy",0,IF(R17="Severity",10,5)))</f>
        <v>5</v>
      </c>
      <c r="W14" s="130">
        <f>R14+W17+W18+T14</f>
        <v>0</v>
      </c>
      <c r="X14" s="150" t="s">
        <v>64</v>
      </c>
    </row>
    <row r="15" ht="22.5" customHeight="1">
      <c r="C15" s="140" t="s">
        <v>92</v>
      </c>
      <c r="D15" s="141"/>
      <c r="E15" s="142" t="s">
        <v>93</v>
      </c>
      <c r="F15" s="143">
        <f>INT</f>
        <v>17</v>
      </c>
      <c r="G15" s="143">
        <f>WIS</f>
        <v>16</v>
      </c>
      <c r="H15" s="143">
        <f>CHA</f>
        <v>20</v>
      </c>
      <c r="I15" s="156"/>
      <c r="J15" s="145" t="str">
        <f t="shared" si="7"/>
        <v>No Skill</v>
      </c>
      <c r="K15" s="146">
        <f t="shared" si="6"/>
        <v>16</v>
      </c>
      <c r="L15" s="147">
        <f t="shared" si="8"/>
        <v>0</v>
      </c>
      <c r="M15" s="148" t="s">
        <v>64</v>
      </c>
      <c r="Q15" s="127" t="s">
        <v>94</v>
      </c>
      <c r="R15" s="155"/>
      <c r="S15" s="129"/>
      <c r="T15" s="129"/>
      <c r="U15" s="130" t="str">
        <f t="shared" si="9"/>
        <v>No Skill</v>
      </c>
      <c r="V15" s="131">
        <f>IF(S15&gt;0,S15,IF(R17="Mercy",0,IF(R17="Severity",10,5)))</f>
        <v>5</v>
      </c>
      <c r="W15" s="130">
        <f>R15+W17+W18+T15</f>
        <v>0</v>
      </c>
      <c r="X15" s="150" t="s">
        <v>64</v>
      </c>
    </row>
    <row r="16" ht="22.5" customHeight="1">
      <c r="C16" s="114" t="s">
        <v>95</v>
      </c>
      <c r="D16" s="89"/>
      <c r="E16" s="89"/>
      <c r="F16" s="89"/>
      <c r="G16" s="89"/>
      <c r="H16" s="89"/>
      <c r="I16" s="89"/>
      <c r="J16" s="89"/>
      <c r="K16" s="89"/>
      <c r="L16" s="89"/>
      <c r="M16" s="66"/>
      <c r="Q16" s="134" t="s">
        <v>96</v>
      </c>
      <c r="R16" s="157"/>
      <c r="S16" s="136"/>
      <c r="T16" s="136"/>
      <c r="U16" s="130" t="str">
        <f t="shared" si="9"/>
        <v>No Skill</v>
      </c>
      <c r="V16" s="131">
        <f>IF(S16&gt;0,S16,IF(R17="Mercy",0,IF(R17="Severity",10,5)))</f>
        <v>5</v>
      </c>
      <c r="W16" s="130">
        <f>R16+W17+W18+T16</f>
        <v>0</v>
      </c>
      <c r="X16" s="154" t="s">
        <v>64</v>
      </c>
    </row>
    <row r="17" ht="22.5" customHeight="1">
      <c r="C17" s="133" t="s">
        <v>97</v>
      </c>
      <c r="D17" s="118"/>
      <c r="E17" s="119" t="s">
        <v>70</v>
      </c>
      <c r="F17" s="120">
        <f>STR</f>
        <v>14</v>
      </c>
      <c r="G17" s="120">
        <f>DEX</f>
        <v>15</v>
      </c>
      <c r="H17" s="121"/>
      <c r="I17" s="122"/>
      <c r="J17" s="123" t="str">
        <f t="shared" ref="J17:J23" si="10">IF(AND(D17 &lt; 4, D17 &gt; 1)," Coin",
IF(AND(D17 &lt; 20, D17 &gt; 12)," d12",
IF(D17 = 0, "No Skill",
IF(D17 = 1, 1,
" d" &amp; 2*ROUNDDOWN(D17/2,0)))))
&amp;
IF(I17&gt;0,"+"&amp;I17,I17)</f>
        <v>No Skill</v>
      </c>
      <c r="K17" s="124">
        <f t="shared" ref="K17:K23" si="11">MIN(F17,G17,H17)</f>
        <v>14</v>
      </c>
      <c r="L17" s="125">
        <f t="shared" ref="L17:L23" si="12">D17+I17</f>
        <v>0</v>
      </c>
      <c r="M17" s="126" t="s">
        <v>64</v>
      </c>
      <c r="Q17" s="133" t="s">
        <v>98</v>
      </c>
      <c r="R17" s="158" t="s">
        <v>41</v>
      </c>
      <c r="S17" s="159"/>
      <c r="T17" s="160" t="s">
        <v>99</v>
      </c>
      <c r="U17" s="161" t="s">
        <v>100</v>
      </c>
      <c r="V17" s="162"/>
      <c r="W17" s="163"/>
      <c r="X17" s="159"/>
    </row>
    <row r="18" ht="22.5" customHeight="1">
      <c r="C18" s="117" t="s">
        <v>101</v>
      </c>
      <c r="D18" s="118"/>
      <c r="E18" s="119" t="s">
        <v>70</v>
      </c>
      <c r="F18" s="120">
        <f>STR</f>
        <v>14</v>
      </c>
      <c r="G18" s="120">
        <f>DEX</f>
        <v>15</v>
      </c>
      <c r="H18" s="121"/>
      <c r="I18" s="122"/>
      <c r="J18" s="123" t="str">
        <f t="shared" si="10"/>
        <v>No Skill</v>
      </c>
      <c r="K18" s="124">
        <f t="shared" si="11"/>
        <v>14</v>
      </c>
      <c r="L18" s="125">
        <f t="shared" si="12"/>
        <v>0</v>
      </c>
      <c r="M18" s="164" t="s">
        <v>64</v>
      </c>
      <c r="Q18" s="165">
        <v>0.0</v>
      </c>
      <c r="R18" s="166">
        <f>MAX(Main!F7,1)+Q18</f>
        <v>17</v>
      </c>
      <c r="T18" s="82"/>
      <c r="U18" s="161" t="s">
        <v>102</v>
      </c>
      <c r="V18" s="167"/>
      <c r="W18" s="168"/>
      <c r="X18" s="169"/>
    </row>
    <row r="19" ht="22.5" customHeight="1">
      <c r="C19" s="133" t="s">
        <v>103</v>
      </c>
      <c r="D19" s="118"/>
      <c r="E19" s="119" t="s">
        <v>63</v>
      </c>
      <c r="F19" s="120">
        <f>STR</f>
        <v>14</v>
      </c>
      <c r="G19" s="120">
        <f>CON</f>
        <v>15</v>
      </c>
      <c r="H19" s="121"/>
      <c r="I19" s="122"/>
      <c r="J19" s="123" t="str">
        <f t="shared" si="10"/>
        <v>No Skill</v>
      </c>
      <c r="K19" s="124">
        <f t="shared" si="11"/>
        <v>14</v>
      </c>
      <c r="L19" s="125">
        <f t="shared" si="12"/>
        <v>0</v>
      </c>
      <c r="M19" s="164" t="s">
        <v>64</v>
      </c>
      <c r="Q19" s="170"/>
      <c r="R19" s="171"/>
      <c r="T19" s="82"/>
      <c r="U19" s="162"/>
      <c r="V19" s="162"/>
      <c r="W19" s="162"/>
    </row>
    <row r="20" ht="22.5" customHeight="1">
      <c r="C20" s="117" t="s">
        <v>104</v>
      </c>
      <c r="D20" s="118"/>
      <c r="E20" s="119" t="s">
        <v>105</v>
      </c>
      <c r="F20" s="120">
        <f>DEX</f>
        <v>15</v>
      </c>
      <c r="G20" s="120">
        <f>CHA</f>
        <v>20</v>
      </c>
      <c r="H20" s="121"/>
      <c r="I20" s="122"/>
      <c r="J20" s="123" t="str">
        <f t="shared" si="10"/>
        <v>No Skill</v>
      </c>
      <c r="K20" s="124">
        <f t="shared" si="11"/>
        <v>15</v>
      </c>
      <c r="L20" s="125">
        <f t="shared" si="12"/>
        <v>0</v>
      </c>
      <c r="M20" s="164" t="s">
        <v>64</v>
      </c>
      <c r="Q20" s="172" t="s">
        <v>106</v>
      </c>
      <c r="R20" s="173" t="s">
        <v>107</v>
      </c>
      <c r="T20" s="82"/>
      <c r="U20" s="167"/>
      <c r="V20" s="167"/>
      <c r="W20" s="167"/>
    </row>
    <row r="21" ht="22.5" customHeight="1">
      <c r="C21" s="117" t="s">
        <v>108</v>
      </c>
      <c r="D21" s="118"/>
      <c r="E21" s="119" t="s">
        <v>109</v>
      </c>
      <c r="F21" s="120">
        <f>STR</f>
        <v>14</v>
      </c>
      <c r="G21" s="120">
        <f>DEX</f>
        <v>15</v>
      </c>
      <c r="H21" s="120">
        <f>WIS</f>
        <v>16</v>
      </c>
      <c r="I21" s="122"/>
      <c r="J21" s="123" t="str">
        <f t="shared" si="10"/>
        <v>No Skill</v>
      </c>
      <c r="K21" s="124">
        <f t="shared" si="11"/>
        <v>14</v>
      </c>
      <c r="L21" s="125">
        <f t="shared" si="12"/>
        <v>0</v>
      </c>
      <c r="M21" s="164" t="s">
        <v>64</v>
      </c>
      <c r="Q21" s="174" t="s">
        <v>110</v>
      </c>
      <c r="R21" s="175">
        <f>FLOOR(SUM(D5:D9,D11:D15,D17:D23,D25:D27,D29:D31,D33:D36,D38:D42,D44:D48,D50:D53,D55:D57,D59:D61,D63:D65)+SUM(R5:R7,R9:R12,R14:R16)*2,1)</f>
        <v>0</v>
      </c>
      <c r="T21" s="84"/>
      <c r="U21" s="162"/>
      <c r="V21" s="162"/>
      <c r="W21" s="163"/>
      <c r="X21" s="159"/>
    </row>
    <row r="22" ht="22.5" customHeight="1">
      <c r="C22" s="117" t="s">
        <v>111</v>
      </c>
      <c r="D22" s="118"/>
      <c r="E22" s="119" t="s">
        <v>112</v>
      </c>
      <c r="F22" s="120">
        <f>DEX</f>
        <v>15</v>
      </c>
      <c r="G22" s="120">
        <f>CON</f>
        <v>15</v>
      </c>
      <c r="H22" s="120">
        <f>WIS</f>
        <v>16</v>
      </c>
      <c r="I22" s="122"/>
      <c r="J22" s="123" t="str">
        <f t="shared" si="10"/>
        <v>No Skill</v>
      </c>
      <c r="K22" s="124">
        <f t="shared" si="11"/>
        <v>15</v>
      </c>
      <c r="L22" s="125">
        <f t="shared" si="12"/>
        <v>0</v>
      </c>
      <c r="M22" s="164" t="s">
        <v>64</v>
      </c>
      <c r="Q22" s="62"/>
    </row>
    <row r="23" ht="22.5" customHeight="1">
      <c r="C23" s="174" t="s">
        <v>113</v>
      </c>
      <c r="D23" s="141"/>
      <c r="E23" s="142" t="s">
        <v>73</v>
      </c>
      <c r="F23" s="143">
        <f>STR</f>
        <v>14</v>
      </c>
      <c r="G23" s="143">
        <f>DEX</f>
        <v>15</v>
      </c>
      <c r="H23" s="143">
        <f>CON</f>
        <v>15</v>
      </c>
      <c r="I23" s="156"/>
      <c r="J23" s="145" t="str">
        <f t="shared" si="10"/>
        <v>No Skill</v>
      </c>
      <c r="K23" s="146">
        <f t="shared" si="11"/>
        <v>14</v>
      </c>
      <c r="L23" s="147">
        <f t="shared" si="12"/>
        <v>0</v>
      </c>
      <c r="M23" s="176" t="s">
        <v>64</v>
      </c>
      <c r="Q23" s="177" t="s">
        <v>114</v>
      </c>
      <c r="R23" s="89"/>
      <c r="S23" s="89"/>
      <c r="T23" s="89"/>
      <c r="U23" s="89"/>
      <c r="V23" s="89"/>
      <c r="W23" s="89"/>
      <c r="X23" s="66"/>
    </row>
    <row r="24" ht="22.5" customHeight="1">
      <c r="C24" s="114" t="s">
        <v>115</v>
      </c>
      <c r="D24" s="89"/>
      <c r="E24" s="89"/>
      <c r="F24" s="89"/>
      <c r="G24" s="89"/>
      <c r="H24" s="89"/>
      <c r="I24" s="89"/>
      <c r="J24" s="89"/>
      <c r="K24" s="89"/>
      <c r="L24" s="89"/>
      <c r="M24" s="66"/>
      <c r="Q24" s="178"/>
      <c r="R24" s="179" t="s">
        <v>116</v>
      </c>
      <c r="T24" s="179" t="s">
        <v>117</v>
      </c>
      <c r="U24" s="179" t="s">
        <v>118</v>
      </c>
      <c r="X24" s="180"/>
    </row>
    <row r="25" ht="22.5" customHeight="1">
      <c r="C25" s="117" t="s">
        <v>119</v>
      </c>
      <c r="D25" s="118"/>
      <c r="E25" s="119" t="s">
        <v>90</v>
      </c>
      <c r="F25" s="120">
        <f>INT</f>
        <v>17</v>
      </c>
      <c r="G25" s="120">
        <f>WIS</f>
        <v>16</v>
      </c>
      <c r="H25" s="121"/>
      <c r="I25" s="181"/>
      <c r="J25" s="182" t="str">
        <f>IF(AND(D25 &lt; 4, D25 &gt; 1)," Coin",
IF(AND(D25 &lt; 20, D25 &gt; 12)," d12",
IF(D25 = 0, "No Skill",
IF(D25 = 1, 1,
" d" &amp; 2*ROUNDDOWN(D25/2,0)))))
&amp;
IF(I25&gt;0,"+"&amp;I25,I25)
&amp;
IF(BEAUTYMOD &gt; 0,"+" &amp; BEAUTYMOD, "-" &amp; BEAUTYMOD*-1)</f>
        <v>No Skill-3</v>
      </c>
      <c r="K25" s="124">
        <f t="shared" ref="K25:K27" si="13">MIN(F25,G25,H25)</f>
        <v>16</v>
      </c>
      <c r="L25" s="183">
        <f>BEAUTYMOD+I25+D25</f>
        <v>-3</v>
      </c>
      <c r="M25" s="184" t="s">
        <v>64</v>
      </c>
      <c r="Q25" s="178"/>
      <c r="R25" s="185"/>
      <c r="T25" s="186"/>
      <c r="U25" s="186"/>
      <c r="X25" s="180"/>
    </row>
    <row r="26" ht="22.5" customHeight="1">
      <c r="C26" s="117" t="s">
        <v>120</v>
      </c>
      <c r="D26" s="118"/>
      <c r="E26" s="119" t="s">
        <v>121</v>
      </c>
      <c r="F26" s="120">
        <f>DEX</f>
        <v>15</v>
      </c>
      <c r="G26" s="120">
        <f>WIS</f>
        <v>16</v>
      </c>
      <c r="H26" s="120">
        <f>CHA</f>
        <v>20</v>
      </c>
      <c r="I26" s="187"/>
      <c r="J26" s="182" t="str">
        <f>IF(AND(D26 &lt; 4, D26 &gt; 1)," Coin",
IF(AND(D26 &lt; 20, D26 &gt; 12)," d12",
IF(D26 = 0, "No Skill",
IF(D26 = 1, 1,
" d" &amp; 2*ROUNDDOWN(D26/2,0)))))
&amp;
IF(I26&gt;0,"+"&amp;I26,I26)
&amp;
IF(BEAUTYMOD &gt; 0,"+" &amp; BEAUTYMOD, "-" &amp; BEAUTYMOD*-1)</f>
        <v>No Skill-3</v>
      </c>
      <c r="K26" s="124">
        <f t="shared" si="13"/>
        <v>15</v>
      </c>
      <c r="L26" s="183">
        <f>BEAUTYMOD+I26+D26</f>
        <v>-3</v>
      </c>
      <c r="M26" s="184" t="s">
        <v>64</v>
      </c>
      <c r="Q26" s="188"/>
      <c r="R26" s="189"/>
      <c r="S26" s="190"/>
      <c r="T26" s="191"/>
      <c r="U26" s="191"/>
      <c r="V26" s="190"/>
      <c r="W26" s="190"/>
      <c r="X26" s="192"/>
    </row>
    <row r="27" ht="22.5" customHeight="1">
      <c r="C27" s="140" t="s">
        <v>122</v>
      </c>
      <c r="D27" s="141"/>
      <c r="E27" s="142" t="s">
        <v>123</v>
      </c>
      <c r="F27" s="143">
        <f>STR</f>
        <v>14</v>
      </c>
      <c r="G27" s="143">
        <f>DEX</f>
        <v>15</v>
      </c>
      <c r="H27" s="143">
        <f>CHA</f>
        <v>20</v>
      </c>
      <c r="I27" s="193"/>
      <c r="J27" s="194" t="str">
        <f>IF(AND(D27 &lt; 4, D27 &gt; 1)," Coin",
IF(AND(D27 &lt; 20, D27 &gt; 12)," d12",
IF(D27 = 0, "No Skill",
IF(D27 = 1, 1,
" d" &amp; 2*ROUNDDOWN(D27/2,0)))))
&amp;
IF(I27&gt;0,"+"&amp;I27,I27)
&amp;
IF(BEAUTYMOD &gt; 0,"+" &amp; BEAUTYMOD, "-" &amp; BEAUTYMOD*-1)</f>
        <v>No Skill-3</v>
      </c>
      <c r="K27" s="146">
        <f t="shared" si="13"/>
        <v>14</v>
      </c>
      <c r="L27" s="195">
        <f>BEAUTYMOD+I27+D27</f>
        <v>-3</v>
      </c>
      <c r="M27" s="196" t="s">
        <v>64</v>
      </c>
      <c r="Q27" s="62"/>
      <c r="R27" s="197"/>
      <c r="S27" s="198"/>
      <c r="X27" s="199"/>
    </row>
    <row r="28" ht="22.5" customHeight="1">
      <c r="C28" s="114" t="s">
        <v>124</v>
      </c>
      <c r="D28" s="89"/>
      <c r="E28" s="89"/>
      <c r="F28" s="89"/>
      <c r="G28" s="89"/>
      <c r="H28" s="89"/>
      <c r="I28" s="89"/>
      <c r="J28" s="89"/>
      <c r="K28" s="89"/>
      <c r="L28" s="89"/>
      <c r="M28" s="66"/>
      <c r="Q28" s="177" t="s">
        <v>125</v>
      </c>
      <c r="R28" s="200"/>
      <c r="S28" s="200"/>
      <c r="T28" s="200"/>
      <c r="U28" s="200"/>
      <c r="V28" s="200"/>
      <c r="W28" s="200"/>
      <c r="X28" s="201"/>
    </row>
    <row r="29" ht="22.5" customHeight="1">
      <c r="C29" s="117" t="s">
        <v>126</v>
      </c>
      <c r="D29" s="118"/>
      <c r="E29" s="119" t="s">
        <v>121</v>
      </c>
      <c r="F29" s="120">
        <f>DEX</f>
        <v>15</v>
      </c>
      <c r="G29" s="120">
        <f>WIS</f>
        <v>16</v>
      </c>
      <c r="H29" s="120">
        <f>CHA</f>
        <v>20</v>
      </c>
      <c r="I29" s="187"/>
      <c r="J29" s="182" t="str">
        <f t="shared" ref="J29:J31" si="14">IF(AND(D29 &lt; 4, D29 &gt; 1)," Coin",
IF(AND(D29 &lt; 20, D29 &gt; 12)," d12",
IF(D29 = 0, "No Skill",
IF(D29 = 1, 1,
" d" &amp; 2*ROUNDDOWN(D29/2,0)))))
&amp;
IF(I29&gt;0,"+"&amp;I29,I29)</f>
        <v>No Skill</v>
      </c>
      <c r="K29" s="124">
        <f t="shared" ref="K29:K31" si="15">MIN(F29,G29,H29)</f>
        <v>15</v>
      </c>
      <c r="L29" s="202">
        <f t="shared" ref="L29:L31" si="16">D29+I29</f>
        <v>0</v>
      </c>
      <c r="M29" s="184" t="s">
        <v>64</v>
      </c>
      <c r="Q29" s="178"/>
      <c r="R29" s="203"/>
      <c r="S29" s="186"/>
      <c r="X29" s="180"/>
    </row>
    <row r="30" ht="22.5" customHeight="1">
      <c r="C30" s="133" t="s">
        <v>127</v>
      </c>
      <c r="D30" s="118"/>
      <c r="E30" s="119" t="s">
        <v>121</v>
      </c>
      <c r="F30" s="120">
        <f>DEX</f>
        <v>15</v>
      </c>
      <c r="G30" s="120">
        <f>WIS</f>
        <v>16</v>
      </c>
      <c r="H30" s="120">
        <f>CHA</f>
        <v>20</v>
      </c>
      <c r="I30" s="187"/>
      <c r="J30" s="182" t="str">
        <f t="shared" si="14"/>
        <v>No Skill</v>
      </c>
      <c r="K30" s="124">
        <f t="shared" si="15"/>
        <v>15</v>
      </c>
      <c r="L30" s="202">
        <f t="shared" si="16"/>
        <v>0</v>
      </c>
      <c r="M30" s="184" t="s">
        <v>64</v>
      </c>
      <c r="Q30" s="178"/>
      <c r="R30" s="204"/>
      <c r="S30" s="205"/>
      <c r="X30" s="180"/>
    </row>
    <row r="31" ht="22.5" customHeight="1">
      <c r="C31" s="174" t="s">
        <v>128</v>
      </c>
      <c r="D31" s="141"/>
      <c r="E31" s="142" t="s">
        <v>93</v>
      </c>
      <c r="F31" s="143">
        <f>INT</f>
        <v>17</v>
      </c>
      <c r="G31" s="143">
        <f>WIS</f>
        <v>16</v>
      </c>
      <c r="H31" s="143">
        <f>CHA</f>
        <v>20</v>
      </c>
      <c r="I31" s="193"/>
      <c r="J31" s="194" t="str">
        <f t="shared" si="14"/>
        <v>No Skill</v>
      </c>
      <c r="K31" s="146">
        <f t="shared" si="15"/>
        <v>16</v>
      </c>
      <c r="L31" s="206">
        <f t="shared" si="16"/>
        <v>0</v>
      </c>
      <c r="M31" s="196" t="s">
        <v>64</v>
      </c>
      <c r="Q31" s="178"/>
      <c r="R31" s="203"/>
      <c r="S31" s="186"/>
      <c r="X31" s="180"/>
    </row>
    <row r="32" ht="22.5" customHeight="1">
      <c r="C32" s="114" t="s">
        <v>129</v>
      </c>
      <c r="D32" s="89"/>
      <c r="E32" s="89"/>
      <c r="F32" s="89"/>
      <c r="G32" s="89"/>
      <c r="H32" s="89"/>
      <c r="I32" s="89"/>
      <c r="J32" s="89"/>
      <c r="K32" s="89"/>
      <c r="L32" s="89"/>
      <c r="M32" s="66"/>
      <c r="Q32" s="178"/>
      <c r="R32" s="204"/>
      <c r="S32" s="205"/>
      <c r="X32" s="180"/>
    </row>
    <row r="33" ht="22.5" customHeight="1">
      <c r="C33" s="117" t="s">
        <v>130</v>
      </c>
      <c r="D33" s="118"/>
      <c r="E33" s="119" t="s">
        <v>87</v>
      </c>
      <c r="F33" s="120">
        <f>INT</f>
        <v>17</v>
      </c>
      <c r="G33" s="120">
        <f>CHA</f>
        <v>20</v>
      </c>
      <c r="H33" s="121"/>
      <c r="I33" s="187"/>
      <c r="J33" s="182" t="str">
        <f t="shared" ref="J33:J36" si="17">IF(AND(D33 &lt; 4, D33 &gt; 1)," Coin",
IF(AND(D33 &lt; 20, D33 &gt; 12)," d12",
IF(D33 = 0, "No Skill",
IF(D33 = 1, 1,
" d" &amp; 2*ROUNDDOWN(D33/2,0)))))
&amp;
IF(I33&gt;0,"+"&amp;I33,I33)</f>
        <v>No Skill</v>
      </c>
      <c r="K33" s="124">
        <f t="shared" ref="K33:K36" si="18">MIN(F33,G33,H33)</f>
        <v>17</v>
      </c>
      <c r="L33" s="202">
        <f t="shared" ref="L33:L36" si="19">D33+I33</f>
        <v>0</v>
      </c>
      <c r="M33" s="184" t="s">
        <v>64</v>
      </c>
      <c r="Q33" s="178"/>
      <c r="R33" s="203"/>
      <c r="S33" s="186"/>
      <c r="X33" s="180"/>
    </row>
    <row r="34" ht="22.5" customHeight="1">
      <c r="C34" s="117" t="s">
        <v>131</v>
      </c>
      <c r="D34" s="118"/>
      <c r="E34" s="119" t="s">
        <v>81</v>
      </c>
      <c r="F34" s="120">
        <f>WIS</f>
        <v>16</v>
      </c>
      <c r="G34" s="120">
        <f>CHA</f>
        <v>20</v>
      </c>
      <c r="H34" s="121"/>
      <c r="I34" s="187"/>
      <c r="J34" s="182" t="str">
        <f t="shared" si="17"/>
        <v>No Skill</v>
      </c>
      <c r="K34" s="124">
        <f t="shared" si="18"/>
        <v>16</v>
      </c>
      <c r="L34" s="202">
        <f t="shared" si="19"/>
        <v>0</v>
      </c>
      <c r="M34" s="184" t="s">
        <v>64</v>
      </c>
      <c r="Q34" s="178"/>
      <c r="R34" s="204"/>
      <c r="S34" s="205"/>
      <c r="X34" s="180"/>
    </row>
    <row r="35" ht="22.5" customHeight="1">
      <c r="C35" s="117" t="s">
        <v>132</v>
      </c>
      <c r="D35" s="118"/>
      <c r="E35" s="119" t="s">
        <v>87</v>
      </c>
      <c r="F35" s="120">
        <f>INT</f>
        <v>17</v>
      </c>
      <c r="G35" s="120">
        <f>CHA</f>
        <v>20</v>
      </c>
      <c r="H35" s="121"/>
      <c r="I35" s="187"/>
      <c r="J35" s="182" t="str">
        <f t="shared" si="17"/>
        <v>No Skill</v>
      </c>
      <c r="K35" s="124">
        <f t="shared" si="18"/>
        <v>17</v>
      </c>
      <c r="L35" s="202">
        <f t="shared" si="19"/>
        <v>0</v>
      </c>
      <c r="M35" s="184" t="s">
        <v>64</v>
      </c>
      <c r="Q35" s="178"/>
      <c r="R35" s="203"/>
      <c r="S35" s="186"/>
      <c r="X35" s="180"/>
    </row>
    <row r="36" ht="22.5" customHeight="1">
      <c r="C36" s="140" t="s">
        <v>133</v>
      </c>
      <c r="D36" s="141"/>
      <c r="E36" s="142" t="s">
        <v>93</v>
      </c>
      <c r="F36" s="143">
        <f>INT</f>
        <v>17</v>
      </c>
      <c r="G36" s="143">
        <f>WIS</f>
        <v>16</v>
      </c>
      <c r="H36" s="143">
        <f>CHA</f>
        <v>20</v>
      </c>
      <c r="I36" s="193"/>
      <c r="J36" s="194" t="str">
        <f t="shared" si="17"/>
        <v>No Skill</v>
      </c>
      <c r="K36" s="146">
        <f t="shared" si="18"/>
        <v>16</v>
      </c>
      <c r="L36" s="206">
        <f t="shared" si="19"/>
        <v>0</v>
      </c>
      <c r="M36" s="196" t="s">
        <v>64</v>
      </c>
      <c r="Q36" s="178"/>
      <c r="R36" s="204"/>
      <c r="S36" s="205"/>
      <c r="X36" s="180"/>
    </row>
    <row r="37" ht="22.5" customHeight="1">
      <c r="C37" s="114" t="s">
        <v>134</v>
      </c>
      <c r="D37" s="89"/>
      <c r="E37" s="89"/>
      <c r="F37" s="89"/>
      <c r="G37" s="89"/>
      <c r="H37" s="89"/>
      <c r="I37" s="89"/>
      <c r="J37" s="89"/>
      <c r="K37" s="89"/>
      <c r="L37" s="89"/>
      <c r="M37" s="66"/>
      <c r="Q37" s="178"/>
      <c r="R37" s="203"/>
      <c r="S37" s="186"/>
      <c r="X37" s="180"/>
    </row>
    <row r="38" ht="22.5" customHeight="1">
      <c r="C38" s="117" t="s">
        <v>135</v>
      </c>
      <c r="D38" s="118"/>
      <c r="E38" s="119" t="s">
        <v>90</v>
      </c>
      <c r="F38" s="120">
        <f>INT</f>
        <v>17</v>
      </c>
      <c r="G38" s="120">
        <f>WIS</f>
        <v>16</v>
      </c>
      <c r="H38" s="121"/>
      <c r="I38" s="187"/>
      <c r="J38" s="182" t="str">
        <f t="shared" ref="J38:J42" si="20">IF(AND(D38 &lt; 4, D38 &gt; 1)," Coin",
IF(AND(D38 &lt; 20, D38 &gt; 12)," d12",
IF(D38 = 0, "No Skill",
IF(D38 = 1, 1,
" d" &amp; 2*ROUNDDOWN(D38/2,0)))))
&amp;
IF(I38&gt;0,"+"&amp;I38,I38)</f>
        <v>No Skill</v>
      </c>
      <c r="K38" s="124">
        <f t="shared" ref="K38:K42" si="21">MIN(F38,G38,H38)</f>
        <v>16</v>
      </c>
      <c r="L38" s="202">
        <f t="shared" ref="L38:L42" si="22">D38+I38</f>
        <v>0</v>
      </c>
      <c r="M38" s="184" t="s">
        <v>64</v>
      </c>
      <c r="Q38" s="178"/>
      <c r="R38" s="204"/>
      <c r="S38" s="205"/>
      <c r="X38" s="180"/>
    </row>
    <row r="39" ht="22.5" customHeight="1">
      <c r="C39" s="133" t="s">
        <v>136</v>
      </c>
      <c r="D39" s="118"/>
      <c r="E39" s="119" t="s">
        <v>90</v>
      </c>
      <c r="F39" s="120">
        <f>INT</f>
        <v>17</v>
      </c>
      <c r="G39" s="120">
        <f>WIS</f>
        <v>16</v>
      </c>
      <c r="H39" s="121"/>
      <c r="I39" s="187"/>
      <c r="J39" s="182" t="str">
        <f t="shared" si="20"/>
        <v>No Skill</v>
      </c>
      <c r="K39" s="124">
        <f t="shared" si="21"/>
        <v>16</v>
      </c>
      <c r="L39" s="202">
        <f t="shared" si="22"/>
        <v>0</v>
      </c>
      <c r="M39" s="184" t="s">
        <v>64</v>
      </c>
      <c r="Q39" s="178"/>
      <c r="R39" s="203"/>
      <c r="S39" s="186"/>
      <c r="X39" s="180"/>
    </row>
    <row r="40" ht="22.5" customHeight="1">
      <c r="C40" s="117" t="s">
        <v>137</v>
      </c>
      <c r="D40" s="118"/>
      <c r="E40" s="119" t="s">
        <v>90</v>
      </c>
      <c r="F40" s="120">
        <f>INT</f>
        <v>17</v>
      </c>
      <c r="G40" s="120">
        <f>WIS</f>
        <v>16</v>
      </c>
      <c r="H40" s="121"/>
      <c r="I40" s="187"/>
      <c r="J40" s="182" t="str">
        <f t="shared" si="20"/>
        <v>No Skill</v>
      </c>
      <c r="K40" s="124">
        <f t="shared" si="21"/>
        <v>16</v>
      </c>
      <c r="L40" s="202">
        <f t="shared" si="22"/>
        <v>0</v>
      </c>
      <c r="M40" s="184" t="s">
        <v>64</v>
      </c>
      <c r="Q40" s="178"/>
      <c r="R40" s="204"/>
      <c r="S40" s="205"/>
      <c r="X40" s="180"/>
    </row>
    <row r="41" ht="22.5" customHeight="1">
      <c r="C41" s="117" t="s">
        <v>138</v>
      </c>
      <c r="D41" s="118"/>
      <c r="E41" s="119" t="s">
        <v>90</v>
      </c>
      <c r="F41" s="120">
        <f>INT</f>
        <v>17</v>
      </c>
      <c r="G41" s="120">
        <f>WIS</f>
        <v>16</v>
      </c>
      <c r="H41" s="121"/>
      <c r="I41" s="187"/>
      <c r="J41" s="182" t="str">
        <f t="shared" si="20"/>
        <v>No Skill</v>
      </c>
      <c r="K41" s="124">
        <f t="shared" si="21"/>
        <v>16</v>
      </c>
      <c r="L41" s="202">
        <f t="shared" si="22"/>
        <v>0</v>
      </c>
      <c r="M41" s="184" t="s">
        <v>64</v>
      </c>
      <c r="Q41" s="178"/>
      <c r="R41" s="203"/>
      <c r="S41" s="186"/>
      <c r="X41" s="180"/>
    </row>
    <row r="42" ht="22.5" customHeight="1">
      <c r="C42" s="174" t="s">
        <v>139</v>
      </c>
      <c r="D42" s="141"/>
      <c r="E42" s="142" t="s">
        <v>90</v>
      </c>
      <c r="F42" s="143">
        <f>INT</f>
        <v>17</v>
      </c>
      <c r="G42" s="143">
        <f>WIS</f>
        <v>16</v>
      </c>
      <c r="H42" s="207"/>
      <c r="I42" s="193"/>
      <c r="J42" s="194" t="str">
        <f t="shared" si="20"/>
        <v>No Skill</v>
      </c>
      <c r="K42" s="146">
        <f t="shared" si="21"/>
        <v>16</v>
      </c>
      <c r="L42" s="206">
        <f t="shared" si="22"/>
        <v>0</v>
      </c>
      <c r="M42" s="196" t="s">
        <v>64</v>
      </c>
      <c r="Q42" s="178"/>
      <c r="R42" s="204"/>
      <c r="S42" s="205"/>
      <c r="X42" s="180"/>
    </row>
    <row r="43" ht="22.5" customHeight="1">
      <c r="C43" s="114" t="s">
        <v>140</v>
      </c>
      <c r="D43" s="89"/>
      <c r="E43" s="89"/>
      <c r="F43" s="89"/>
      <c r="G43" s="89"/>
      <c r="H43" s="89"/>
      <c r="I43" s="89"/>
      <c r="J43" s="89"/>
      <c r="K43" s="89"/>
      <c r="L43" s="89"/>
      <c r="M43" s="66"/>
      <c r="Q43" s="178"/>
      <c r="R43" s="203"/>
      <c r="S43" s="186"/>
      <c r="X43" s="180"/>
    </row>
    <row r="44" ht="22.5" customHeight="1">
      <c r="C44" s="117" t="s">
        <v>141</v>
      </c>
      <c r="D44" s="118"/>
      <c r="E44" s="119" t="s">
        <v>93</v>
      </c>
      <c r="F44" s="120">
        <f>INT</f>
        <v>17</v>
      </c>
      <c r="G44" s="120">
        <f>WIS</f>
        <v>16</v>
      </c>
      <c r="H44" s="120">
        <f>CHA</f>
        <v>20</v>
      </c>
      <c r="I44" s="187"/>
      <c r="J44" s="182" t="str">
        <f t="shared" ref="J44:J48" si="23">IF(AND(D44 &lt; 4, D44 &gt; 1)," Coin",
IF(AND(D44 &lt; 20, D44 &gt; 12)," d12",
IF(D44 = 0, "No Skill",
IF(D44 = 1, 1,
" d" &amp; 2*ROUNDDOWN(D44/2,0)))))
&amp;
IF(I44&gt;0,"+"&amp;I44,I44)</f>
        <v>No Skill</v>
      </c>
      <c r="K44" s="124">
        <f t="shared" ref="K44:K48" si="24">MIN(F44,G44,H44)</f>
        <v>16</v>
      </c>
      <c r="L44" s="202">
        <f t="shared" ref="L44:L48" si="25">D44+I44</f>
        <v>0</v>
      </c>
      <c r="M44" s="184" t="s">
        <v>64</v>
      </c>
      <c r="Q44" s="178"/>
      <c r="R44" s="204"/>
      <c r="S44" s="205"/>
      <c r="X44" s="180"/>
    </row>
    <row r="45" ht="22.5" customHeight="1">
      <c r="C45" s="117" t="s">
        <v>142</v>
      </c>
      <c r="D45" s="118"/>
      <c r="E45" s="119" t="s">
        <v>143</v>
      </c>
      <c r="F45" s="120">
        <f>STR</f>
        <v>14</v>
      </c>
      <c r="G45" s="120">
        <f>INT</f>
        <v>17</v>
      </c>
      <c r="H45" s="120">
        <f>WIS</f>
        <v>16</v>
      </c>
      <c r="I45" s="187"/>
      <c r="J45" s="182" t="str">
        <f t="shared" si="23"/>
        <v>No Skill</v>
      </c>
      <c r="K45" s="124">
        <f t="shared" si="24"/>
        <v>14</v>
      </c>
      <c r="L45" s="202">
        <f t="shared" si="25"/>
        <v>0</v>
      </c>
      <c r="M45" s="184" t="s">
        <v>64</v>
      </c>
      <c r="Q45" s="178"/>
      <c r="R45" s="203"/>
      <c r="S45" s="186"/>
      <c r="X45" s="180"/>
    </row>
    <row r="46" ht="22.5" customHeight="1">
      <c r="C46" s="133" t="s">
        <v>144</v>
      </c>
      <c r="D46" s="118"/>
      <c r="E46" s="119" t="s">
        <v>145</v>
      </c>
      <c r="F46" s="120">
        <f>DEX</f>
        <v>15</v>
      </c>
      <c r="G46" s="120">
        <f>INT</f>
        <v>17</v>
      </c>
      <c r="H46" s="120">
        <f>WIS</f>
        <v>16</v>
      </c>
      <c r="I46" s="187"/>
      <c r="J46" s="182" t="str">
        <f t="shared" si="23"/>
        <v>No Skill</v>
      </c>
      <c r="K46" s="124">
        <f t="shared" si="24"/>
        <v>15</v>
      </c>
      <c r="L46" s="202">
        <f t="shared" si="25"/>
        <v>0</v>
      </c>
      <c r="M46" s="184" t="s">
        <v>64</v>
      </c>
      <c r="Q46" s="178"/>
      <c r="R46" s="204"/>
      <c r="S46" s="205"/>
      <c r="X46" s="180"/>
    </row>
    <row r="47" ht="22.5" customHeight="1">
      <c r="C47" s="117" t="s">
        <v>146</v>
      </c>
      <c r="D47" s="118"/>
      <c r="E47" s="119" t="s">
        <v>147</v>
      </c>
      <c r="F47" s="120">
        <f>CON</f>
        <v>15</v>
      </c>
      <c r="G47" s="120">
        <f>INT</f>
        <v>17</v>
      </c>
      <c r="H47" s="120">
        <f>WIS</f>
        <v>16</v>
      </c>
      <c r="I47" s="187"/>
      <c r="J47" s="182" t="str">
        <f t="shared" si="23"/>
        <v>No Skill</v>
      </c>
      <c r="K47" s="124">
        <f t="shared" si="24"/>
        <v>15</v>
      </c>
      <c r="L47" s="202">
        <f t="shared" si="25"/>
        <v>0</v>
      </c>
      <c r="M47" s="150" t="s">
        <v>64</v>
      </c>
      <c r="Q47" s="178"/>
      <c r="R47" s="203"/>
      <c r="S47" s="186"/>
      <c r="X47" s="180"/>
    </row>
    <row r="48" ht="22.5" customHeight="1">
      <c r="C48" s="140" t="s">
        <v>148</v>
      </c>
      <c r="D48" s="141"/>
      <c r="E48" s="142" t="s">
        <v>149</v>
      </c>
      <c r="F48" s="143">
        <f>DEX</f>
        <v>15</v>
      </c>
      <c r="G48" s="143">
        <f>INT</f>
        <v>17</v>
      </c>
      <c r="H48" s="143">
        <f>CHA</f>
        <v>20</v>
      </c>
      <c r="I48" s="193"/>
      <c r="J48" s="194" t="str">
        <f t="shared" si="23"/>
        <v>No Skill</v>
      </c>
      <c r="K48" s="146">
        <f t="shared" si="24"/>
        <v>15</v>
      </c>
      <c r="L48" s="206">
        <f t="shared" si="25"/>
        <v>0</v>
      </c>
      <c r="M48" s="196" t="s">
        <v>64</v>
      </c>
      <c r="Q48" s="178"/>
      <c r="R48" s="204"/>
      <c r="S48" s="205"/>
      <c r="X48" s="180"/>
    </row>
    <row r="49" ht="22.5" customHeight="1">
      <c r="C49" s="114" t="s">
        <v>150</v>
      </c>
      <c r="D49" s="89"/>
      <c r="E49" s="89"/>
      <c r="F49" s="89"/>
      <c r="G49" s="89"/>
      <c r="H49" s="89"/>
      <c r="I49" s="89"/>
      <c r="J49" s="89"/>
      <c r="K49" s="89"/>
      <c r="L49" s="89"/>
      <c r="M49" s="66"/>
      <c r="Q49" s="178"/>
      <c r="R49" s="203"/>
      <c r="S49" s="186"/>
      <c r="X49" s="180"/>
    </row>
    <row r="50" ht="22.5" customHeight="1">
      <c r="C50" s="117" t="s">
        <v>151</v>
      </c>
      <c r="D50" s="118"/>
      <c r="E50" s="119" t="s">
        <v>152</v>
      </c>
      <c r="F50" s="120">
        <f>STR</f>
        <v>14</v>
      </c>
      <c r="G50" s="120">
        <f>DEX</f>
        <v>15</v>
      </c>
      <c r="H50" s="120">
        <f>INT</f>
        <v>17</v>
      </c>
      <c r="I50" s="187"/>
      <c r="J50" s="182" t="str">
        <f t="shared" ref="J50:J53" si="26">IF(AND(D50 &lt; 4, D50 &gt; 1)," Coin",
IF(AND(D50 &lt; 20, D50 &gt; 12)," d12",
IF(D50 = 0, "No Skill",
IF(D50 = 1, 1,
" d" &amp; 2*ROUNDDOWN(D50/2,0)))))
&amp;
IF(I50&gt;0,"+"&amp;I50,I50)</f>
        <v>No Skill</v>
      </c>
      <c r="K50" s="124">
        <f t="shared" ref="K50:K53" si="27">MIN(F50,G50,H50)</f>
        <v>14</v>
      </c>
      <c r="L50" s="202">
        <f t="shared" ref="L50:L53" si="28">D50+I50</f>
        <v>0</v>
      </c>
      <c r="M50" s="184" t="s">
        <v>64</v>
      </c>
      <c r="Q50" s="178"/>
      <c r="R50" s="204"/>
      <c r="S50" s="205"/>
      <c r="X50" s="180"/>
    </row>
    <row r="51" ht="22.5" customHeight="1">
      <c r="C51" s="117" t="s">
        <v>153</v>
      </c>
      <c r="D51" s="118"/>
      <c r="E51" s="119" t="s">
        <v>121</v>
      </c>
      <c r="F51" s="120">
        <f>DEX</f>
        <v>15</v>
      </c>
      <c r="G51" s="120">
        <f>WIS</f>
        <v>16</v>
      </c>
      <c r="H51" s="120">
        <f>CHA</f>
        <v>20</v>
      </c>
      <c r="I51" s="187"/>
      <c r="J51" s="182" t="str">
        <f t="shared" si="26"/>
        <v>No Skill</v>
      </c>
      <c r="K51" s="124">
        <f t="shared" si="27"/>
        <v>15</v>
      </c>
      <c r="L51" s="202">
        <f t="shared" si="28"/>
        <v>0</v>
      </c>
      <c r="M51" s="184" t="s">
        <v>64</v>
      </c>
      <c r="Q51" s="178"/>
      <c r="R51" s="203"/>
      <c r="S51" s="186"/>
      <c r="X51" s="180"/>
    </row>
    <row r="52" ht="22.5" customHeight="1">
      <c r="C52" s="117" t="s">
        <v>154</v>
      </c>
      <c r="D52" s="118"/>
      <c r="E52" s="119" t="s">
        <v>155</v>
      </c>
      <c r="F52" s="120">
        <f>DEX</f>
        <v>15</v>
      </c>
      <c r="G52" s="120">
        <f>CON</f>
        <v>15</v>
      </c>
      <c r="H52" s="120">
        <f>INT</f>
        <v>17</v>
      </c>
      <c r="I52" s="187"/>
      <c r="J52" s="182" t="str">
        <f t="shared" si="26"/>
        <v>No Skill</v>
      </c>
      <c r="K52" s="124">
        <f t="shared" si="27"/>
        <v>15</v>
      </c>
      <c r="L52" s="202">
        <f t="shared" si="28"/>
        <v>0</v>
      </c>
      <c r="M52" s="184" t="s">
        <v>64</v>
      </c>
      <c r="Q52" s="178"/>
      <c r="R52" s="204"/>
      <c r="S52" s="205"/>
      <c r="X52" s="180"/>
    </row>
    <row r="53" ht="22.5" customHeight="1">
      <c r="C53" s="140" t="s">
        <v>156</v>
      </c>
      <c r="D53" s="141"/>
      <c r="E53" s="142" t="s">
        <v>76</v>
      </c>
      <c r="F53" s="143">
        <f>STR</f>
        <v>14</v>
      </c>
      <c r="G53" s="143">
        <f>DEX</f>
        <v>15</v>
      </c>
      <c r="H53" s="143">
        <f>CHA</f>
        <v>20</v>
      </c>
      <c r="I53" s="193"/>
      <c r="J53" s="194" t="str">
        <f t="shared" si="26"/>
        <v>No Skill</v>
      </c>
      <c r="K53" s="146">
        <f t="shared" si="27"/>
        <v>14</v>
      </c>
      <c r="L53" s="206">
        <f t="shared" si="28"/>
        <v>0</v>
      </c>
      <c r="M53" s="154" t="s">
        <v>64</v>
      </c>
      <c r="Q53" s="178"/>
      <c r="R53" s="203"/>
      <c r="S53" s="186"/>
      <c r="X53" s="180"/>
    </row>
    <row r="54" ht="22.5" customHeight="1">
      <c r="C54" s="114" t="s">
        <v>157</v>
      </c>
      <c r="D54" s="89"/>
      <c r="E54" s="89"/>
      <c r="F54" s="89"/>
      <c r="G54" s="89"/>
      <c r="H54" s="89"/>
      <c r="I54" s="89"/>
      <c r="J54" s="89"/>
      <c r="K54" s="89"/>
      <c r="L54" s="89"/>
      <c r="M54" s="66"/>
      <c r="Q54" s="178"/>
      <c r="R54" s="204"/>
      <c r="S54" s="205"/>
      <c r="X54" s="180"/>
    </row>
    <row r="55" ht="22.5" customHeight="1">
      <c r="C55" s="133" t="s">
        <v>158</v>
      </c>
      <c r="D55" s="118"/>
      <c r="E55" s="119" t="s">
        <v>81</v>
      </c>
      <c r="F55" s="120">
        <f>WIS</f>
        <v>16</v>
      </c>
      <c r="G55" s="120">
        <f>CHA</f>
        <v>20</v>
      </c>
      <c r="H55" s="121"/>
      <c r="I55" s="187"/>
      <c r="J55" s="182" t="str">
        <f t="shared" ref="J55:J57" si="29">IF(AND(D55 &lt; 4, D55 &gt; 1)," Coin",
IF(AND(D55 &lt; 20, D55 &gt; 12)," d12",
IF(D55 = 0, "No Skill",
IF(D55 = 1, 1,
" d" &amp; 2*ROUNDDOWN(D55/2,0)))))
&amp;
IF(I55&gt;0,"+"&amp;I55,I55)</f>
        <v>No Skill</v>
      </c>
      <c r="K55" s="124">
        <f t="shared" ref="K55:K57" si="30">MIN(F55,G55,H55)</f>
        <v>16</v>
      </c>
      <c r="L55" s="202">
        <f t="shared" ref="L55:L57" si="31">D55+I55</f>
        <v>0</v>
      </c>
      <c r="M55" s="150" t="s">
        <v>64</v>
      </c>
      <c r="Q55" s="178"/>
      <c r="R55" s="203"/>
      <c r="S55" s="186"/>
      <c r="X55" s="180"/>
    </row>
    <row r="56" ht="22.5" customHeight="1">
      <c r="C56" s="133" t="s">
        <v>159</v>
      </c>
      <c r="D56" s="118"/>
      <c r="E56" s="119" t="s">
        <v>90</v>
      </c>
      <c r="F56" s="120">
        <f>INT</f>
        <v>17</v>
      </c>
      <c r="G56" s="120">
        <f>WIS</f>
        <v>16</v>
      </c>
      <c r="H56" s="121"/>
      <c r="I56" s="187"/>
      <c r="J56" s="182" t="str">
        <f t="shared" si="29"/>
        <v>No Skill</v>
      </c>
      <c r="K56" s="124">
        <f t="shared" si="30"/>
        <v>16</v>
      </c>
      <c r="L56" s="202">
        <f t="shared" si="31"/>
        <v>0</v>
      </c>
      <c r="M56" s="150" t="s">
        <v>64</v>
      </c>
      <c r="Q56" s="178"/>
      <c r="R56" s="204"/>
      <c r="S56" s="205"/>
      <c r="X56" s="180"/>
    </row>
    <row r="57" ht="22.5" customHeight="1">
      <c r="C57" s="174" t="s">
        <v>160</v>
      </c>
      <c r="D57" s="141"/>
      <c r="E57" s="142" t="s">
        <v>93</v>
      </c>
      <c r="F57" s="143">
        <f>INT</f>
        <v>17</v>
      </c>
      <c r="G57" s="143">
        <f>WIS</f>
        <v>16</v>
      </c>
      <c r="H57" s="143">
        <f>CHA</f>
        <v>20</v>
      </c>
      <c r="I57" s="193"/>
      <c r="J57" s="194" t="str">
        <f t="shared" si="29"/>
        <v>No Skill</v>
      </c>
      <c r="K57" s="146">
        <f t="shared" si="30"/>
        <v>16</v>
      </c>
      <c r="L57" s="206">
        <f t="shared" si="31"/>
        <v>0</v>
      </c>
      <c r="M57" s="154" t="s">
        <v>64</v>
      </c>
      <c r="Q57" s="178"/>
      <c r="R57" s="203"/>
      <c r="S57" s="186"/>
      <c r="X57" s="180"/>
    </row>
    <row r="58" ht="22.5" customHeight="1">
      <c r="C58" s="114" t="s">
        <v>161</v>
      </c>
      <c r="D58" s="89"/>
      <c r="E58" s="89"/>
      <c r="F58" s="89"/>
      <c r="G58" s="89"/>
      <c r="H58" s="89"/>
      <c r="I58" s="89"/>
      <c r="J58" s="89"/>
      <c r="K58" s="89"/>
      <c r="L58" s="89"/>
      <c r="M58" s="66"/>
      <c r="Q58" s="178"/>
      <c r="R58" s="204"/>
      <c r="S58" s="205"/>
      <c r="X58" s="180"/>
    </row>
    <row r="59" ht="22.5" customHeight="1">
      <c r="C59" s="117" t="s">
        <v>162</v>
      </c>
      <c r="D59" s="118"/>
      <c r="E59" s="119" t="s">
        <v>121</v>
      </c>
      <c r="F59" s="120">
        <f>DEX</f>
        <v>15</v>
      </c>
      <c r="G59" s="120">
        <f>WIS</f>
        <v>16</v>
      </c>
      <c r="H59" s="120">
        <f>CHA</f>
        <v>20</v>
      </c>
      <c r="I59" s="187"/>
      <c r="J59" s="182" t="str">
        <f t="shared" ref="J59:J61" si="32">IF(AND(D59 &lt; 4, D59 &gt; 1)," Coin",
IF(AND(D59 &lt; 20, D59 &gt; 12)," d12",
IF(D59 = 0, "No Skill",
IF(D59 = 1, 1,
" d" &amp; 2*ROUNDDOWN(D59/2,0)))))
&amp;
IF(I59&gt;0,"+"&amp;I59,I59)</f>
        <v>No Skill</v>
      </c>
      <c r="K59" s="124">
        <f t="shared" ref="K59:K61" si="33">MIN(F59,G59,H59)</f>
        <v>15</v>
      </c>
      <c r="L59" s="202">
        <f t="shared" ref="L59:L61" si="34">D59+I59</f>
        <v>0</v>
      </c>
      <c r="M59" s="184" t="s">
        <v>64</v>
      </c>
      <c r="Q59" s="178"/>
      <c r="R59" s="203"/>
      <c r="S59" s="186"/>
      <c r="X59" s="180"/>
    </row>
    <row r="60" ht="22.5" customHeight="1">
      <c r="C60" s="117" t="s">
        <v>163</v>
      </c>
      <c r="D60" s="118"/>
      <c r="E60" s="119" t="s">
        <v>145</v>
      </c>
      <c r="F60" s="120">
        <f>DEX</f>
        <v>15</v>
      </c>
      <c r="G60" s="120">
        <f>INT</f>
        <v>17</v>
      </c>
      <c r="H60" s="120">
        <f>WIS</f>
        <v>16</v>
      </c>
      <c r="I60" s="187"/>
      <c r="J60" s="182" t="str">
        <f t="shared" si="32"/>
        <v>No Skill</v>
      </c>
      <c r="K60" s="124">
        <f t="shared" si="33"/>
        <v>15</v>
      </c>
      <c r="L60" s="202">
        <f t="shared" si="34"/>
        <v>0</v>
      </c>
      <c r="M60" s="184" t="s">
        <v>64</v>
      </c>
      <c r="Q60" s="178"/>
      <c r="R60" s="204"/>
      <c r="S60" s="205"/>
      <c r="X60" s="180"/>
    </row>
    <row r="61" ht="22.5" customHeight="1">
      <c r="C61" s="140" t="s">
        <v>164</v>
      </c>
      <c r="D61" s="141"/>
      <c r="E61" s="142" t="s">
        <v>165</v>
      </c>
      <c r="F61" s="143">
        <f>DEX</f>
        <v>15</v>
      </c>
      <c r="G61" s="143">
        <f>CON</f>
        <v>15</v>
      </c>
      <c r="H61" s="143">
        <f>CHA</f>
        <v>20</v>
      </c>
      <c r="I61" s="193"/>
      <c r="J61" s="194" t="str">
        <f t="shared" si="32"/>
        <v>No Skill</v>
      </c>
      <c r="K61" s="146">
        <f t="shared" si="33"/>
        <v>15</v>
      </c>
      <c r="L61" s="206">
        <f t="shared" si="34"/>
        <v>0</v>
      </c>
      <c r="M61" s="154" t="s">
        <v>64</v>
      </c>
      <c r="Q61" s="178"/>
      <c r="R61" s="203"/>
      <c r="S61" s="186"/>
      <c r="X61" s="180"/>
    </row>
    <row r="62" ht="22.5" customHeight="1">
      <c r="C62" s="114" t="s">
        <v>166</v>
      </c>
      <c r="D62" s="89"/>
      <c r="E62" s="89"/>
      <c r="F62" s="89"/>
      <c r="G62" s="89"/>
      <c r="H62" s="89"/>
      <c r="I62" s="89"/>
      <c r="J62" s="89"/>
      <c r="K62" s="89"/>
      <c r="L62" s="89"/>
      <c r="M62" s="66"/>
      <c r="Q62" s="178"/>
      <c r="R62" s="204"/>
      <c r="S62" s="205"/>
      <c r="X62" s="180"/>
    </row>
    <row r="63" ht="22.5" customHeight="1">
      <c r="C63" s="117" t="s">
        <v>167</v>
      </c>
      <c r="D63" s="118"/>
      <c r="E63" s="119" t="s">
        <v>93</v>
      </c>
      <c r="F63" s="120">
        <f>INT</f>
        <v>17</v>
      </c>
      <c r="G63" s="120">
        <f>WIS</f>
        <v>16</v>
      </c>
      <c r="H63" s="120">
        <f>CHA</f>
        <v>20</v>
      </c>
      <c r="I63" s="187"/>
      <c r="J63" s="182" t="str">
        <f t="shared" ref="J63:J65" si="35">IF(AND(D63 &lt; 4, D63 &gt; 1)," Coin",
IF(AND(D63 &lt; 20, D63 &gt; 12)," d12",
IF(D63 = 0, "No Skill",
IF(D63 = 1, 1,
" d" &amp; 2*ROUNDDOWN(D63/2,0)))))
&amp;
IF(I63&gt;0,"+"&amp;I63,I63)</f>
        <v>No Skill</v>
      </c>
      <c r="K63" s="124">
        <f t="shared" ref="K63:K65" si="36">MIN(F63,G63,H63)</f>
        <v>16</v>
      </c>
      <c r="L63" s="202">
        <f t="shared" ref="L63:L65" si="37">D63+I63</f>
        <v>0</v>
      </c>
      <c r="M63" s="184" t="s">
        <v>64</v>
      </c>
      <c r="Q63" s="178"/>
      <c r="R63" s="203"/>
      <c r="S63" s="186"/>
      <c r="X63" s="180"/>
    </row>
    <row r="64" ht="22.5" customHeight="1">
      <c r="C64" s="117" t="s">
        <v>168</v>
      </c>
      <c r="D64" s="118"/>
      <c r="E64" s="119" t="s">
        <v>93</v>
      </c>
      <c r="F64" s="120">
        <f>INT</f>
        <v>17</v>
      </c>
      <c r="G64" s="120">
        <f>WIS</f>
        <v>16</v>
      </c>
      <c r="H64" s="120">
        <f>CHA</f>
        <v>20</v>
      </c>
      <c r="I64" s="187"/>
      <c r="J64" s="182" t="str">
        <f t="shared" si="35"/>
        <v>No Skill</v>
      </c>
      <c r="K64" s="124">
        <f t="shared" si="36"/>
        <v>16</v>
      </c>
      <c r="L64" s="202">
        <f t="shared" si="37"/>
        <v>0</v>
      </c>
      <c r="M64" s="150" t="s">
        <v>64</v>
      </c>
      <c r="Q64" s="178"/>
      <c r="R64" s="204"/>
      <c r="S64" s="205"/>
      <c r="X64" s="180"/>
    </row>
    <row r="65" ht="22.5" customHeight="1">
      <c r="C65" s="140" t="s">
        <v>169</v>
      </c>
      <c r="D65" s="141"/>
      <c r="E65" s="142" t="s">
        <v>93</v>
      </c>
      <c r="F65" s="143">
        <f>INT</f>
        <v>17</v>
      </c>
      <c r="G65" s="143">
        <f>WIS</f>
        <v>16</v>
      </c>
      <c r="H65" s="143">
        <f>CHA</f>
        <v>20</v>
      </c>
      <c r="I65" s="193"/>
      <c r="J65" s="194" t="str">
        <f t="shared" si="35"/>
        <v>No Skill</v>
      </c>
      <c r="K65" s="146">
        <f t="shared" si="36"/>
        <v>16</v>
      </c>
      <c r="L65" s="206">
        <f t="shared" si="37"/>
        <v>0</v>
      </c>
      <c r="M65" s="196" t="s">
        <v>64</v>
      </c>
      <c r="Q65" s="188"/>
      <c r="R65" s="208"/>
      <c r="S65" s="209"/>
      <c r="T65" s="210"/>
      <c r="U65" s="210"/>
      <c r="V65" s="210"/>
      <c r="W65" s="210"/>
      <c r="X65" s="211">
        <f>IF(BEAUTY=1,-3,
IF(BEAUTY=2,-2,
IF(BEAUTY=3,-1,
IF(BEAUTY=4,-1,
IF(BEAUTY=5,0,
IF(BEAUTY=6,0,
IF(BEAUTY=7,1,
IF(BEAUTY=8,1,
IF(BEAUTY=9,2,
IF(BEAUTY=10,3))))))))))</f>
        <v>-3</v>
      </c>
    </row>
    <row r="66" ht="16.5" customHeight="1">
      <c r="C66" s="212"/>
      <c r="Q66" s="62"/>
    </row>
    <row r="67" ht="7.5" customHeight="1">
      <c r="B67" s="1"/>
    </row>
  </sheetData>
  <mergeCells count="86">
    <mergeCell ref="B3:N3"/>
    <mergeCell ref="P3:X3"/>
    <mergeCell ref="C1:M1"/>
    <mergeCell ref="N1:N2"/>
    <mergeCell ref="O1:O2"/>
    <mergeCell ref="P1:P2"/>
    <mergeCell ref="Q1:X1"/>
    <mergeCell ref="Y1:Y2"/>
    <mergeCell ref="E2:H2"/>
    <mergeCell ref="C4:M4"/>
    <mergeCell ref="Q4:X4"/>
    <mergeCell ref="Q8:X8"/>
    <mergeCell ref="C10:M10"/>
    <mergeCell ref="S17:S21"/>
    <mergeCell ref="T17:T21"/>
    <mergeCell ref="Q18:Q19"/>
    <mergeCell ref="R18:R19"/>
    <mergeCell ref="X18:X20"/>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0" priority="1">
      <formula>$D5=0</formula>
    </cfRule>
  </conditionalFormatting>
  <conditionalFormatting sqref="L11:L13 L15 L25:L27">
    <cfRule type="cellIs" dxfId="11" priority="2" operator="greaterThan">
      <formula>0</formula>
    </cfRule>
  </conditionalFormatting>
  <conditionalFormatting sqref="L11:L13 L15 L25:L27">
    <cfRule type="beginsWith" dxfId="12" priority="3" operator="beginsWith" text="-">
      <formula>LEFT((L11),LEN("-"))=("-")</formula>
    </cfRule>
  </conditionalFormatting>
  <conditionalFormatting sqref="L12 L25:L27">
    <cfRule type="beginsWith" dxfId="13" priority="4" operator="beginsWith" text="+">
      <formula>LEFT((L12),LEN("+"))=("+")</formula>
    </cfRule>
  </conditionalFormatting>
  <conditionalFormatting sqref="L12 L25:L27">
    <cfRule type="beginsWith" dxfId="14" priority="5" operator="beginsWith" text="-">
      <formula>LEFT((L12),LEN("-"))=("-")</formula>
    </cfRule>
  </conditionalFormatting>
  <conditionalFormatting sqref="R6">
    <cfRule type="expression" dxfId="11" priority="6">
      <formula>(R17)="Mercy"</formula>
    </cfRule>
  </conditionalFormatting>
  <conditionalFormatting sqref="R7">
    <cfRule type="expression" dxfId="11" priority="7">
      <formula>(R17)="Mercy"</formula>
    </cfRule>
  </conditionalFormatting>
  <conditionalFormatting sqref="R6">
    <cfRule type="expression" dxfId="12" priority="8">
      <formula>(R17)="Severity"</formula>
    </cfRule>
  </conditionalFormatting>
  <conditionalFormatting sqref="R7">
    <cfRule type="expression" dxfId="12" priority="9">
      <formula>(R17)="Severity"</formula>
    </cfRule>
  </conditionalFormatting>
  <conditionalFormatting sqref="R14">
    <cfRule type="expression" dxfId="12" priority="10">
      <formula>(R17)="Mercy"</formula>
    </cfRule>
  </conditionalFormatting>
  <conditionalFormatting sqref="R15">
    <cfRule type="expression" dxfId="12" priority="11">
      <formula>(R17)="Mercy"</formula>
    </cfRule>
  </conditionalFormatting>
  <conditionalFormatting sqref="R16">
    <cfRule type="expression" dxfId="12" priority="12">
      <formula>(R17)="Mercy"</formula>
    </cfRule>
  </conditionalFormatting>
  <conditionalFormatting sqref="R14">
    <cfRule type="expression" dxfId="11" priority="13">
      <formula>(R17)="Severity"</formula>
    </cfRule>
  </conditionalFormatting>
  <conditionalFormatting sqref="R15">
    <cfRule type="expression" dxfId="11" priority="14">
      <formula>(R17)="Severity"</formula>
    </cfRule>
  </conditionalFormatting>
  <conditionalFormatting sqref="R16">
    <cfRule type="expression" dxfId="11" priority="15">
      <formula>(R17)="Severity"</formula>
    </cfRule>
  </conditionalFormatting>
  <conditionalFormatting sqref="R5">
    <cfRule type="expression" dxfId="11" priority="16">
      <formula>(R17)="Mercy"</formula>
    </cfRule>
  </conditionalFormatting>
  <conditionalFormatting sqref="R5">
    <cfRule type="expression" dxfId="12" priority="17">
      <formula>(R17)="Severity"</formula>
    </cfRule>
  </conditionalFormatting>
  <conditionalFormatting sqref="J5:K9 J11:K15 J17:K23 J25:K27 J29:K31 J33:K36 J38:K42 J44:K48 J50:K53 J55:K57 J59:K61 J63:K65">
    <cfRule type="beginsWith" dxfId="12" priority="18" operator="beginsWith" text="Unfavorable">
      <formula>LEFT((J5),LEN("Unfavorable"))=("Unfavorable")</formula>
    </cfRule>
  </conditionalFormatting>
  <conditionalFormatting sqref="J5:K9 J11:K15 J17:K23 J25:K27 J29:K31 J33:K36 J38:K42 J44:K48 J50:K53 J55:K57 J59:K61 J63:K65">
    <cfRule type="containsText" dxfId="15" priority="19" operator="containsText" text="d20">
      <formula>NOT(ISERROR(SEARCH(("d20"),(J5))))</formula>
    </cfRule>
  </conditionalFormatting>
  <conditionalFormatting sqref="J5:K9 J11:K15 J17:K23 J25:K27 J29:K31 J33:K36 J38:K42 J44:K48 J50:K53 J55:K57 J59:K61 J63:K65">
    <cfRule type="containsText" dxfId="16" priority="20" operator="containsText" text="d12">
      <formula>NOT(ISERROR(SEARCH(("d12"),(J5))))</formula>
    </cfRule>
  </conditionalFormatting>
  <conditionalFormatting sqref="J5:K9 J11:K15 J17:K23 J25:K27 J29:K31 J33:K36 J38:K42 J44:K48 J50:K53 J55:K57 J59:K61 J63:K65">
    <cfRule type="cellIs" dxfId="17" priority="21" operator="equal">
      <formula>"No Skill"</formula>
    </cfRule>
  </conditionalFormatting>
  <conditionalFormatting sqref="J5:K9 J11:K15 J17:K23 J25:K27 J29:K31 J33:K36 J38:K42 J44:K48 J50:K53 J55:K57 J59:K61 J63:K65">
    <cfRule type="beginsWith" dxfId="11" priority="22" operator="beginsWith" text="Favorable">
      <formula>LEFT((J5),LEN("Favorable"))=("Favorable")</formula>
    </cfRule>
  </conditionalFormatting>
  <conditionalFormatting sqref="U5:V7 U9:V12 U14:V16">
    <cfRule type="containsText" dxfId="15" priority="27" operator="containsText" text="d20">
      <formula>NOT(ISERROR(SEARCH(("d20"),(U5))))</formula>
    </cfRule>
  </conditionalFormatting>
  <conditionalFormatting sqref="U5:V7 U9:V12 U14:V16">
    <cfRule type="endsWith" dxfId="16" priority="28" operator="endsWith" text="12">
      <formula>RIGHT((U5),LEN("12"))=("12")</formula>
    </cfRule>
  </conditionalFormatting>
  <conditionalFormatting sqref="M5:M9 X5:X7 X9:X12 M11:M15 X14:X16 M17:M23 M25:M27 M29:M31 M33:M36 M38:M42 M44:M48 M50:M53 M55:M57 M59:M61 M63:M65">
    <cfRule type="cellIs" dxfId="18" priority="29" operator="equal">
      <formula>"NO"</formula>
    </cfRule>
  </conditionalFormatting>
  <conditionalFormatting sqref="M5:M9 X5:X7 X9:X12 M11:M15 X14:X16 M17:M23 M25:M27 M29:M31 M33:M36 M38:M42 M44:M48 M50:M53 M55:M57 M59:M61 M63:M65">
    <cfRule type="notContainsText" dxfId="19" priority="30" operator="notContains" text="NO">
      <formula>ISERROR(SEARCH(("NO"),(M5)))</formula>
    </cfRule>
  </conditionalFormatting>
  <conditionalFormatting sqref="L5:L9 L14:L15 L17:L23 L29:L31 L33:L36 L38:L42 L44:L48 L50:L53 L55:L57 L59:L61 L63:L65">
    <cfRule type="cellIs" dxfId="11" priority="31" operator="greaterThanOrEqual">
      <formula>0</formula>
    </cfRule>
  </conditionalFormatting>
  <conditionalFormatting sqref="L5:L9 L14:L15 L17:L23 L29:L31 L33:L36 L38:L42 L44:L48 L50:L53 L55:L57 L59:L61 L63:L65">
    <cfRule type="cellIs" dxfId="12" priority="32" operator="between">
      <formula>-4</formula>
      <formula>-1</formula>
    </cfRule>
  </conditionalFormatting>
  <conditionalFormatting sqref="F5:H9 F11:H15 F17:H23 F25:H27 F29:H31 F33:H36 F38:H42 F44:H48 F50:H53 F55:H57 F59:H61 F63:H65">
    <cfRule type="cellIs" dxfId="20" priority="33" operator="lessThan">
      <formula>0</formula>
    </cfRule>
  </conditionalFormatting>
  <conditionalFormatting sqref="Q5:T5 U5:V7 W5 U9:U12 U14:U16">
    <cfRule type="expression" dxfId="10" priority="34">
      <formula>$R17="None"</formula>
    </cfRule>
  </conditionalFormatting>
  <conditionalFormatting sqref="Q6:U6 V6:V7 W6">
    <cfRule type="expression" dxfId="10" priority="35">
      <formula>$R17="None"</formula>
    </cfRule>
  </conditionalFormatting>
  <conditionalFormatting sqref="Q7:W7">
    <cfRule type="expression" dxfId="10" priority="36">
      <formula>$R17="None"</formula>
    </cfRule>
  </conditionalFormatting>
  <conditionalFormatting sqref="Q9:U9 V9:V12 W9">
    <cfRule type="expression" dxfId="10" priority="37">
      <formula>$R17="None"</formula>
    </cfRule>
  </conditionalFormatting>
  <conditionalFormatting sqref="Q10:W10">
    <cfRule type="expression" dxfId="10" priority="38">
      <formula>$R17="None"</formula>
    </cfRule>
  </conditionalFormatting>
  <conditionalFormatting sqref="Q11:W11">
    <cfRule type="expression" dxfId="10" priority="39">
      <formula>$R17="None"</formula>
    </cfRule>
  </conditionalFormatting>
  <conditionalFormatting sqref="Q12:W12">
    <cfRule type="expression" dxfId="10" priority="40">
      <formula>$R17="None"</formula>
    </cfRule>
  </conditionalFormatting>
  <conditionalFormatting sqref="Q14:U14 V14:V16 W14">
    <cfRule type="expression" dxfId="10" priority="41">
      <formula>$R17="None"</formula>
    </cfRule>
  </conditionalFormatting>
  <conditionalFormatting sqref="Q15:W15">
    <cfRule type="expression" dxfId="10" priority="42">
      <formula>$R17="None"</formula>
    </cfRule>
  </conditionalFormatting>
  <conditionalFormatting sqref="Q16:W16">
    <cfRule type="expression" dxfId="10" priority="43">
      <formula>$R17="None"</formula>
    </cfRule>
  </conditionalFormatting>
  <dataValidations>
    <dataValidation type="list" allowBlank="1" showErrorMessage="1" sqref="R17">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7" t="s">
        <v>170</v>
      </c>
    </row>
    <row r="2" ht="7.5" customHeight="1">
      <c r="A2" s="213"/>
      <c r="B2" s="91"/>
      <c r="E2" s="91"/>
      <c r="H2" s="91"/>
      <c r="K2" s="108"/>
      <c r="Q2" s="108"/>
      <c r="Z2" s="108"/>
      <c r="AK2" s="108"/>
      <c r="AT2" s="108"/>
      <c r="BE2" s="108"/>
      <c r="BN2" s="108"/>
      <c r="BT2" s="213"/>
    </row>
    <row r="3" ht="18.75" customHeight="1">
      <c r="E3" s="214" t="s">
        <v>171</v>
      </c>
      <c r="Q3" s="40"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
      </c>
      <c r="AK3" s="40"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
      </c>
      <c r="BE3" s="40"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
      </c>
    </row>
    <row r="4" ht="18.75" customHeight="1"/>
    <row r="5" ht="18.75" customHeight="1">
      <c r="E5" s="215">
        <f>IF(E3="Broken", ROUNDDOWN(MAX((TOUGHNESS/2+RESISTMOD)/2, 1),0),ROUNDDOWN(MAX(TOUGHNESS/2+RESISTMOD, 1),0))</f>
        <v>27</v>
      </c>
      <c r="Q5" s="216"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c>
      <c r="U5" s="217"/>
      <c r="V5" s="218"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c>
      <c r="AK5" s="216"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c>
      <c r="AO5" s="217"/>
      <c r="AP5" s="218"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c>
      <c r="BE5" s="219"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
      </c>
      <c r="BI5" s="217"/>
      <c r="BJ5" s="219"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c>
    </row>
    <row r="6" ht="9.0" customHeight="1">
      <c r="Q6" s="220"/>
      <c r="AK6" s="220"/>
      <c r="BE6" s="220"/>
    </row>
    <row r="7" ht="6.0" customHeight="1">
      <c r="E7" s="221"/>
    </row>
    <row r="8" ht="18.75" customHeight="1">
      <c r="B8" s="222"/>
      <c r="C8" s="214" t="s">
        <v>171</v>
      </c>
      <c r="D8" s="217"/>
      <c r="E8" s="214" t="s">
        <v>171</v>
      </c>
      <c r="H8" s="221"/>
      <c r="I8" s="214" t="s">
        <v>171</v>
      </c>
      <c r="J8" s="223"/>
      <c r="K8" s="224"/>
      <c r="L8" s="39"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
      </c>
      <c r="P8" s="221"/>
      <c r="Q8" s="40"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
      </c>
      <c r="Z8" s="221"/>
      <c r="AA8" s="39"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
      </c>
      <c r="AE8" s="225"/>
      <c r="AF8" s="39"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
      </c>
      <c r="AJ8" s="221"/>
      <c r="AK8" s="40"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
      </c>
      <c r="AT8" s="221"/>
      <c r="AU8" s="39"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
      </c>
      <c r="AY8" s="225"/>
      <c r="AZ8" s="39"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
      </c>
      <c r="BD8" s="221"/>
      <c r="BE8" s="40"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
      </c>
      <c r="BN8" s="221"/>
      <c r="BO8" s="39"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
      </c>
      <c r="BS8" s="226"/>
    </row>
    <row r="9" ht="18.75" customHeight="1">
      <c r="C9" s="215">
        <f>IF(C8="Broken", ROUNDDOWN(MAX((TOUGHNESS/2+RESISTMOD)/2, 1),0),ROUNDDOWN(MAX(TOUGHNESS/2+RESISTMOD, 1),0))</f>
        <v>27</v>
      </c>
      <c r="I9" s="215">
        <f>IF(I8="Broken", ROUNDDOWN(MAX((TOUGHNESS/2+RESISTMOD)/2, 1),0),ROUNDDOWN(MAX(TOUGHNESS/2+RESISTMOD, 1),0))</f>
        <v>27</v>
      </c>
      <c r="L9"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218"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216"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218"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216"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
      </c>
      <c r="AH9" s="227"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216"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
      </c>
      <c r="AW9" s="218"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219"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
      </c>
      <c r="BB9" s="219"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219"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
      </c>
      <c r="BQ9" s="219"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
      </c>
    </row>
    <row r="10" ht="3.75" customHeight="1">
      <c r="C10" s="221"/>
      <c r="D10" s="222"/>
      <c r="E10" s="215">
        <f>IF(E8="Broken", ROUNDDOWN(MAX((TOUGHNESS+RESISTMOD)/2, 1),0),ROUNDDOWN(MAX(TOUGHNESS+RESISTMOD, 1),0))</f>
        <v>34</v>
      </c>
      <c r="H10" s="222"/>
      <c r="I10" s="221"/>
      <c r="L10" s="228" t="s">
        <v>172</v>
      </c>
      <c r="P10" s="224"/>
      <c r="Z10" s="224"/>
      <c r="AA10" s="221"/>
      <c r="AF10" s="228" t="s">
        <v>172</v>
      </c>
      <c r="AJ10" s="224"/>
      <c r="AT10" s="224"/>
      <c r="AU10" s="221"/>
      <c r="AZ10" s="228" t="s">
        <v>172</v>
      </c>
      <c r="BD10" s="224"/>
      <c r="BN10" s="224"/>
      <c r="BO10" s="221"/>
    </row>
    <row r="11" ht="18.75" customHeight="1">
      <c r="C11" s="214" t="s">
        <v>171</v>
      </c>
      <c r="I11" s="214" t="s">
        <v>171</v>
      </c>
      <c r="L11" s="39"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
      </c>
      <c r="Q11" s="229"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c>
      <c r="U11" s="219"/>
      <c r="V11" s="229"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c>
      <c r="AA11" s="39"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
      </c>
      <c r="AF11" s="39"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
      </c>
      <c r="AK11" s="216"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c>
      <c r="AO11" s="219"/>
      <c r="AP11" s="218"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c>
      <c r="AU11" s="39"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
      </c>
      <c r="AZ11" s="39"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
      </c>
      <c r="BE11" s="229"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
      </c>
      <c r="BI11" s="219"/>
      <c r="BJ11" s="229"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c>
      <c r="BO11" s="39"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
      </c>
    </row>
    <row r="12" ht="18.75" customHeight="1">
      <c r="C12" s="215">
        <f>IF(C11="Broken", ROUNDDOWN(MAX((TOUGHNESS/2+RESISTMOD)/2, 1),0),ROUNDDOWN(MAX(TOUGHNESS/2+RESISTMOD, 1),0))</f>
        <v>27</v>
      </c>
      <c r="E12" s="217"/>
      <c r="I12" s="215">
        <f>IF(I11="Broken", ROUNDDOWN(MAX((TOUGHNESS/2+RESISTMOD)/2, 1),0),ROUNDDOWN(MAX(TOUGHNESS/2+RESISTMOD, 1),0))</f>
        <v>27</v>
      </c>
      <c r="L12" s="216"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218"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230"/>
      <c r="AA12" s="216"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218"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214"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227"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230"/>
      <c r="AU12" s="216"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218"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219"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
      </c>
      <c r="BB12" s="229"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IFERROR(IF(vlookup(BC23,Inventory!C4:AF37,25,false)=TRUE,IF(vlookup(BC23,Inventory!C4:AF37,16,false)="P","F","")&amp;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
      </c>
      <c r="BE12" s="230"/>
      <c r="BO12" s="219"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
      </c>
      <c r="BQ12" s="229"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
      </c>
    </row>
    <row r="13" ht="18.75" customHeight="1">
      <c r="B13" s="222"/>
      <c r="E13" s="214" t="s">
        <v>171</v>
      </c>
      <c r="F13" s="222"/>
      <c r="G13" s="214" t="s">
        <v>171</v>
      </c>
      <c r="I13" s="231"/>
      <c r="K13" s="232"/>
      <c r="L13" s="233"/>
      <c r="Q13" s="40"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
      </c>
      <c r="U13" s="234"/>
      <c r="V13" s="40"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
      </c>
      <c r="AA13" s="224"/>
      <c r="AK13" s="40"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
      </c>
      <c r="AO13" s="234"/>
      <c r="AP13" s="40"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
      </c>
      <c r="AU13" s="224"/>
      <c r="BE13" s="40"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
      </c>
      <c r="BI13" s="234"/>
      <c r="BJ13" s="40"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
      </c>
      <c r="BO13" s="224"/>
    </row>
    <row r="14" ht="18.75" customHeight="1"/>
    <row r="15" ht="11.25" customHeight="1">
      <c r="E15" s="235">
        <f>IF(E13="Broken", ROUNDDOWN(MAX((TOUGHNESS+RESISTMOD)/2, 1),0),ROUNDDOWN(MAX(TOUGHNESS+RESISTMOD, 1),0))</f>
        <v>34</v>
      </c>
      <c r="G15" s="235">
        <f>IF(G13="Broken", ROUNDDOWN(MAX((TOUGHNESS+RESISTMOD)/2, 1),0),ROUNDDOWN(MAX(TOUGHNESS+RESISTMOD, 1),0))</f>
        <v>34</v>
      </c>
    </row>
    <row r="16" ht="18.75" customHeight="1">
      <c r="Q16"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218"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216"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236"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214"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
      </c>
      <c r="AM16" s="227"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214"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
      </c>
      <c r="AR16" s="227"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219"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
      </c>
      <c r="BG16" s="219"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219"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
      </c>
      <c r="BL16" s="219"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217"/>
      <c r="G17" s="217"/>
      <c r="Q17" s="217"/>
      <c r="V17" s="217"/>
      <c r="AK17" s="217"/>
      <c r="AP17" s="217"/>
      <c r="BE17" s="217"/>
      <c r="BJ17" s="217"/>
    </row>
    <row r="18" ht="18.75" customHeight="1">
      <c r="E18" s="214" t="s">
        <v>171</v>
      </c>
      <c r="G18" s="237" t="s">
        <v>171</v>
      </c>
      <c r="Q18" s="40"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
      </c>
      <c r="V18" s="40"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
      </c>
      <c r="AK18" s="40"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
      </c>
      <c r="AP18" s="40"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
      </c>
      <c r="BE18" s="40"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
      </c>
      <c r="BJ18" s="40"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
      </c>
    </row>
    <row r="19" ht="18.75" customHeight="1">
      <c r="E19" s="215">
        <f>IF(E18="Broken", ROUNDDOWN(MAX((TOUGHNESS/2+RESISTMOD)/2, 1),0),ROUNDDOWN(MAX(TOUGHNESS/2+RESISTMOD, 1),0))</f>
        <v>27</v>
      </c>
      <c r="G19" s="215">
        <f>IF(G18="Broken", ROUNDDOWN(MAX((TOUGHNESS/2+RESISTMOD)/2, 1),0),ROUNDDOWN(MAX(TOUGHNESS/2+RESISTMOD, 1),0))</f>
        <v>27</v>
      </c>
      <c r="Q19" s="216"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218"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216"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218"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214"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227"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214"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227"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219"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
      </c>
      <c r="BG19" s="219"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219"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
      </c>
      <c r="BL19" s="219"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231"/>
      <c r="L20" s="233"/>
      <c r="N20" s="238"/>
      <c r="O20" s="238"/>
      <c r="BS20" s="239"/>
    </row>
    <row r="21" ht="21.0" customHeight="1">
      <c r="B21" s="222"/>
      <c r="C21" s="224"/>
      <c r="D21" s="240" t="s">
        <v>173</v>
      </c>
      <c r="E21" s="21"/>
      <c r="F21" s="21"/>
      <c r="G21" s="21"/>
      <c r="H21" s="27"/>
      <c r="I21" s="232"/>
      <c r="J21" s="232"/>
      <c r="O21" s="241" t="s">
        <v>174</v>
      </c>
      <c r="AB21" s="222"/>
      <c r="AC21" s="239"/>
      <c r="AI21" s="241" t="s">
        <v>175</v>
      </c>
      <c r="AV21" s="222"/>
      <c r="AW21" s="239"/>
      <c r="BC21" s="241" t="s">
        <v>176</v>
      </c>
      <c r="BP21" s="222"/>
      <c r="BQ21" s="239"/>
    </row>
    <row r="22" ht="21.0" customHeight="1">
      <c r="C22" s="242" t="s">
        <v>177</v>
      </c>
      <c r="D22" s="243">
        <f>FOCUSMOD+(Main!H6*4)+(Main!H9*2)</f>
        <v>600</v>
      </c>
      <c r="F22" s="222"/>
      <c r="G22" s="244" t="s">
        <v>178</v>
      </c>
      <c r="H22" s="36"/>
      <c r="I22" s="245" t="s">
        <v>179</v>
      </c>
      <c r="O22" s="216"/>
      <c r="V22" s="214" t="s">
        <v>171</v>
      </c>
      <c r="AB22" s="222"/>
      <c r="AC22" s="246"/>
      <c r="AD22" s="221"/>
      <c r="AE22" s="239"/>
      <c r="AG22" s="221"/>
      <c r="AI22" s="216"/>
      <c r="AP22" s="214" t="s">
        <v>171</v>
      </c>
      <c r="AV22" s="222"/>
      <c r="AW22" s="246"/>
      <c r="AX22" s="221"/>
      <c r="AY22" s="239"/>
      <c r="BA22" s="221"/>
      <c r="BC22" s="216"/>
      <c r="BJ22" s="214" t="s">
        <v>171</v>
      </c>
      <c r="BP22" s="222"/>
      <c r="BQ22" s="246"/>
      <c r="BR22" s="247" t="str">
        <f>IFERROR(vlookup(BC22,Inventory!C4:AJ37,34,false),"")</f>
        <v/>
      </c>
    </row>
    <row r="23" ht="21.0" customHeight="1">
      <c r="C23" s="242" t="s">
        <v>180</v>
      </c>
      <c r="D23" s="248">
        <v>600.0</v>
      </c>
      <c r="F23" s="222"/>
      <c r="G23" s="244" t="s">
        <v>181</v>
      </c>
      <c r="H23" s="36"/>
      <c r="O23" s="218"/>
      <c r="V23" s="227" t="s">
        <v>171</v>
      </c>
      <c r="AB23" s="222"/>
      <c r="AD23" s="221"/>
      <c r="AI23" s="218"/>
      <c r="AP23" s="227" t="s">
        <v>171</v>
      </c>
      <c r="AV23" s="222"/>
      <c r="AX23" s="221"/>
      <c r="BC23" s="218"/>
      <c r="BJ23" s="227" t="s">
        <v>171</v>
      </c>
      <c r="BP23" s="222"/>
      <c r="BR23" s="247" t="str">
        <f>IFERROR(vlookup(BC23,Inventory!C4:AJ37,34,false),"")</f>
        <v/>
      </c>
      <c r="BS23" s="221"/>
    </row>
    <row r="24" ht="21.0" customHeight="1">
      <c r="D24" s="249"/>
      <c r="E24" s="49"/>
      <c r="F24" s="250"/>
      <c r="G24" s="251" t="s">
        <v>182</v>
      </c>
      <c r="H24" s="55"/>
      <c r="I24" s="252" t="b">
        <v>0</v>
      </c>
      <c r="O24" s="216"/>
      <c r="V24" s="214" t="s">
        <v>171</v>
      </c>
      <c r="AB24" s="222"/>
      <c r="AI24" s="216"/>
      <c r="AP24" s="214" t="s">
        <v>171</v>
      </c>
      <c r="AV24" s="222"/>
      <c r="BC24" s="216"/>
      <c r="BJ24" s="214" t="s">
        <v>171</v>
      </c>
      <c r="BP24" s="222"/>
      <c r="BR24" s="247" t="str">
        <f>IFERROR(vlookup(BC24,Inventory!C4:AJ37,34,false),"")</f>
        <v/>
      </c>
      <c r="BS24" s="221"/>
    </row>
    <row r="25" ht="21.0" customHeight="1">
      <c r="C25" s="224"/>
      <c r="D25" s="253" t="s">
        <v>183</v>
      </c>
      <c r="F25" s="224"/>
      <c r="G25" s="224"/>
      <c r="O25" s="218"/>
      <c r="V25" s="227" t="s">
        <v>171</v>
      </c>
      <c r="AB25" s="222"/>
      <c r="AI25" s="218"/>
      <c r="AP25" s="227" t="s">
        <v>171</v>
      </c>
      <c r="AV25" s="222"/>
      <c r="BC25" s="218"/>
      <c r="BJ25" s="227" t="s">
        <v>171</v>
      </c>
      <c r="BP25" s="222"/>
      <c r="BR25" s="247" t="str">
        <f>IFERROR(vlookup(BC25,Inventory!C4:AJ37,34,false),"")</f>
        <v/>
      </c>
      <c r="BS25" s="221"/>
    </row>
    <row r="26" ht="21.0" customHeight="1">
      <c r="C26" s="254" t="s">
        <v>184</v>
      </c>
      <c r="F26" s="255"/>
      <c r="G26" s="256">
        <f>2*ROUNDDOWN(MAX(MAX(Main!H6,0), 0)/2,0)+REGENMOD</f>
        <v>24</v>
      </c>
      <c r="H26" s="257"/>
      <c r="I26" s="258"/>
      <c r="O26" s="216"/>
      <c r="V26" s="214" t="s">
        <v>171</v>
      </c>
      <c r="AB26" s="222"/>
      <c r="AI26" s="216"/>
      <c r="AP26" s="214" t="s">
        <v>171</v>
      </c>
      <c r="AV26" s="222"/>
      <c r="BC26" s="216"/>
      <c r="BJ26" s="214" t="s">
        <v>171</v>
      </c>
      <c r="BP26" s="222"/>
      <c r="BR26" s="247" t="str">
        <f>IFERROR(vlookup(BC26,Inventory!C4:AJ37,34,false),"")</f>
        <v/>
      </c>
      <c r="BS26" s="221"/>
    </row>
    <row r="27" ht="21.0" customHeight="1">
      <c r="C27" s="254" t="s">
        <v>185</v>
      </c>
      <c r="G27" s="256">
        <f>APTMOD+MAX(MIN(STR,WIS,DEX), 1)</f>
        <v>19</v>
      </c>
      <c r="O27" s="218"/>
      <c r="V27" s="227" t="s">
        <v>171</v>
      </c>
      <c r="AB27" s="222"/>
      <c r="AI27" s="218"/>
      <c r="AP27" s="227" t="s">
        <v>171</v>
      </c>
      <c r="AV27" s="222"/>
      <c r="BC27" s="218"/>
      <c r="BJ27" s="227" t="s">
        <v>171</v>
      </c>
      <c r="BP27" s="222"/>
      <c r="BR27" s="247" t="str">
        <f>IFERROR(vlookup(BC27,Inventory!C4:AJ37,34,false),"")</f>
        <v/>
      </c>
      <c r="BS27" s="221"/>
    </row>
    <row r="28" ht="21.0" customHeight="1">
      <c r="C28" s="254" t="s">
        <v>186</v>
      </c>
      <c r="G28" s="256" t="str">
        <f>IF(Inventory!AI38 = "Fine", 5+QUOTIENT(Main!H5,2)*5 + SPEEDMOD*5 &amp; "ft (" &amp; 1+QUOTIENT(Main!H5,2) + SPEEDMOD &amp; ")", 0)</f>
        <v>80ft (16)</v>
      </c>
      <c r="O28" s="216"/>
      <c r="V28" s="214" t="s">
        <v>171</v>
      </c>
      <c r="AB28" s="222"/>
      <c r="AI28" s="216"/>
      <c r="AP28" s="214" t="s">
        <v>171</v>
      </c>
      <c r="AV28" s="222"/>
      <c r="BC28" s="216"/>
      <c r="BJ28" s="214" t="s">
        <v>171</v>
      </c>
      <c r="BP28" s="222"/>
      <c r="BR28" s="247" t="str">
        <f>IFERROR(vlookup(BC28,Inventory!C4:AJ37,34,false),"")</f>
        <v/>
      </c>
      <c r="BS28" s="221"/>
    </row>
    <row r="29" ht="21.0" customHeight="1">
      <c r="C29" s="254" t="s">
        <v>187</v>
      </c>
      <c r="G29" s="259" t="str">
        <f>Main!H5*0.25+Main!F4*0.25 &amp; "ft Vertical" &amp; "
" &amp; (SPEEDMOD*5+20+Main!H5*5)*0.25+Main!E4*0.25 &amp; "ft Long"</f>
        <v>8.5ft Vertical
39.75ft Long</v>
      </c>
      <c r="O29" s="218"/>
      <c r="V29" s="227" t="s">
        <v>171</v>
      </c>
      <c r="AB29" s="222"/>
      <c r="AI29" s="218"/>
      <c r="AP29" s="227" t="s">
        <v>171</v>
      </c>
      <c r="AV29" s="222"/>
      <c r="BC29" s="218"/>
      <c r="BJ29" s="227" t="s">
        <v>171</v>
      </c>
      <c r="BP29" s="222"/>
      <c r="BR29" s="247" t="str">
        <f>IFERROR(vlookup(BC29,Inventory!C4:AJ37,34,false),"")</f>
        <v/>
      </c>
      <c r="BS29" s="221"/>
    </row>
    <row r="30" ht="21.0" customHeight="1">
      <c r="C30" s="254" t="s">
        <v>188</v>
      </c>
      <c r="G30" s="259" t="str">
        <f>"0/"&amp; STR*2+Main!L8 &amp;"/0 : 0/0/0"</f>
        <v>0/58/0 : 0/0/0</v>
      </c>
      <c r="O30" s="216"/>
      <c r="V30" s="214" t="s">
        <v>171</v>
      </c>
      <c r="AB30" s="222"/>
      <c r="AI30" s="216"/>
      <c r="AP30" s="214" t="s">
        <v>171</v>
      </c>
      <c r="AV30" s="222"/>
      <c r="BC30" s="216"/>
      <c r="BJ30" s="214" t="s">
        <v>171</v>
      </c>
      <c r="BP30" s="222"/>
      <c r="BR30" s="247" t="str">
        <f>IFERROR(vlookup(BC30,Inventory!C4:AJ37,34,false),"")</f>
        <v/>
      </c>
      <c r="BS30" s="247">
        <f>Sum(BR22:BR31)</f>
        <v>0</v>
      </c>
    </row>
    <row r="31" ht="21.0" customHeight="1">
      <c r="C31" s="254" t="s">
        <v>189</v>
      </c>
      <c r="G31" s="260">
        <f>Main!H9</f>
        <v>20</v>
      </c>
      <c r="O31" s="218"/>
      <c r="V31" s="227" t="s">
        <v>171</v>
      </c>
      <c r="AB31" s="222"/>
      <c r="AD31" s="221"/>
      <c r="AE31" s="239"/>
      <c r="AG31" s="221"/>
      <c r="AI31" s="218"/>
      <c r="AP31" s="227" t="s">
        <v>171</v>
      </c>
      <c r="AV31" s="222"/>
      <c r="AX31" s="221"/>
      <c r="AY31" s="239"/>
      <c r="BA31" s="221"/>
      <c r="BC31" s="218"/>
      <c r="BJ31" s="227" t="s">
        <v>171</v>
      </c>
      <c r="BP31" s="222"/>
      <c r="BR31" s="247" t="str">
        <f>IFERROR(vlookup(BC31,Inventory!C4:AJ37,34,false),"")</f>
        <v/>
      </c>
      <c r="BS31" s="239"/>
    </row>
    <row r="32" ht="11.25" customHeight="1">
      <c r="C32" s="222"/>
      <c r="O32" s="239"/>
    </row>
    <row r="33" ht="11.25" customHeight="1">
      <c r="B33" s="224"/>
    </row>
    <row r="34" ht="7.5" customHeight="1">
      <c r="B34" s="213"/>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Y22:AZ22"/>
    <mergeCell ref="BA22:BB22"/>
    <mergeCell ref="BA31:BB31"/>
    <mergeCell ref="BC31:BI31"/>
    <mergeCell ref="BJ31:BO31"/>
    <mergeCell ref="BC22:BI22"/>
    <mergeCell ref="BJ22:BO22"/>
    <mergeCell ref="B8:B12"/>
    <mergeCell ref="C23:C24"/>
    <mergeCell ref="D23:E24"/>
    <mergeCell ref="G23:H23"/>
    <mergeCell ref="O23:U23"/>
    <mergeCell ref="V23:AA23"/>
    <mergeCell ref="AD23:AH30"/>
    <mergeCell ref="AI23:AO23"/>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1"/>
    <mergeCell ref="H26:H31"/>
    <mergeCell ref="I26:J32"/>
    <mergeCell ref="BS8:BS12"/>
    <mergeCell ref="BS20:BS22"/>
    <mergeCell ref="BN2:BS7"/>
    <mergeCell ref="BT2:BT34"/>
    <mergeCell ref="BN8:BN9"/>
    <mergeCell ref="BO8:BR8"/>
    <mergeCell ref="BO9:BP9"/>
    <mergeCell ref="BN10:BN19"/>
    <mergeCell ref="BO13:BS19"/>
    <mergeCell ref="BS31:BS32"/>
    <mergeCell ref="B21:B32"/>
    <mergeCell ref="D21:H21"/>
    <mergeCell ref="D25:E25"/>
    <mergeCell ref="C26:E26"/>
    <mergeCell ref="C27:E27"/>
    <mergeCell ref="C32:H32"/>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C28:E28"/>
    <mergeCell ref="C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A1:BT1"/>
    <mergeCell ref="A2:A34"/>
    <mergeCell ref="Q6:Y7"/>
    <mergeCell ref="BE6:BM7"/>
    <mergeCell ref="BE8:BM10"/>
    <mergeCell ref="N20:N32"/>
    <mergeCell ref="BQ22:BQ31"/>
    <mergeCell ref="BJ30:BO30"/>
    <mergeCell ref="C31:E31"/>
    <mergeCell ref="O31:U31"/>
    <mergeCell ref="V31:AA31"/>
    <mergeCell ref="AE31:AF31"/>
    <mergeCell ref="AG31:AH31"/>
    <mergeCell ref="AI31:AO31"/>
    <mergeCell ref="BD10:BD19"/>
    <mergeCell ref="O20:BR20"/>
    <mergeCell ref="AI29:AO29"/>
    <mergeCell ref="AP29:AU29"/>
    <mergeCell ref="BC29:BI29"/>
    <mergeCell ref="BJ29:BO29"/>
    <mergeCell ref="C30:E30"/>
    <mergeCell ref="O30:U30"/>
    <mergeCell ref="V30:AA30"/>
    <mergeCell ref="AI30:AO30"/>
    <mergeCell ref="AP30:AU30"/>
    <mergeCell ref="BC30:BI30"/>
    <mergeCell ref="AP31:AU31"/>
    <mergeCell ref="AY31:AZ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21" priority="1" operator="beginsWith" text="0">
      <formula>LEFT((G28),LEN("0"))=("0")</formula>
    </cfRule>
  </conditionalFormatting>
  <conditionalFormatting sqref="G28:G30">
    <cfRule type="beginsWith" dxfId="21" priority="2" operator="beginsWith" text="-">
      <formula>LEFT((G28),LEN("-"))=("-")</formula>
    </cfRule>
  </conditionalFormatting>
  <conditionalFormatting sqref="G28:G30">
    <cfRule type="endsWith" dxfId="22" priority="3" operator="endsWith" text="*">
      <formula>RIGHT((G28),LEN("*"))=("*")</formula>
    </cfRule>
  </conditionalFormatting>
  <conditionalFormatting sqref="Q13:R14 V13:W14 AK13:AL14 AP13:AQ14 BE13:BF14 BJ13:BK14 Q18 V18 AK18 AP18 BE18 BJ18">
    <cfRule type="expression" dxfId="23" priority="4">
      <formula>(S13) = "W2"</formula>
    </cfRule>
  </conditionalFormatting>
  <conditionalFormatting sqref="Q13:R14 V13:W14 AK13:AL14 AP13:AQ14 BE13:BF14 BJ13:BK14 Q18 V18 AK18 AP18 BE18 BJ18">
    <cfRule type="expression" dxfId="24" priority="5">
      <formula>(S13) = "B1"</formula>
    </cfRule>
  </conditionalFormatting>
  <conditionalFormatting sqref="Q13:R14 V13:W14 AK13:AL14 AP13:AQ14 BE13:BF14 BJ13:BK14 Q18 V18 AK18 AP18 BE18 BJ18">
    <cfRule type="expression" dxfId="10" priority="6">
      <formula>(S13) = "D0"</formula>
    </cfRule>
  </conditionalFormatting>
  <conditionalFormatting sqref="L8:M8 AA8:AB8 AF8:AG8 AU8:AV8 AZ8:BA8 BO8:BP8 L11:M11 AA11:AB11 AF11:AG11 AU11:AV11 AZ11:BA11 BO11:BP11 Q18:R18 V18:W18 AK18:AL18 AP18:AQ18 BE18:BF18 BJ18:BK18">
    <cfRule type="expression" dxfId="24" priority="7">
      <formula>(N8) = "B1"</formula>
    </cfRule>
  </conditionalFormatting>
  <conditionalFormatting sqref="L8:M8 AA8:AB8 AF8:AG8 AU8:AV8 AZ8:BA8 BO8:BP8 L11:M11 AA11:AB11 AF11:AG11 AU11:AV11 AZ11:BA11 BO11:BP11 Q18:R18 V18:W18 AK18:AL18 AP18:AQ18 BE18:BF18 BJ18:BK18">
    <cfRule type="expression" dxfId="23" priority="8">
      <formula>(N8) = "W2"</formula>
    </cfRule>
  </conditionalFormatting>
  <conditionalFormatting sqref="L8:M8 AA8:AB8 AF8:AG8 AU8:AV8 AZ8:BA8 BO8:BP8 L11:M11 AA11:AB11 AF11:AG11 AU11:AV11 AZ11:BA11 BO11:BP11 Q18:R18 V18:W18 AK18:AL18 AP18:AQ18 BE18:BF18 BJ18:BK18">
    <cfRule type="expression" dxfId="10" priority="9">
      <formula>(N8) = "D0"</formula>
    </cfRule>
  </conditionalFormatting>
  <conditionalFormatting sqref="E18 G18">
    <cfRule type="expression" dxfId="25" priority="10">
      <formula>(E13) = "Missing"</formula>
    </cfRule>
  </conditionalFormatting>
  <conditionalFormatting sqref="E18 G18">
    <cfRule type="expression" dxfId="25" priority="11">
      <formula>(E13) = "Destroyed"</formula>
    </cfRule>
  </conditionalFormatting>
  <conditionalFormatting sqref="C8 I8:J8 C11 I11:J11 E18 G18">
    <cfRule type="cellIs" dxfId="25" priority="12" operator="equal">
      <formula>"Missing"</formula>
    </cfRule>
  </conditionalFormatting>
  <conditionalFormatting sqref="C11 I11">
    <cfRule type="expression" dxfId="25" priority="13">
      <formula>(C8) = "Missing"</formula>
    </cfRule>
  </conditionalFormatting>
  <conditionalFormatting sqref="C8 I8:J8 C11 I11:J11">
    <cfRule type="cellIs" dxfId="25" priority="14" operator="equal">
      <formula>"Missing"</formula>
    </cfRule>
  </conditionalFormatting>
  <conditionalFormatting sqref="C11 I11">
    <cfRule type="expression" dxfId="25" priority="15">
      <formula>(C8) = "Destroyed"</formula>
    </cfRule>
  </conditionalFormatting>
  <conditionalFormatting sqref="E3 C8 E8 I8:J8 C11 I11:J11 E18 G18">
    <cfRule type="cellIs" dxfId="25" priority="16" operator="equal">
      <formula>"Destroyed"</formula>
    </cfRule>
  </conditionalFormatting>
  <conditionalFormatting sqref="C12 I12 E17 G17">
    <cfRule type="expression" dxfId="25" priority="17">
      <formula>(C8) = "Missing"</formula>
    </cfRule>
  </conditionalFormatting>
  <conditionalFormatting sqref="C9 I9 C12 I12 E19 G19:G20">
    <cfRule type="expression" dxfId="25" priority="18">
      <formula>(C8) = "Missing"</formula>
    </cfRule>
  </conditionalFormatting>
  <conditionalFormatting sqref="E5 C9 I9 E10 C12 I12 E19 G19:G20">
    <cfRule type="expression" dxfId="25" priority="19">
      <formula>(E4) = "Destroyed"</formula>
    </cfRule>
  </conditionalFormatting>
  <conditionalFormatting sqref="C12 I12 E17 G17 Q17:T17 V17:W17 Y17 AK17:AN17 AP17:AQ17 AS17 BE17:BH17 BJ17:BK17 BM17">
    <cfRule type="expression" dxfId="25" priority="20">
      <formula>(C8) = "Destroyed"</formula>
    </cfRule>
  </conditionalFormatting>
  <conditionalFormatting sqref="C10 I10 E15:E16 G15:G16">
    <cfRule type="expression" dxfId="25" priority="21">
      <formula>(T3) = "Destroyed"</formula>
    </cfRule>
  </conditionalFormatting>
  <conditionalFormatting sqref="E3 C8 E8 I8:J8 C11 I11:J11 E13:E14 G13:G14 U13:U14 AO13:AO14 BI13:BI14 E18 G18">
    <cfRule type="cellIs" dxfId="23" priority="22" operator="equal">
      <formula>"Worn"</formula>
    </cfRule>
  </conditionalFormatting>
  <conditionalFormatting sqref="E19 G19:G20">
    <cfRule type="expression" dxfId="25" priority="23">
      <formula>(E13) = "Missing"</formula>
    </cfRule>
  </conditionalFormatting>
  <conditionalFormatting sqref="E19 G19:G20">
    <cfRule type="expression" dxfId="25" priority="24">
      <formula>(E13) = "Destroyed"</formula>
    </cfRule>
  </conditionalFormatting>
  <conditionalFormatting sqref="E5 C9 I9 E10 C12 I12 E19 G19:G20">
    <cfRule type="expression" dxfId="23" priority="25">
      <formula>(E4) = "Worn"</formula>
    </cfRule>
  </conditionalFormatting>
  <conditionalFormatting sqref="E5 C9 I9 E10 C12 I12 E19 G19:G20">
    <cfRule type="expression" dxfId="24" priority="26">
      <formula>(E4) = "Broken"</formula>
    </cfRule>
  </conditionalFormatting>
  <conditionalFormatting sqref="E3 C8 E8 I8:J8 C11 I11:J11 E13:E14 G13:G14 U13:U14 AO13:AO14 BI13:BI14 E18 G18">
    <cfRule type="cellIs" dxfId="24" priority="27" operator="equal">
      <formula>"Broken"</formula>
    </cfRule>
  </conditionalFormatting>
  <conditionalFormatting sqref="E5:G6 E10">
    <cfRule type="expression" dxfId="25" priority="28">
      <formula>(E3) = "Destroyed"</formula>
    </cfRule>
  </conditionalFormatting>
  <conditionalFormatting sqref="E5:G6 E10 E15:E16 G15:G16">
    <cfRule type="expression" dxfId="23" priority="29">
      <formula>(E3) = "Worn"</formula>
    </cfRule>
  </conditionalFormatting>
  <conditionalFormatting sqref="E13:E14 G13:G14">
    <cfRule type="cellIs" dxfId="23" priority="30" operator="equal">
      <formula>"Worn"</formula>
    </cfRule>
  </conditionalFormatting>
  <conditionalFormatting sqref="E13:E14 G13:G14">
    <cfRule type="cellIs" dxfId="24" priority="31" operator="equal">
      <formula>"Broken"</formula>
    </cfRule>
  </conditionalFormatting>
  <conditionalFormatting sqref="E13:E14 G13:G14 U13:U14 AO13:AO14 BI13:BI14">
    <cfRule type="cellIs" dxfId="25" priority="32" operator="equal">
      <formula>"Destroyed"</formula>
    </cfRule>
  </conditionalFormatting>
  <conditionalFormatting sqref="C10 I10 E15:E16 G15:G16">
    <cfRule type="expression" dxfId="25" priority="33">
      <formula>(C8) = "Missing"</formula>
    </cfRule>
  </conditionalFormatting>
  <conditionalFormatting sqref="E15:E16 G15:G16">
    <cfRule type="expression" dxfId="25" priority="34">
      <formula>(E13) = "Destroyed"</formula>
    </cfRule>
  </conditionalFormatting>
  <conditionalFormatting sqref="E15:E16 G15:G16">
    <cfRule type="expression" dxfId="23" priority="35">
      <formula>(E13) = "Worn"</formula>
    </cfRule>
  </conditionalFormatting>
  <conditionalFormatting sqref="E15:E16 G15:G16">
    <cfRule type="expression" dxfId="24" priority="36">
      <formula>(E13) = "Broken"</formula>
    </cfRule>
  </conditionalFormatting>
  <conditionalFormatting sqref="E13:E14 G13:G14">
    <cfRule type="cellIs" dxfId="25" priority="37" operator="equal">
      <formula>"Missing"</formula>
    </cfRule>
  </conditionalFormatting>
  <conditionalFormatting sqref="Q5 AK5:AK6 BE5:BE6 AL6:AN6 BF6:BH6 Q11:T11 AK11:AN11 BE11:BH11">
    <cfRule type="cellIs" dxfId="10" priority="38" operator="equal">
      <formula>" Resist"</formula>
    </cfRule>
  </conditionalFormatting>
  <conditionalFormatting sqref="V5 AP5 BJ5 V11:Y11 AP11:AS11 BJ11:BM11">
    <cfRule type="beginsWith" dxfId="10" priority="39" operator="beginsWith" text=" Proof">
      <formula>LEFT((V5),LEN(" Proof"))=(" Proof")</formula>
    </cfRule>
  </conditionalFormatting>
  <conditionalFormatting sqref="Q5 AK5:AK6 BE5:BE6 AL6:AN6 BF6:BH6 Q11:T11 AK11:AN11 BE11:BH11">
    <cfRule type="containsBlanks" dxfId="10" priority="40">
      <formula>LEN(TRIM(Q5))=0</formula>
    </cfRule>
  </conditionalFormatting>
  <conditionalFormatting sqref="V5 AP5 BJ5 V11:Y11 AP11:AS11 BJ11:BM11">
    <cfRule type="containsBlanks" dxfId="10" priority="41">
      <formula>LEN(TRIM(V5))=0</formula>
    </cfRule>
  </conditionalFormatting>
  <conditionalFormatting sqref="Q3 AK3 BE3 L8 Q8:Y8 AA8 AF8 AK8:AS8 AU8 AZ8 BE8:BM8 BO8 L11 AA11 AF11 AU11 AZ11 BO11 Q13 V13 AK13 AP13 BE13 BJ13 Q18 V18 AK18 AP18 BE18 BJ18">
    <cfRule type="containsBlanks" dxfId="10" priority="42">
      <formula>LEN(TRIM(Q3))=0</formula>
    </cfRule>
  </conditionalFormatting>
  <conditionalFormatting sqref="Q3 AK3 BE3 L8 Q8:Y9 AA8 AF8 AK8:AS9 AU8 AZ8 BE8:BM9 BO8 L11 AA11 AF11 AU11 AZ11 BO11 Q13 V13 AK13 AP13 BE13 BJ13 Q18 V18 AK18 AP18 BE18 BJ18">
    <cfRule type="cellIs" dxfId="10" priority="43" operator="equal">
      <formula>0</formula>
    </cfRule>
  </conditionalFormatting>
  <conditionalFormatting sqref="G24:H24">
    <cfRule type="expression" dxfId="22" priority="44">
      <formula>D23=0</formula>
    </cfRule>
  </conditionalFormatting>
  <conditionalFormatting sqref="G23:H23">
    <cfRule type="expression" dxfId="10" priority="45">
      <formula>I24=TRUE</formula>
    </cfRule>
  </conditionalFormatting>
  <conditionalFormatting sqref="G24:H24">
    <cfRule type="expression" dxfId="10" priority="46">
      <formula>I24=TRUE</formula>
    </cfRule>
  </conditionalFormatting>
  <conditionalFormatting sqref="G24:H24">
    <cfRule type="expression" dxfId="22" priority="47">
      <formula>E3="Broken"</formula>
    </cfRule>
  </conditionalFormatting>
  <conditionalFormatting sqref="I10">
    <cfRule type="expression" dxfId="25" priority="48">
      <formula>I8="Destroyed"</formula>
    </cfRule>
  </conditionalFormatting>
  <conditionalFormatting sqref="C10">
    <cfRule type="expression" dxfId="25" priority="49">
      <formula>C8="Destroyed"</formula>
    </cfRule>
  </conditionalFormatting>
  <conditionalFormatting sqref="E10:G11">
    <cfRule type="expression" dxfId="26" priority="50">
      <formula>E8="Broken"</formula>
    </cfRule>
  </conditionalFormatting>
  <conditionalFormatting sqref="E5:G6">
    <cfRule type="expression" dxfId="24" priority="51">
      <formula>E3="Broken"</formula>
    </cfRule>
  </conditionalFormatting>
  <conditionalFormatting sqref="G23:H23">
    <cfRule type="expression" dxfId="22" priority="52">
      <formula>C8="Worn"</formula>
    </cfRule>
  </conditionalFormatting>
  <conditionalFormatting sqref="G23:H23">
    <cfRule type="expression" dxfId="22" priority="53">
      <formula>C8="Broken"</formula>
    </cfRule>
  </conditionalFormatting>
  <conditionalFormatting sqref="G23:H23">
    <cfRule type="expression" dxfId="22" priority="54">
      <formula>C8="Destroyed"</formula>
    </cfRule>
  </conditionalFormatting>
  <conditionalFormatting sqref="G23:H23">
    <cfRule type="expression" dxfId="22" priority="55">
      <formula>C11="Worn"</formula>
    </cfRule>
  </conditionalFormatting>
  <conditionalFormatting sqref="G23:H23">
    <cfRule type="expression" dxfId="22" priority="56">
      <formula>C11="Broken"</formula>
    </cfRule>
  </conditionalFormatting>
  <conditionalFormatting sqref="G23:H23">
    <cfRule type="expression" dxfId="22" priority="57">
      <formula>C11="Destroyed"</formula>
    </cfRule>
  </conditionalFormatting>
  <conditionalFormatting sqref="G23:H23">
    <cfRule type="expression" dxfId="22" priority="58">
      <formula>E3="Worn"</formula>
    </cfRule>
  </conditionalFormatting>
  <conditionalFormatting sqref="G23:H23">
    <cfRule type="expression" dxfId="22" priority="59">
      <formula>E3="Broken"</formula>
    </cfRule>
  </conditionalFormatting>
  <conditionalFormatting sqref="G23:H23">
    <cfRule type="expression" dxfId="22" priority="60">
      <formula>E3="Destroyed"</formula>
    </cfRule>
  </conditionalFormatting>
  <conditionalFormatting sqref="G22:H22">
    <cfRule type="expression" dxfId="22" priority="61">
      <formula>E3="Destroyed"</formula>
    </cfRule>
  </conditionalFormatting>
  <conditionalFormatting sqref="G22:H22">
    <cfRule type="expression" dxfId="22" priority="62">
      <formula>E8="Destroyed"</formula>
    </cfRule>
  </conditionalFormatting>
  <conditionalFormatting sqref="G23:H23">
    <cfRule type="expression" dxfId="22" priority="63">
      <formula>E8="Worn"</formula>
    </cfRule>
  </conditionalFormatting>
  <conditionalFormatting sqref="G23:H23">
    <cfRule type="expression" dxfId="22" priority="64">
      <formula>E8="Broken"</formula>
    </cfRule>
  </conditionalFormatting>
  <conditionalFormatting sqref="G23:H23">
    <cfRule type="expression" dxfId="22" priority="65">
      <formula>E8="Destroyed"</formula>
    </cfRule>
  </conditionalFormatting>
  <conditionalFormatting sqref="G23:H23">
    <cfRule type="expression" dxfId="22" priority="66">
      <formula>I8="Worn"</formula>
    </cfRule>
  </conditionalFormatting>
  <conditionalFormatting sqref="G23:H23">
    <cfRule type="expression" dxfId="22" priority="67">
      <formula>I8="Broken"</formula>
    </cfRule>
  </conditionalFormatting>
  <conditionalFormatting sqref="G23:H23">
    <cfRule type="expression" dxfId="22" priority="68">
      <formula>I8="Destroyed"</formula>
    </cfRule>
  </conditionalFormatting>
  <conditionalFormatting sqref="G23:H23">
    <cfRule type="expression" dxfId="22" priority="69">
      <formula>I11="Worn"</formula>
    </cfRule>
  </conditionalFormatting>
  <conditionalFormatting sqref="G23:H23">
    <cfRule type="expression" dxfId="22" priority="70">
      <formula>I11="Broken"</formula>
    </cfRule>
  </conditionalFormatting>
  <conditionalFormatting sqref="G23:H23">
    <cfRule type="expression" dxfId="22" priority="71">
      <formula>I11="Destroyed"</formula>
    </cfRule>
  </conditionalFormatting>
  <conditionalFormatting sqref="G23:H23">
    <cfRule type="expression" dxfId="22" priority="72">
      <formula>E13="Worn"</formula>
    </cfRule>
  </conditionalFormatting>
  <conditionalFormatting sqref="G23:H23">
    <cfRule type="expression" dxfId="22" priority="73">
      <formula>E13="Broken"</formula>
    </cfRule>
  </conditionalFormatting>
  <conditionalFormatting sqref="G23:H23">
    <cfRule type="expression" dxfId="22" priority="74">
      <formula>E13="Destroyed"</formula>
    </cfRule>
  </conditionalFormatting>
  <conditionalFormatting sqref="G23:H23">
    <cfRule type="expression" dxfId="22" priority="75">
      <formula>G13="Worn"</formula>
    </cfRule>
  </conditionalFormatting>
  <conditionalFormatting sqref="G23:H23">
    <cfRule type="expression" dxfId="22" priority="76">
      <formula>G13="Broken"</formula>
    </cfRule>
  </conditionalFormatting>
  <conditionalFormatting sqref="G23:H23">
    <cfRule type="expression" dxfId="22" priority="77">
      <formula>G13="Destroyed"</formula>
    </cfRule>
  </conditionalFormatting>
  <conditionalFormatting sqref="G23:H23">
    <cfRule type="expression" dxfId="22" priority="78">
      <formula>E18="Worn"</formula>
    </cfRule>
  </conditionalFormatting>
  <conditionalFormatting sqref="G23:H23">
    <cfRule type="expression" dxfId="22" priority="79">
      <formula>E18="Broken"</formula>
    </cfRule>
  </conditionalFormatting>
  <conditionalFormatting sqref="G23:H23">
    <cfRule type="expression" dxfId="22" priority="80">
      <formula>E18="Destroyed"</formula>
    </cfRule>
  </conditionalFormatting>
  <conditionalFormatting sqref="G23:H23">
    <cfRule type="expression" dxfId="22" priority="81">
      <formula>G18="Worn"</formula>
    </cfRule>
  </conditionalFormatting>
  <conditionalFormatting sqref="G23:H23">
    <cfRule type="expression" dxfId="22" priority="82">
      <formula>G18="Broken"</formula>
    </cfRule>
  </conditionalFormatting>
  <conditionalFormatting sqref="G23:H23">
    <cfRule type="expression" dxfId="22" priority="83">
      <formula>G18="Destroyed"</formula>
    </cfRule>
  </conditionalFormatting>
  <conditionalFormatting sqref="O23:U31">
    <cfRule type="expression" dxfId="27" priority="84">
      <formula>O22=""</formula>
    </cfRule>
  </conditionalFormatting>
  <conditionalFormatting sqref="V22:AA31">
    <cfRule type="expression" dxfId="27" priority="85">
      <formula>O22=""</formula>
    </cfRule>
  </conditionalFormatting>
  <conditionalFormatting sqref="AI23:AO31">
    <cfRule type="expression" dxfId="27" priority="86">
      <formula>AI22=""</formula>
    </cfRule>
  </conditionalFormatting>
  <conditionalFormatting sqref="AP22:AU31">
    <cfRule type="expression" dxfId="27" priority="87">
      <formula>AI22=""</formula>
    </cfRule>
  </conditionalFormatting>
  <conditionalFormatting sqref="BC23:BI31">
    <cfRule type="expression" dxfId="27" priority="88">
      <formula>BC22=""</formula>
    </cfRule>
  </conditionalFormatting>
  <conditionalFormatting sqref="BJ22:BO31">
    <cfRule type="expression" dxfId="27" priority="89">
      <formula>BC22=""</formula>
    </cfRule>
  </conditionalFormatting>
  <conditionalFormatting sqref="AF9:AI9 AU9:AX9 AZ9 BB9 BO9 BQ9 AF12:AI12 AU12:AX12 AZ12 BB12 BO12 BQ12 AK16:AN16 AP16:AS16 BE16 BG16 BJ16 BL16 AK19:AN19 AP19:AS19 BE19 BG19 BJ19 BL19">
    <cfRule type="containsBlanks" dxfId="10" priority="90">
      <formula>LEN(TRIM(AF9))=0</formula>
    </cfRule>
  </conditionalFormatting>
  <conditionalFormatting sqref="Q5 V5 AK5:AN5 AP5:AS5 BE5 BJ5 AF9:AI9 AU9:AX9 AZ9 BB9 BO9 BQ9 AF12:AI12 AU12:AX12 AZ12 BB12 BO12 BQ12 AK16:AN16 AP16:AS16 BE16 BG16 BJ16 BL16 AK19:AN19 AP19:AS19 BE19 BG19 BJ19 BL19">
    <cfRule type="cellIs" dxfId="10" priority="91" operator="equal">
      <formula>"FALSE"</formula>
    </cfRule>
  </conditionalFormatting>
  <conditionalFormatting sqref="Q16:T16 V16:Y16 V19:Y19 Q19:T19 L12:O12 L9:O9 AA9:AD9 AA12:AD12 Q5:T5 V5:Y5">
    <cfRule type="containsBlanks" dxfId="10"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NOT(G17&gt;I27)</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17.75"/>
    <col customWidth="1" min="4" max="4" width="14.5"/>
    <col customWidth="1" min="5" max="5" width="15.0"/>
    <col customWidth="1" min="6" max="6" width="12.5"/>
    <col customWidth="1" min="7" max="9" width="4.5"/>
    <col customWidth="1" min="10" max="10" width="1.38"/>
    <col customWidth="1" min="11" max="14" width="4.5"/>
    <col customWidth="1" min="15" max="15" width="6.88"/>
    <col customWidth="1" min="16" max="16" width="7.38"/>
    <col customWidth="1" min="17" max="17" width="8.13"/>
    <col customWidth="1" min="18" max="21" width="4.13"/>
    <col customWidth="1" min="22" max="22" width="24.0"/>
    <col customWidth="1" min="23" max="32" width="2.25"/>
    <col customWidth="1" min="33" max="33" width="15.38"/>
    <col customWidth="1" min="34" max="34" width="17.63"/>
    <col customWidth="1" min="35" max="35" width="17.38"/>
    <col customWidth="1" min="36" max="36" width="1.38"/>
  </cols>
  <sheetData>
    <row r="1" ht="33.75" customHeight="1">
      <c r="A1" s="213"/>
      <c r="B1" s="261" t="s">
        <v>190</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66"/>
      <c r="AJ1" s="213"/>
    </row>
    <row r="2" ht="26.25" customHeight="1">
      <c r="A2" s="213"/>
      <c r="B2" s="262" t="s">
        <v>191</v>
      </c>
      <c r="C2" s="263" t="s">
        <v>192</v>
      </c>
      <c r="D2" s="263" t="s">
        <v>193</v>
      </c>
      <c r="E2" s="263" t="s">
        <v>194</v>
      </c>
      <c r="F2" s="264" t="s">
        <v>195</v>
      </c>
      <c r="G2" s="265" t="s">
        <v>196</v>
      </c>
      <c r="H2" s="266"/>
      <c r="I2" s="266"/>
      <c r="J2" s="266"/>
      <c r="K2" s="266"/>
      <c r="L2" s="266"/>
      <c r="M2" s="266"/>
      <c r="N2" s="267"/>
      <c r="O2" s="263" t="s">
        <v>197</v>
      </c>
      <c r="P2" s="265" t="s">
        <v>198</v>
      </c>
      <c r="Q2" s="266"/>
      <c r="R2" s="266"/>
      <c r="S2" s="266"/>
      <c r="T2" s="266"/>
      <c r="U2" s="267"/>
      <c r="V2" s="263" t="s">
        <v>199</v>
      </c>
      <c r="W2" s="265"/>
      <c r="X2" s="266"/>
      <c r="Y2" s="266"/>
      <c r="Z2" s="266"/>
      <c r="AA2" s="266"/>
      <c r="AB2" s="266"/>
      <c r="AC2" s="266"/>
      <c r="AD2" s="266"/>
      <c r="AE2" s="266"/>
      <c r="AF2" s="267"/>
      <c r="AG2" s="263" t="s">
        <v>200</v>
      </c>
      <c r="AH2" s="268" t="s">
        <v>201</v>
      </c>
      <c r="AI2" s="269" t="s">
        <v>37</v>
      </c>
      <c r="AJ2" s="213"/>
    </row>
    <row r="3" ht="45.0" customHeight="1">
      <c r="A3" s="213"/>
      <c r="B3" s="82"/>
      <c r="C3" s="85"/>
      <c r="D3" s="85"/>
      <c r="E3" s="85"/>
      <c r="F3" s="85"/>
      <c r="G3" s="270" t="s">
        <v>202</v>
      </c>
      <c r="H3" s="271" t="s">
        <v>203</v>
      </c>
      <c r="I3" s="271" t="s">
        <v>204</v>
      </c>
      <c r="J3" s="271"/>
      <c r="K3" s="271" t="s">
        <v>205</v>
      </c>
      <c r="L3" s="271" t="s">
        <v>206</v>
      </c>
      <c r="M3" s="271" t="s">
        <v>207</v>
      </c>
      <c r="N3" s="272" t="s">
        <v>208</v>
      </c>
      <c r="O3" s="85"/>
      <c r="P3" s="273" t="s">
        <v>209</v>
      </c>
      <c r="Q3" s="274" t="s">
        <v>116</v>
      </c>
      <c r="R3" s="274" t="s">
        <v>205</v>
      </c>
      <c r="S3" s="274" t="s">
        <v>206</v>
      </c>
      <c r="T3" s="274" t="s">
        <v>207</v>
      </c>
      <c r="U3" s="275" t="s">
        <v>208</v>
      </c>
      <c r="V3" s="85"/>
      <c r="W3" s="270" t="s">
        <v>210</v>
      </c>
      <c r="X3" s="271" t="s">
        <v>211</v>
      </c>
      <c r="Y3" s="271" t="s">
        <v>212</v>
      </c>
      <c r="Z3" s="271" t="s">
        <v>213</v>
      </c>
      <c r="AA3" s="271" t="s">
        <v>214</v>
      </c>
      <c r="AB3" s="271" t="s">
        <v>215</v>
      </c>
      <c r="AC3" s="271" t="s">
        <v>216</v>
      </c>
      <c r="AD3" s="271" t="s">
        <v>217</v>
      </c>
      <c r="AE3" s="271" t="s">
        <v>218</v>
      </c>
      <c r="AF3" s="272" t="s">
        <v>219</v>
      </c>
      <c r="AG3" s="85"/>
      <c r="AH3" s="85"/>
      <c r="AI3" s="86"/>
      <c r="AJ3" s="213"/>
    </row>
    <row r="4" ht="56.25" customHeight="1">
      <c r="A4" s="213"/>
      <c r="B4" s="276">
        <v>1.0</v>
      </c>
      <c r="C4" s="277"/>
      <c r="D4" s="278"/>
      <c r="E4" s="278"/>
      <c r="F4" s="278"/>
      <c r="G4" s="279"/>
      <c r="H4" s="279"/>
      <c r="I4" s="279"/>
      <c r="J4" s="280" t="s">
        <v>220</v>
      </c>
      <c r="K4" s="281"/>
      <c r="L4" s="281"/>
      <c r="M4" s="281"/>
      <c r="N4" s="281"/>
      <c r="O4" s="282"/>
      <c r="P4" s="283"/>
      <c r="Q4" s="284"/>
      <c r="R4" s="285"/>
      <c r="S4" s="285"/>
      <c r="T4" s="285"/>
      <c r="U4" s="286"/>
      <c r="V4" s="284"/>
      <c r="W4" s="287" t="b">
        <v>0</v>
      </c>
      <c r="X4" s="288" t="b">
        <v>0</v>
      </c>
      <c r="Y4" s="288" t="b">
        <v>0</v>
      </c>
      <c r="Z4" s="288" t="b">
        <v>0</v>
      </c>
      <c r="AA4" s="288" t="b">
        <v>0</v>
      </c>
      <c r="AB4" s="288" t="b">
        <v>0</v>
      </c>
      <c r="AC4" s="288" t="b">
        <v>0</v>
      </c>
      <c r="AD4" s="288" t="b">
        <v>0</v>
      </c>
      <c r="AE4" s="288" t="b">
        <v>0</v>
      </c>
      <c r="AF4" s="289" t="b">
        <v>0</v>
      </c>
      <c r="AG4" s="290"/>
      <c r="AH4" s="290"/>
      <c r="AI4" s="291"/>
      <c r="AJ4" s="292" t="str">
        <f>IFERROR(__xludf.DUMMYFUNCTION("IF(E4=""Heavy Armor"",IF(REGEXMATCH(V4,""Flexible""),""0"",COUNTIF(W4:AF4,true)),)"),"")</f>
        <v/>
      </c>
    </row>
    <row r="5" ht="56.25" customHeight="1">
      <c r="A5" s="213"/>
      <c r="B5" s="276">
        <v>2.0</v>
      </c>
      <c r="C5" s="293"/>
      <c r="D5" s="294"/>
      <c r="E5" s="295"/>
      <c r="F5" s="294"/>
      <c r="G5" s="296"/>
      <c r="H5" s="297"/>
      <c r="I5" s="297"/>
      <c r="J5" s="280" t="s">
        <v>220</v>
      </c>
      <c r="K5" s="298"/>
      <c r="L5" s="298"/>
      <c r="M5" s="298"/>
      <c r="N5" s="298"/>
      <c r="O5" s="299"/>
      <c r="P5" s="300"/>
      <c r="Q5" s="299"/>
      <c r="R5" s="301"/>
      <c r="S5" s="301"/>
      <c r="T5" s="301"/>
      <c r="U5" s="302"/>
      <c r="V5" s="285"/>
      <c r="W5" s="303" t="b">
        <v>0</v>
      </c>
      <c r="X5" s="304" t="b">
        <v>0</v>
      </c>
      <c r="Y5" s="304" t="b">
        <v>0</v>
      </c>
      <c r="Z5" s="304" t="b">
        <v>0</v>
      </c>
      <c r="AA5" s="304" t="b">
        <v>0</v>
      </c>
      <c r="AB5" s="304" t="b">
        <v>0</v>
      </c>
      <c r="AC5" s="304" t="b">
        <v>0</v>
      </c>
      <c r="AD5" s="304" t="b">
        <v>0</v>
      </c>
      <c r="AE5" s="304" t="b">
        <v>0</v>
      </c>
      <c r="AF5" s="305" t="b">
        <v>0</v>
      </c>
      <c r="AG5" s="306"/>
      <c r="AH5" s="306"/>
      <c r="AI5" s="307"/>
      <c r="AJ5" s="292" t="str">
        <f>IFERROR(__xludf.DUMMYFUNCTION("IF(E5=""Heavy Armor"",IF(REGEXMATCH(V5,""Flexible""),""0"",COUNTIF(W5:AF5,true)),)"),"")</f>
        <v/>
      </c>
    </row>
    <row r="6" ht="56.25" customHeight="1">
      <c r="A6" s="213"/>
      <c r="B6" s="276">
        <v>3.0</v>
      </c>
      <c r="C6" s="308"/>
      <c r="D6" s="309"/>
      <c r="E6" s="310"/>
      <c r="F6" s="309"/>
      <c r="G6" s="311"/>
      <c r="H6" s="311"/>
      <c r="I6" s="311"/>
      <c r="J6" s="280" t="s">
        <v>220</v>
      </c>
      <c r="K6" s="298"/>
      <c r="L6" s="298"/>
      <c r="M6" s="298"/>
      <c r="N6" s="298"/>
      <c r="O6" s="299"/>
      <c r="P6" s="300"/>
      <c r="Q6" s="299"/>
      <c r="R6" s="301"/>
      <c r="S6" s="301"/>
      <c r="T6" s="285"/>
      <c r="U6" s="286"/>
      <c r="V6" s="285"/>
      <c r="W6" s="303" t="b">
        <v>0</v>
      </c>
      <c r="X6" s="304" t="b">
        <v>0</v>
      </c>
      <c r="Y6" s="304" t="b">
        <v>0</v>
      </c>
      <c r="Z6" s="304" t="b">
        <v>0</v>
      </c>
      <c r="AA6" s="304" t="b">
        <v>0</v>
      </c>
      <c r="AB6" s="304" t="b">
        <v>0</v>
      </c>
      <c r="AC6" s="304" t="b">
        <v>0</v>
      </c>
      <c r="AD6" s="304" t="b">
        <v>0</v>
      </c>
      <c r="AE6" s="304" t="b">
        <v>0</v>
      </c>
      <c r="AF6" s="305" t="b">
        <v>0</v>
      </c>
      <c r="AG6" s="306"/>
      <c r="AH6" s="306"/>
      <c r="AI6" s="307"/>
      <c r="AJ6" s="292" t="str">
        <f>IFERROR(__xludf.DUMMYFUNCTION("IF(E6=""Heavy Armor"",IF(REGEXMATCH(V6,""Flexible""),""0"",COUNTIF(W6:AF6,true)),)"),"")</f>
        <v/>
      </c>
    </row>
    <row r="7" ht="56.25" customHeight="1">
      <c r="A7" s="213"/>
      <c r="B7" s="276">
        <v>4.0</v>
      </c>
      <c r="C7" s="293"/>
      <c r="D7" s="294"/>
      <c r="E7" s="295"/>
      <c r="F7" s="294"/>
      <c r="G7" s="297"/>
      <c r="H7" s="297"/>
      <c r="I7" s="297"/>
      <c r="J7" s="280" t="s">
        <v>220</v>
      </c>
      <c r="K7" s="298"/>
      <c r="L7" s="298"/>
      <c r="M7" s="298"/>
      <c r="N7" s="298"/>
      <c r="O7" s="299"/>
      <c r="P7" s="312"/>
      <c r="Q7" s="313"/>
      <c r="R7" s="301"/>
      <c r="S7" s="301"/>
      <c r="T7" s="301"/>
      <c r="U7" s="302"/>
      <c r="V7" s="285"/>
      <c r="W7" s="303" t="b">
        <v>0</v>
      </c>
      <c r="X7" s="304" t="b">
        <v>0</v>
      </c>
      <c r="Y7" s="304" t="b">
        <v>0</v>
      </c>
      <c r="Z7" s="304" t="b">
        <v>0</v>
      </c>
      <c r="AA7" s="304" t="b">
        <v>0</v>
      </c>
      <c r="AB7" s="304" t="b">
        <v>0</v>
      </c>
      <c r="AC7" s="304" t="b">
        <v>0</v>
      </c>
      <c r="AD7" s="304" t="b">
        <v>0</v>
      </c>
      <c r="AE7" s="304" t="b">
        <v>0</v>
      </c>
      <c r="AF7" s="305" t="b">
        <v>0</v>
      </c>
      <c r="AG7" s="306"/>
      <c r="AH7" s="306"/>
      <c r="AI7" s="307"/>
      <c r="AJ7" s="292" t="str">
        <f>IFERROR(__xludf.DUMMYFUNCTION("IF(E7=""Heavy Armor"",IF(REGEXMATCH(V7,""Flexible""),""0"",COUNTIF(W7:AF7,true)),)"),"")</f>
        <v/>
      </c>
    </row>
    <row r="8" ht="56.25" customHeight="1">
      <c r="A8" s="213"/>
      <c r="B8" s="276">
        <v>5.0</v>
      </c>
      <c r="C8" s="308"/>
      <c r="D8" s="310"/>
      <c r="E8" s="310"/>
      <c r="F8" s="310"/>
      <c r="G8" s="314"/>
      <c r="H8" s="314"/>
      <c r="I8" s="314"/>
      <c r="J8" s="315" t="s">
        <v>220</v>
      </c>
      <c r="K8" s="298"/>
      <c r="L8" s="298"/>
      <c r="M8" s="298"/>
      <c r="N8" s="298"/>
      <c r="O8" s="299"/>
      <c r="P8" s="312"/>
      <c r="Q8" s="313"/>
      <c r="R8" s="301"/>
      <c r="S8" s="301"/>
      <c r="T8" s="301"/>
      <c r="U8" s="302"/>
      <c r="V8" s="301"/>
      <c r="W8" s="303" t="b">
        <v>0</v>
      </c>
      <c r="X8" s="304" t="b">
        <v>0</v>
      </c>
      <c r="Y8" s="304" t="b">
        <v>0</v>
      </c>
      <c r="Z8" s="304" t="b">
        <v>0</v>
      </c>
      <c r="AA8" s="304" t="b">
        <v>0</v>
      </c>
      <c r="AB8" s="304" t="b">
        <v>0</v>
      </c>
      <c r="AC8" s="304" t="b">
        <v>0</v>
      </c>
      <c r="AD8" s="304" t="b">
        <v>0</v>
      </c>
      <c r="AE8" s="304" t="b">
        <v>0</v>
      </c>
      <c r="AF8" s="305" t="b">
        <v>0</v>
      </c>
      <c r="AG8" s="316"/>
      <c r="AH8" s="316"/>
      <c r="AI8" s="307"/>
      <c r="AJ8" s="292" t="str">
        <f>IFERROR(__xludf.DUMMYFUNCTION("IF(E8=""Heavy Armor"",IF(REGEXMATCH(V8,""Flexible""),""0"",COUNTIF(W8:AF8,true)),)"),"")</f>
        <v/>
      </c>
    </row>
    <row r="9" ht="56.25" customHeight="1">
      <c r="A9" s="213"/>
      <c r="B9" s="276">
        <v>6.0</v>
      </c>
      <c r="C9" s="293"/>
      <c r="D9" s="295"/>
      <c r="E9" s="295"/>
      <c r="F9" s="295"/>
      <c r="G9" s="296"/>
      <c r="H9" s="296"/>
      <c r="I9" s="296"/>
      <c r="J9" s="315" t="s">
        <v>220</v>
      </c>
      <c r="K9" s="298"/>
      <c r="L9" s="298"/>
      <c r="M9" s="298"/>
      <c r="N9" s="298"/>
      <c r="O9" s="299"/>
      <c r="P9" s="312"/>
      <c r="Q9" s="313"/>
      <c r="R9" s="301"/>
      <c r="S9" s="301"/>
      <c r="T9" s="301"/>
      <c r="U9" s="302"/>
      <c r="V9" s="301"/>
      <c r="W9" s="303" t="b">
        <v>0</v>
      </c>
      <c r="X9" s="304" t="b">
        <v>0</v>
      </c>
      <c r="Y9" s="304" t="b">
        <v>0</v>
      </c>
      <c r="Z9" s="304" t="b">
        <v>0</v>
      </c>
      <c r="AA9" s="304" t="b">
        <v>0</v>
      </c>
      <c r="AB9" s="304" t="b">
        <v>0</v>
      </c>
      <c r="AC9" s="304" t="b">
        <v>0</v>
      </c>
      <c r="AD9" s="304" t="b">
        <v>0</v>
      </c>
      <c r="AE9" s="304" t="b">
        <v>0</v>
      </c>
      <c r="AF9" s="305" t="b">
        <v>0</v>
      </c>
      <c r="AG9" s="316"/>
      <c r="AH9" s="316"/>
      <c r="AI9" s="307"/>
      <c r="AJ9" s="292" t="str">
        <f>IFERROR(__xludf.DUMMYFUNCTION("IF(E9=""Heavy Armor"",IF(REGEXMATCH(V9,""Flexible""),""0"",COUNTIF(W9:AF9,true)),)"),"")</f>
        <v/>
      </c>
    </row>
    <row r="10" ht="56.25" customHeight="1">
      <c r="A10" s="213"/>
      <c r="B10" s="276">
        <v>7.0</v>
      </c>
      <c r="C10" s="308"/>
      <c r="D10" s="310"/>
      <c r="E10" s="310"/>
      <c r="F10" s="310"/>
      <c r="G10" s="314"/>
      <c r="H10" s="314"/>
      <c r="I10" s="314"/>
      <c r="J10" s="315" t="s">
        <v>220</v>
      </c>
      <c r="K10" s="298"/>
      <c r="L10" s="298"/>
      <c r="M10" s="298"/>
      <c r="N10" s="298"/>
      <c r="O10" s="299"/>
      <c r="P10" s="312"/>
      <c r="Q10" s="313"/>
      <c r="R10" s="301"/>
      <c r="S10" s="301"/>
      <c r="T10" s="301"/>
      <c r="U10" s="302"/>
      <c r="V10" s="285"/>
      <c r="W10" s="303" t="b">
        <v>0</v>
      </c>
      <c r="X10" s="304" t="b">
        <v>0</v>
      </c>
      <c r="Y10" s="304" t="b">
        <v>0</v>
      </c>
      <c r="Z10" s="304" t="b">
        <v>0</v>
      </c>
      <c r="AA10" s="304" t="b">
        <v>0</v>
      </c>
      <c r="AB10" s="304" t="b">
        <v>0</v>
      </c>
      <c r="AC10" s="304" t="b">
        <v>0</v>
      </c>
      <c r="AD10" s="304" t="b">
        <v>0</v>
      </c>
      <c r="AE10" s="304" t="b">
        <v>0</v>
      </c>
      <c r="AF10" s="305" t="b">
        <v>0</v>
      </c>
      <c r="AG10" s="316"/>
      <c r="AH10" s="316"/>
      <c r="AI10" s="307"/>
      <c r="AJ10" s="292" t="str">
        <f>IFERROR(__xludf.DUMMYFUNCTION("IF(E10=""Heavy Armor"",IF(REGEXMATCH(V10,""Flexible""),""0"",COUNTIF(W10:AF10,true)),)"),"")</f>
        <v/>
      </c>
    </row>
    <row r="11" ht="56.25" customHeight="1">
      <c r="A11" s="213"/>
      <c r="B11" s="276">
        <v>8.0</v>
      </c>
      <c r="C11" s="293"/>
      <c r="D11" s="294"/>
      <c r="E11" s="294"/>
      <c r="F11" s="294"/>
      <c r="G11" s="297"/>
      <c r="H11" s="297"/>
      <c r="I11" s="297"/>
      <c r="J11" s="280" t="s">
        <v>220</v>
      </c>
      <c r="K11" s="298"/>
      <c r="L11" s="298"/>
      <c r="M11" s="298"/>
      <c r="N11" s="298"/>
      <c r="O11" s="299"/>
      <c r="P11" s="300"/>
      <c r="Q11" s="299"/>
      <c r="R11" s="285"/>
      <c r="S11" s="285"/>
      <c r="T11" s="285"/>
      <c r="U11" s="286"/>
      <c r="V11" s="285"/>
      <c r="W11" s="303" t="b">
        <v>0</v>
      </c>
      <c r="X11" s="304" t="b">
        <v>0</v>
      </c>
      <c r="Y11" s="304" t="b">
        <v>0</v>
      </c>
      <c r="Z11" s="304" t="b">
        <v>0</v>
      </c>
      <c r="AA11" s="304" t="b">
        <v>0</v>
      </c>
      <c r="AB11" s="304" t="b">
        <v>0</v>
      </c>
      <c r="AC11" s="304" t="b">
        <v>0</v>
      </c>
      <c r="AD11" s="304" t="b">
        <v>0</v>
      </c>
      <c r="AE11" s="304" t="b">
        <v>0</v>
      </c>
      <c r="AF11" s="305" t="b">
        <v>0</v>
      </c>
      <c r="AG11" s="306"/>
      <c r="AH11" s="306"/>
      <c r="AI11" s="307"/>
      <c r="AJ11" s="292" t="str">
        <f>IFERROR(__xludf.DUMMYFUNCTION("IF(E11=""Heavy Armor"",IF(REGEXMATCH(V11,""Flexible""),""0"",COUNTIF(W11:AF11,true)),)"),"")</f>
        <v/>
      </c>
    </row>
    <row r="12" ht="56.25" customHeight="1">
      <c r="A12" s="213"/>
      <c r="B12" s="276">
        <v>9.0</v>
      </c>
      <c r="C12" s="308"/>
      <c r="D12" s="310"/>
      <c r="E12" s="310"/>
      <c r="F12" s="310"/>
      <c r="G12" s="314"/>
      <c r="H12" s="314"/>
      <c r="I12" s="314"/>
      <c r="J12" s="315" t="s">
        <v>220</v>
      </c>
      <c r="K12" s="298"/>
      <c r="L12" s="298"/>
      <c r="M12" s="298"/>
      <c r="N12" s="298"/>
      <c r="O12" s="299"/>
      <c r="P12" s="312"/>
      <c r="Q12" s="313"/>
      <c r="R12" s="301"/>
      <c r="S12" s="301"/>
      <c r="T12" s="301"/>
      <c r="U12" s="302"/>
      <c r="V12" s="301"/>
      <c r="W12" s="303" t="b">
        <v>0</v>
      </c>
      <c r="X12" s="304" t="b">
        <v>0</v>
      </c>
      <c r="Y12" s="304" t="b">
        <v>0</v>
      </c>
      <c r="Z12" s="304" t="b">
        <v>0</v>
      </c>
      <c r="AA12" s="304" t="b">
        <v>0</v>
      </c>
      <c r="AB12" s="304" t="b">
        <v>0</v>
      </c>
      <c r="AC12" s="304" t="b">
        <v>0</v>
      </c>
      <c r="AD12" s="304" t="b">
        <v>0</v>
      </c>
      <c r="AE12" s="304" t="b">
        <v>0</v>
      </c>
      <c r="AF12" s="305" t="b">
        <v>0</v>
      </c>
      <c r="AG12" s="316"/>
      <c r="AH12" s="316"/>
      <c r="AI12" s="307"/>
      <c r="AJ12" s="292" t="str">
        <f>IFERROR(__xludf.DUMMYFUNCTION("IF(E12=""Heavy Armor"",IF(REGEXMATCH(V12,""Flexible""),""0"",COUNTIF(W12:AF12,true)),)"),"")</f>
        <v/>
      </c>
    </row>
    <row r="13" ht="56.25" customHeight="1">
      <c r="A13" s="213"/>
      <c r="B13" s="276">
        <v>10.0</v>
      </c>
      <c r="C13" s="293"/>
      <c r="D13" s="295"/>
      <c r="E13" s="295"/>
      <c r="F13" s="295"/>
      <c r="G13" s="296"/>
      <c r="H13" s="296"/>
      <c r="I13" s="296"/>
      <c r="J13" s="315" t="s">
        <v>220</v>
      </c>
      <c r="K13" s="298"/>
      <c r="L13" s="298"/>
      <c r="M13" s="298"/>
      <c r="N13" s="298"/>
      <c r="O13" s="299"/>
      <c r="P13" s="312"/>
      <c r="Q13" s="313"/>
      <c r="R13" s="301"/>
      <c r="S13" s="301"/>
      <c r="T13" s="301"/>
      <c r="U13" s="302"/>
      <c r="V13" s="301"/>
      <c r="W13" s="303" t="b">
        <v>0</v>
      </c>
      <c r="X13" s="304" t="b">
        <v>0</v>
      </c>
      <c r="Y13" s="304" t="b">
        <v>0</v>
      </c>
      <c r="Z13" s="304" t="b">
        <v>0</v>
      </c>
      <c r="AA13" s="304" t="b">
        <v>0</v>
      </c>
      <c r="AB13" s="304" t="b">
        <v>0</v>
      </c>
      <c r="AC13" s="304" t="b">
        <v>0</v>
      </c>
      <c r="AD13" s="304" t="b">
        <v>0</v>
      </c>
      <c r="AE13" s="304" t="b">
        <v>0</v>
      </c>
      <c r="AF13" s="305" t="b">
        <v>0</v>
      </c>
      <c r="AG13" s="316"/>
      <c r="AH13" s="316"/>
      <c r="AI13" s="307"/>
      <c r="AJ13" s="292" t="str">
        <f>IFERROR(__xludf.DUMMYFUNCTION("IF(E13=""Heavy Armor"",IF(REGEXMATCH(V13,""Flexible""),""0"",COUNTIF(W13:AF13,true)),)"),"")</f>
        <v/>
      </c>
    </row>
    <row r="14" ht="56.25" customHeight="1">
      <c r="A14" s="213"/>
      <c r="B14" s="276">
        <v>11.0</v>
      </c>
      <c r="C14" s="308"/>
      <c r="D14" s="310"/>
      <c r="E14" s="310"/>
      <c r="F14" s="310"/>
      <c r="G14" s="314"/>
      <c r="H14" s="314"/>
      <c r="I14" s="314"/>
      <c r="J14" s="315" t="s">
        <v>220</v>
      </c>
      <c r="K14" s="298"/>
      <c r="L14" s="298"/>
      <c r="M14" s="298"/>
      <c r="N14" s="298"/>
      <c r="O14" s="313"/>
      <c r="P14" s="312"/>
      <c r="Q14" s="313"/>
      <c r="R14" s="301"/>
      <c r="S14" s="301"/>
      <c r="T14" s="301"/>
      <c r="U14" s="302"/>
      <c r="V14" s="301"/>
      <c r="W14" s="303" t="b">
        <v>0</v>
      </c>
      <c r="X14" s="304" t="b">
        <v>0</v>
      </c>
      <c r="Y14" s="304" t="b">
        <v>0</v>
      </c>
      <c r="Z14" s="304" t="b">
        <v>0</v>
      </c>
      <c r="AA14" s="304" t="b">
        <v>0</v>
      </c>
      <c r="AB14" s="304" t="b">
        <v>0</v>
      </c>
      <c r="AC14" s="304" t="b">
        <v>0</v>
      </c>
      <c r="AD14" s="304" t="b">
        <v>0</v>
      </c>
      <c r="AE14" s="304" t="b">
        <v>0</v>
      </c>
      <c r="AF14" s="305" t="b">
        <v>0</v>
      </c>
      <c r="AG14" s="316"/>
      <c r="AH14" s="316"/>
      <c r="AI14" s="307"/>
      <c r="AJ14" s="292" t="str">
        <f>IFERROR(__xludf.DUMMYFUNCTION("IF(E14=""Heavy Armor"",IF(REGEXMATCH(V14,""Flexible""),""0"",COUNTIF(W14:AF14,true)),)"),"")</f>
        <v/>
      </c>
    </row>
    <row r="15" ht="56.25" customHeight="1">
      <c r="A15" s="213"/>
      <c r="B15" s="276">
        <v>12.0</v>
      </c>
      <c r="C15" s="293"/>
      <c r="D15" s="295"/>
      <c r="E15" s="295"/>
      <c r="F15" s="295"/>
      <c r="G15" s="296"/>
      <c r="H15" s="296"/>
      <c r="I15" s="296"/>
      <c r="J15" s="315" t="s">
        <v>220</v>
      </c>
      <c r="K15" s="298"/>
      <c r="L15" s="298"/>
      <c r="M15" s="298"/>
      <c r="N15" s="298"/>
      <c r="O15" s="299"/>
      <c r="P15" s="312"/>
      <c r="Q15" s="313"/>
      <c r="R15" s="301"/>
      <c r="S15" s="301"/>
      <c r="T15" s="301"/>
      <c r="U15" s="302"/>
      <c r="V15" s="301"/>
      <c r="W15" s="303" t="b">
        <v>0</v>
      </c>
      <c r="X15" s="304" t="b">
        <v>0</v>
      </c>
      <c r="Y15" s="304" t="b">
        <v>0</v>
      </c>
      <c r="Z15" s="304" t="b">
        <v>0</v>
      </c>
      <c r="AA15" s="304" t="b">
        <v>0</v>
      </c>
      <c r="AB15" s="304" t="b">
        <v>0</v>
      </c>
      <c r="AC15" s="304" t="b">
        <v>0</v>
      </c>
      <c r="AD15" s="304" t="b">
        <v>0</v>
      </c>
      <c r="AE15" s="304" t="b">
        <v>0</v>
      </c>
      <c r="AF15" s="305" t="b">
        <v>0</v>
      </c>
      <c r="AG15" s="316"/>
      <c r="AH15" s="316"/>
      <c r="AI15" s="307"/>
      <c r="AJ15" s="292" t="str">
        <f>IFERROR(__xludf.DUMMYFUNCTION("IF(E15=""Heavy Armor"",IF(REGEXMATCH(V15,""Flexible""),""0"",COUNTIF(W15:AF15,true)),)"),"")</f>
        <v/>
      </c>
    </row>
    <row r="16" ht="56.25" customHeight="1">
      <c r="A16" s="213"/>
      <c r="B16" s="276">
        <v>13.0</v>
      </c>
      <c r="C16" s="308"/>
      <c r="D16" s="310"/>
      <c r="E16" s="310"/>
      <c r="F16" s="310"/>
      <c r="G16" s="314"/>
      <c r="H16" s="314"/>
      <c r="I16" s="314"/>
      <c r="J16" s="315" t="s">
        <v>220</v>
      </c>
      <c r="K16" s="317"/>
      <c r="L16" s="317"/>
      <c r="M16" s="317"/>
      <c r="N16" s="317"/>
      <c r="O16" s="299"/>
      <c r="P16" s="312"/>
      <c r="Q16" s="313"/>
      <c r="R16" s="301"/>
      <c r="S16" s="301"/>
      <c r="T16" s="301"/>
      <c r="U16" s="302"/>
      <c r="V16" s="285"/>
      <c r="W16" s="303" t="b">
        <v>0</v>
      </c>
      <c r="X16" s="304" t="b">
        <v>0</v>
      </c>
      <c r="Y16" s="304" t="b">
        <v>0</v>
      </c>
      <c r="Z16" s="304" t="b">
        <v>0</v>
      </c>
      <c r="AA16" s="304" t="b">
        <v>0</v>
      </c>
      <c r="AB16" s="304" t="b">
        <v>0</v>
      </c>
      <c r="AC16" s="304" t="b">
        <v>0</v>
      </c>
      <c r="AD16" s="304" t="b">
        <v>0</v>
      </c>
      <c r="AE16" s="304" t="b">
        <v>0</v>
      </c>
      <c r="AF16" s="305" t="b">
        <v>0</v>
      </c>
      <c r="AG16" s="316"/>
      <c r="AH16" s="316"/>
      <c r="AI16" s="307"/>
      <c r="AJ16" s="292" t="str">
        <f>IFERROR(__xludf.DUMMYFUNCTION("IF(E16=""Heavy Armor"",IF(REGEXMATCH(V16,""Flexible""),""0"",COUNTIF(W16:AF16,true)),)"),"")</f>
        <v/>
      </c>
    </row>
    <row r="17" ht="56.25" customHeight="1">
      <c r="A17" s="213"/>
      <c r="B17" s="276">
        <v>14.0</v>
      </c>
      <c r="C17" s="293"/>
      <c r="D17" s="295"/>
      <c r="E17" s="295"/>
      <c r="F17" s="295"/>
      <c r="G17" s="296"/>
      <c r="H17" s="296"/>
      <c r="I17" s="296"/>
      <c r="J17" s="315" t="s">
        <v>220</v>
      </c>
      <c r="K17" s="317"/>
      <c r="L17" s="317"/>
      <c r="M17" s="317"/>
      <c r="N17" s="317"/>
      <c r="O17" s="299"/>
      <c r="P17" s="312"/>
      <c r="Q17" s="313"/>
      <c r="R17" s="301"/>
      <c r="S17" s="301"/>
      <c r="T17" s="301"/>
      <c r="U17" s="302"/>
      <c r="V17" s="285"/>
      <c r="W17" s="303" t="b">
        <v>0</v>
      </c>
      <c r="X17" s="304" t="b">
        <v>0</v>
      </c>
      <c r="Y17" s="304" t="b">
        <v>0</v>
      </c>
      <c r="Z17" s="304" t="b">
        <v>0</v>
      </c>
      <c r="AA17" s="304" t="b">
        <v>0</v>
      </c>
      <c r="AB17" s="304" t="b">
        <v>0</v>
      </c>
      <c r="AC17" s="304" t="b">
        <v>0</v>
      </c>
      <c r="AD17" s="304" t="b">
        <v>0</v>
      </c>
      <c r="AE17" s="304" t="b">
        <v>0</v>
      </c>
      <c r="AF17" s="305" t="b">
        <v>0</v>
      </c>
      <c r="AG17" s="316"/>
      <c r="AH17" s="316"/>
      <c r="AI17" s="307"/>
      <c r="AJ17" s="292" t="str">
        <f>IFERROR(__xludf.DUMMYFUNCTION("IF(E17=""Heavy Armor"",IF(REGEXMATCH(V17,""Flexible""),""0"",COUNTIF(W17:AF17,true)),)"),"")</f>
        <v/>
      </c>
    </row>
    <row r="18" ht="56.25" customHeight="1">
      <c r="A18" s="213"/>
      <c r="B18" s="276">
        <v>15.0</v>
      </c>
      <c r="C18" s="308"/>
      <c r="D18" s="310"/>
      <c r="E18" s="310"/>
      <c r="F18" s="310"/>
      <c r="G18" s="311"/>
      <c r="H18" s="311"/>
      <c r="I18" s="311"/>
      <c r="J18" s="315" t="s">
        <v>220</v>
      </c>
      <c r="K18" s="298"/>
      <c r="L18" s="298"/>
      <c r="M18" s="298"/>
      <c r="N18" s="298"/>
      <c r="O18" s="299"/>
      <c r="P18" s="312"/>
      <c r="Q18" s="313"/>
      <c r="R18" s="301"/>
      <c r="S18" s="301"/>
      <c r="T18" s="301"/>
      <c r="U18" s="302"/>
      <c r="V18" s="285"/>
      <c r="W18" s="303" t="b">
        <v>0</v>
      </c>
      <c r="X18" s="304" t="b">
        <v>0</v>
      </c>
      <c r="Y18" s="304" t="b">
        <v>0</v>
      </c>
      <c r="Z18" s="304" t="b">
        <v>0</v>
      </c>
      <c r="AA18" s="304" t="b">
        <v>0</v>
      </c>
      <c r="AB18" s="304" t="b">
        <v>0</v>
      </c>
      <c r="AC18" s="304" t="b">
        <v>0</v>
      </c>
      <c r="AD18" s="304" t="b">
        <v>0</v>
      </c>
      <c r="AE18" s="304" t="b">
        <v>0</v>
      </c>
      <c r="AF18" s="305" t="b">
        <v>0</v>
      </c>
      <c r="AG18" s="316"/>
      <c r="AH18" s="316"/>
      <c r="AI18" s="307"/>
      <c r="AJ18" s="292" t="str">
        <f>IFERROR(__xludf.DUMMYFUNCTION("IF(E18=""Heavy Armor"",IF(REGEXMATCH(V18,""Flexible""),""0"",COUNTIF(W18:AF18,true)),)"),"")</f>
        <v/>
      </c>
    </row>
    <row r="19" ht="56.25" customHeight="1">
      <c r="A19" s="213"/>
      <c r="B19" s="276">
        <v>16.0</v>
      </c>
      <c r="C19" s="293"/>
      <c r="D19" s="295"/>
      <c r="E19" s="295"/>
      <c r="F19" s="295"/>
      <c r="G19" s="297"/>
      <c r="H19" s="297"/>
      <c r="I19" s="297"/>
      <c r="J19" s="315" t="s">
        <v>220</v>
      </c>
      <c r="K19" s="298"/>
      <c r="L19" s="298"/>
      <c r="M19" s="298"/>
      <c r="N19" s="298"/>
      <c r="O19" s="299"/>
      <c r="P19" s="300"/>
      <c r="Q19" s="313"/>
      <c r="R19" s="301"/>
      <c r="S19" s="301"/>
      <c r="T19" s="301"/>
      <c r="U19" s="302"/>
      <c r="V19" s="301"/>
      <c r="W19" s="303" t="b">
        <v>0</v>
      </c>
      <c r="X19" s="304" t="b">
        <v>0</v>
      </c>
      <c r="Y19" s="304" t="b">
        <v>0</v>
      </c>
      <c r="Z19" s="304" t="b">
        <v>0</v>
      </c>
      <c r="AA19" s="304" t="b">
        <v>0</v>
      </c>
      <c r="AB19" s="304" t="b">
        <v>0</v>
      </c>
      <c r="AC19" s="304" t="b">
        <v>0</v>
      </c>
      <c r="AD19" s="304" t="b">
        <v>0</v>
      </c>
      <c r="AE19" s="304" t="b">
        <v>0</v>
      </c>
      <c r="AF19" s="305" t="b">
        <v>0</v>
      </c>
      <c r="AG19" s="316"/>
      <c r="AH19" s="316"/>
      <c r="AI19" s="307"/>
      <c r="AJ19" s="292" t="str">
        <f>IFERROR(__xludf.DUMMYFUNCTION("IF(E19=""Heavy Armor"",IF(REGEXMATCH(V19,""Flexible""),""0"",COUNTIF(W19:AF19,true)),)"),"")</f>
        <v/>
      </c>
    </row>
    <row r="20" ht="56.25" customHeight="1">
      <c r="A20" s="213"/>
      <c r="B20" s="276">
        <v>17.0</v>
      </c>
      <c r="C20" s="308"/>
      <c r="D20" s="310"/>
      <c r="E20" s="310"/>
      <c r="F20" s="310"/>
      <c r="G20" s="314"/>
      <c r="H20" s="314"/>
      <c r="I20" s="314"/>
      <c r="J20" s="315" t="s">
        <v>220</v>
      </c>
      <c r="K20" s="298"/>
      <c r="L20" s="298"/>
      <c r="M20" s="298"/>
      <c r="N20" s="298"/>
      <c r="O20" s="299"/>
      <c r="P20" s="312"/>
      <c r="Q20" s="313"/>
      <c r="R20" s="301"/>
      <c r="S20" s="301"/>
      <c r="T20" s="301"/>
      <c r="U20" s="302"/>
      <c r="V20" s="301"/>
      <c r="W20" s="303" t="b">
        <v>0</v>
      </c>
      <c r="X20" s="304" t="b">
        <v>0</v>
      </c>
      <c r="Y20" s="304" t="b">
        <v>0</v>
      </c>
      <c r="Z20" s="304" t="b">
        <v>0</v>
      </c>
      <c r="AA20" s="304" t="b">
        <v>0</v>
      </c>
      <c r="AB20" s="304" t="b">
        <v>0</v>
      </c>
      <c r="AC20" s="304" t="b">
        <v>0</v>
      </c>
      <c r="AD20" s="304" t="b">
        <v>0</v>
      </c>
      <c r="AE20" s="304" t="b">
        <v>0</v>
      </c>
      <c r="AF20" s="305" t="b">
        <v>0</v>
      </c>
      <c r="AG20" s="316"/>
      <c r="AH20" s="316"/>
      <c r="AI20" s="307"/>
      <c r="AJ20" s="292" t="str">
        <f>IFERROR(__xludf.DUMMYFUNCTION("IF(E20=""Heavy Armor"",IF(REGEXMATCH(V20,""Flexible""),""0"",COUNTIF(W20:AF20,true)),)"),"")</f>
        <v/>
      </c>
    </row>
    <row r="21" ht="56.25" customHeight="1">
      <c r="A21" s="213"/>
      <c r="B21" s="276">
        <v>18.0</v>
      </c>
      <c r="C21" s="293"/>
      <c r="D21" s="294"/>
      <c r="E21" s="294"/>
      <c r="F21" s="294"/>
      <c r="G21" s="296"/>
      <c r="H21" s="296"/>
      <c r="I21" s="296"/>
      <c r="J21" s="315" t="s">
        <v>220</v>
      </c>
      <c r="K21" s="298"/>
      <c r="L21" s="298"/>
      <c r="M21" s="298"/>
      <c r="N21" s="298"/>
      <c r="O21" s="299"/>
      <c r="P21" s="300"/>
      <c r="Q21" s="313"/>
      <c r="R21" s="301"/>
      <c r="S21" s="301"/>
      <c r="T21" s="301"/>
      <c r="U21" s="302"/>
      <c r="V21" s="285"/>
      <c r="W21" s="303" t="b">
        <v>0</v>
      </c>
      <c r="X21" s="304" t="b">
        <v>0</v>
      </c>
      <c r="Y21" s="304" t="b">
        <v>0</v>
      </c>
      <c r="Z21" s="304" t="b">
        <v>0</v>
      </c>
      <c r="AA21" s="304" t="b">
        <v>0</v>
      </c>
      <c r="AB21" s="304" t="b">
        <v>0</v>
      </c>
      <c r="AC21" s="304" t="b">
        <v>0</v>
      </c>
      <c r="AD21" s="304" t="b">
        <v>0</v>
      </c>
      <c r="AE21" s="304" t="b">
        <v>0</v>
      </c>
      <c r="AF21" s="305" t="b">
        <v>0</v>
      </c>
      <c r="AG21" s="316"/>
      <c r="AH21" s="316"/>
      <c r="AI21" s="307"/>
      <c r="AJ21" s="292" t="str">
        <f>IFERROR(__xludf.DUMMYFUNCTION("IF(E21=""Heavy Armor"",IF(REGEXMATCH(V21,""Flexible""),""0"",COUNTIF(W21:AF21,true)),)"),"")</f>
        <v/>
      </c>
    </row>
    <row r="22" ht="56.25" customHeight="1">
      <c r="A22" s="213"/>
      <c r="B22" s="276">
        <v>19.0</v>
      </c>
      <c r="C22" s="318"/>
      <c r="D22" s="309"/>
      <c r="E22" s="309"/>
      <c r="F22" s="309"/>
      <c r="G22" s="311"/>
      <c r="H22" s="311"/>
      <c r="I22" s="311"/>
      <c r="J22" s="315" t="s">
        <v>220</v>
      </c>
      <c r="K22" s="298"/>
      <c r="L22" s="298"/>
      <c r="M22" s="298"/>
      <c r="N22" s="298"/>
      <c r="O22" s="299"/>
      <c r="P22" s="300"/>
      <c r="Q22" s="313"/>
      <c r="R22" s="301"/>
      <c r="S22" s="301"/>
      <c r="T22" s="301"/>
      <c r="U22" s="302"/>
      <c r="V22" s="285"/>
      <c r="W22" s="303" t="b">
        <v>0</v>
      </c>
      <c r="X22" s="304" t="b">
        <v>0</v>
      </c>
      <c r="Y22" s="304" t="b">
        <v>0</v>
      </c>
      <c r="Z22" s="304" t="b">
        <v>0</v>
      </c>
      <c r="AA22" s="304" t="b">
        <v>0</v>
      </c>
      <c r="AB22" s="304" t="b">
        <v>0</v>
      </c>
      <c r="AC22" s="304" t="b">
        <v>0</v>
      </c>
      <c r="AD22" s="304" t="b">
        <v>0</v>
      </c>
      <c r="AE22" s="304" t="b">
        <v>0</v>
      </c>
      <c r="AF22" s="305" t="b">
        <v>0</v>
      </c>
      <c r="AG22" s="316"/>
      <c r="AH22" s="316"/>
      <c r="AI22" s="307"/>
      <c r="AJ22" s="292" t="str">
        <f>IFERROR(__xludf.DUMMYFUNCTION("IF(E22=""Heavy Armor"",IF(REGEXMATCH(V22,""Flexible""),""0"",COUNTIF(W22:AF22,true)),)"),"")</f>
        <v/>
      </c>
    </row>
    <row r="23" ht="56.25" customHeight="1">
      <c r="A23" s="213"/>
      <c r="B23" s="276">
        <v>20.0</v>
      </c>
      <c r="C23" s="319"/>
      <c r="D23" s="294"/>
      <c r="E23" s="294"/>
      <c r="F23" s="294"/>
      <c r="G23" s="297"/>
      <c r="H23" s="297"/>
      <c r="I23" s="297"/>
      <c r="J23" s="315" t="s">
        <v>220</v>
      </c>
      <c r="K23" s="298"/>
      <c r="L23" s="298"/>
      <c r="M23" s="298"/>
      <c r="N23" s="298"/>
      <c r="O23" s="299"/>
      <c r="P23" s="300"/>
      <c r="Q23" s="313"/>
      <c r="R23" s="301"/>
      <c r="S23" s="301"/>
      <c r="T23" s="301"/>
      <c r="U23" s="302"/>
      <c r="V23" s="285"/>
      <c r="W23" s="303" t="b">
        <v>0</v>
      </c>
      <c r="X23" s="304" t="b">
        <v>0</v>
      </c>
      <c r="Y23" s="304" t="b">
        <v>0</v>
      </c>
      <c r="Z23" s="304" t="b">
        <v>0</v>
      </c>
      <c r="AA23" s="304" t="b">
        <v>0</v>
      </c>
      <c r="AB23" s="304" t="b">
        <v>0</v>
      </c>
      <c r="AC23" s="304" t="b">
        <v>0</v>
      </c>
      <c r="AD23" s="304" t="b">
        <v>0</v>
      </c>
      <c r="AE23" s="304" t="b">
        <v>0</v>
      </c>
      <c r="AF23" s="305" t="b">
        <v>0</v>
      </c>
      <c r="AG23" s="316"/>
      <c r="AH23" s="316"/>
      <c r="AI23" s="307"/>
      <c r="AJ23" s="292" t="str">
        <f>IFERROR(__xludf.DUMMYFUNCTION("IF(E23=""Heavy Armor"",IF(REGEXMATCH(V23,""Flexible""),""0"",COUNTIF(W23:AF23,true)),)"),"")</f>
        <v/>
      </c>
    </row>
    <row r="24" ht="56.25" customHeight="1">
      <c r="A24" s="213"/>
      <c r="B24" s="276">
        <v>21.0</v>
      </c>
      <c r="C24" s="318"/>
      <c r="D24" s="309"/>
      <c r="E24" s="309"/>
      <c r="F24" s="309"/>
      <c r="G24" s="311"/>
      <c r="H24" s="311"/>
      <c r="I24" s="311"/>
      <c r="J24" s="315" t="s">
        <v>220</v>
      </c>
      <c r="K24" s="298"/>
      <c r="L24" s="298"/>
      <c r="M24" s="298"/>
      <c r="N24" s="298"/>
      <c r="O24" s="299"/>
      <c r="P24" s="300"/>
      <c r="Q24" s="313"/>
      <c r="R24" s="301"/>
      <c r="S24" s="301"/>
      <c r="T24" s="301"/>
      <c r="U24" s="302"/>
      <c r="V24" s="285"/>
      <c r="W24" s="303" t="b">
        <v>0</v>
      </c>
      <c r="X24" s="304" t="b">
        <v>0</v>
      </c>
      <c r="Y24" s="304" t="b">
        <v>0</v>
      </c>
      <c r="Z24" s="304" t="b">
        <v>0</v>
      </c>
      <c r="AA24" s="304" t="b">
        <v>0</v>
      </c>
      <c r="AB24" s="304" t="b">
        <v>0</v>
      </c>
      <c r="AC24" s="304" t="b">
        <v>0</v>
      </c>
      <c r="AD24" s="304" t="b">
        <v>0</v>
      </c>
      <c r="AE24" s="304" t="b">
        <v>0</v>
      </c>
      <c r="AF24" s="305" t="b">
        <v>0</v>
      </c>
      <c r="AG24" s="316"/>
      <c r="AH24" s="316"/>
      <c r="AI24" s="307"/>
      <c r="AJ24" s="292" t="str">
        <f>IFERROR(__xludf.DUMMYFUNCTION("IF(E24=""Heavy Armor"",IF(REGEXMATCH(V24,""Flexible""),""0"",COUNTIF(W24:AF24,true)),)"),"")</f>
        <v/>
      </c>
    </row>
    <row r="25" ht="56.25" customHeight="1">
      <c r="A25" s="213"/>
      <c r="B25" s="276">
        <v>22.0</v>
      </c>
      <c r="C25" s="319"/>
      <c r="D25" s="294"/>
      <c r="E25" s="294"/>
      <c r="F25" s="294"/>
      <c r="G25" s="297"/>
      <c r="H25" s="297"/>
      <c r="I25" s="297"/>
      <c r="J25" s="315" t="s">
        <v>220</v>
      </c>
      <c r="K25" s="298"/>
      <c r="L25" s="298"/>
      <c r="M25" s="298"/>
      <c r="N25" s="298"/>
      <c r="O25" s="299"/>
      <c r="P25" s="300"/>
      <c r="Q25" s="313"/>
      <c r="R25" s="301"/>
      <c r="S25" s="301"/>
      <c r="T25" s="301"/>
      <c r="U25" s="302"/>
      <c r="V25" s="285"/>
      <c r="W25" s="303" t="b">
        <v>0</v>
      </c>
      <c r="X25" s="304" t="b">
        <v>0</v>
      </c>
      <c r="Y25" s="304" t="b">
        <v>0</v>
      </c>
      <c r="Z25" s="304" t="b">
        <v>0</v>
      </c>
      <c r="AA25" s="304" t="b">
        <v>0</v>
      </c>
      <c r="AB25" s="304" t="b">
        <v>0</v>
      </c>
      <c r="AC25" s="304" t="b">
        <v>0</v>
      </c>
      <c r="AD25" s="304" t="b">
        <v>0</v>
      </c>
      <c r="AE25" s="304" t="b">
        <v>0</v>
      </c>
      <c r="AF25" s="305" t="b">
        <v>0</v>
      </c>
      <c r="AG25" s="316"/>
      <c r="AH25" s="316"/>
      <c r="AI25" s="307"/>
      <c r="AJ25" s="292" t="str">
        <f>IFERROR(__xludf.DUMMYFUNCTION("IF(E25=""Heavy Armor"",IF(REGEXMATCH(V25,""Flexible""),""0"",COUNTIF(W25:AF25,true)),)"),"")</f>
        <v/>
      </c>
    </row>
    <row r="26" ht="56.25" customHeight="1">
      <c r="A26" s="213"/>
      <c r="B26" s="276">
        <v>23.0</v>
      </c>
      <c r="C26" s="318"/>
      <c r="D26" s="309"/>
      <c r="E26" s="309"/>
      <c r="F26" s="309"/>
      <c r="G26" s="311"/>
      <c r="H26" s="311"/>
      <c r="I26" s="311"/>
      <c r="J26" s="315" t="s">
        <v>220</v>
      </c>
      <c r="K26" s="298"/>
      <c r="L26" s="298"/>
      <c r="M26" s="298"/>
      <c r="N26" s="298"/>
      <c r="O26" s="299"/>
      <c r="P26" s="300"/>
      <c r="Q26" s="313"/>
      <c r="R26" s="301"/>
      <c r="S26" s="301"/>
      <c r="T26" s="301"/>
      <c r="U26" s="302"/>
      <c r="V26" s="285"/>
      <c r="W26" s="303" t="b">
        <v>0</v>
      </c>
      <c r="X26" s="304" t="b">
        <v>0</v>
      </c>
      <c r="Y26" s="304" t="b">
        <v>0</v>
      </c>
      <c r="Z26" s="304" t="b">
        <v>0</v>
      </c>
      <c r="AA26" s="304" t="b">
        <v>0</v>
      </c>
      <c r="AB26" s="304" t="b">
        <v>0</v>
      </c>
      <c r="AC26" s="304" t="b">
        <v>0</v>
      </c>
      <c r="AD26" s="304" t="b">
        <v>0</v>
      </c>
      <c r="AE26" s="304" t="b">
        <v>0</v>
      </c>
      <c r="AF26" s="305" t="b">
        <v>0</v>
      </c>
      <c r="AG26" s="316"/>
      <c r="AH26" s="316"/>
      <c r="AI26" s="307"/>
      <c r="AJ26" s="292" t="str">
        <f>IFERROR(__xludf.DUMMYFUNCTION("IF(E26=""Heavy Armor"",IF(REGEXMATCH(V26,""Flexible""),""0"",COUNTIF(W26:AF26,true)),)"),"")</f>
        <v/>
      </c>
    </row>
    <row r="27" ht="56.25" customHeight="1">
      <c r="A27" s="213"/>
      <c r="B27" s="276">
        <v>24.0</v>
      </c>
      <c r="C27" s="293"/>
      <c r="D27" s="295"/>
      <c r="E27" s="295"/>
      <c r="F27" s="295"/>
      <c r="G27" s="296"/>
      <c r="H27" s="296"/>
      <c r="I27" s="296"/>
      <c r="J27" s="315" t="s">
        <v>220</v>
      </c>
      <c r="K27" s="317"/>
      <c r="L27" s="317"/>
      <c r="M27" s="317"/>
      <c r="N27" s="317"/>
      <c r="O27" s="313"/>
      <c r="P27" s="312"/>
      <c r="Q27" s="313"/>
      <c r="R27" s="301"/>
      <c r="S27" s="301"/>
      <c r="T27" s="301"/>
      <c r="U27" s="302"/>
      <c r="V27" s="301"/>
      <c r="W27" s="303" t="b">
        <v>0</v>
      </c>
      <c r="X27" s="304" t="b">
        <v>0</v>
      </c>
      <c r="Y27" s="304" t="b">
        <v>0</v>
      </c>
      <c r="Z27" s="304" t="b">
        <v>0</v>
      </c>
      <c r="AA27" s="304" t="b">
        <v>0</v>
      </c>
      <c r="AB27" s="304" t="b">
        <v>0</v>
      </c>
      <c r="AC27" s="304" t="b">
        <v>0</v>
      </c>
      <c r="AD27" s="304" t="b">
        <v>0</v>
      </c>
      <c r="AE27" s="304" t="b">
        <v>0</v>
      </c>
      <c r="AF27" s="305" t="b">
        <v>0</v>
      </c>
      <c r="AG27" s="316"/>
      <c r="AH27" s="316"/>
      <c r="AI27" s="307"/>
      <c r="AJ27" s="292" t="str">
        <f>IFERROR(__xludf.DUMMYFUNCTION("IF(E27=""Heavy Armor"",IF(REGEXMATCH(V27,""Flexible""),""0"",COUNTIF(W27:AF27,true)),)"),"")</f>
        <v/>
      </c>
    </row>
    <row r="28" ht="56.25" customHeight="1">
      <c r="A28" s="213"/>
      <c r="B28" s="276">
        <v>25.0</v>
      </c>
      <c r="C28" s="308"/>
      <c r="D28" s="310"/>
      <c r="E28" s="310"/>
      <c r="F28" s="310"/>
      <c r="G28" s="314"/>
      <c r="H28" s="314"/>
      <c r="I28" s="314"/>
      <c r="J28" s="315" t="s">
        <v>220</v>
      </c>
      <c r="K28" s="298"/>
      <c r="L28" s="298"/>
      <c r="M28" s="298"/>
      <c r="N28" s="298"/>
      <c r="O28" s="299"/>
      <c r="P28" s="312"/>
      <c r="Q28" s="313"/>
      <c r="R28" s="301"/>
      <c r="S28" s="301"/>
      <c r="T28" s="301"/>
      <c r="U28" s="302"/>
      <c r="V28" s="301"/>
      <c r="W28" s="303" t="b">
        <v>0</v>
      </c>
      <c r="X28" s="304" t="b">
        <v>0</v>
      </c>
      <c r="Y28" s="304" t="b">
        <v>0</v>
      </c>
      <c r="Z28" s="304" t="b">
        <v>0</v>
      </c>
      <c r="AA28" s="304" t="b">
        <v>0</v>
      </c>
      <c r="AB28" s="304" t="b">
        <v>0</v>
      </c>
      <c r="AC28" s="304" t="b">
        <v>0</v>
      </c>
      <c r="AD28" s="304" t="b">
        <v>0</v>
      </c>
      <c r="AE28" s="304" t="b">
        <v>0</v>
      </c>
      <c r="AF28" s="305" t="b">
        <v>0</v>
      </c>
      <c r="AG28" s="316"/>
      <c r="AH28" s="316"/>
      <c r="AI28" s="307"/>
      <c r="AJ28" s="292" t="str">
        <f>IFERROR(__xludf.DUMMYFUNCTION("IF(E28=""Heavy Armor"",IF(REGEXMATCH(V28,""Flexible""),""0"",COUNTIF(W28:AF28,true)),)"),"")</f>
        <v/>
      </c>
    </row>
    <row r="29" ht="56.25" customHeight="1">
      <c r="A29" s="213"/>
      <c r="B29" s="276">
        <v>26.0</v>
      </c>
      <c r="C29" s="293"/>
      <c r="D29" s="295"/>
      <c r="E29" s="295"/>
      <c r="F29" s="295"/>
      <c r="G29" s="296"/>
      <c r="H29" s="296"/>
      <c r="I29" s="296"/>
      <c r="J29" s="315" t="s">
        <v>220</v>
      </c>
      <c r="K29" s="317"/>
      <c r="L29" s="317"/>
      <c r="M29" s="317"/>
      <c r="N29" s="317"/>
      <c r="O29" s="313"/>
      <c r="P29" s="312"/>
      <c r="Q29" s="313"/>
      <c r="R29" s="301"/>
      <c r="S29" s="301"/>
      <c r="T29" s="301"/>
      <c r="U29" s="302"/>
      <c r="V29" s="301"/>
      <c r="W29" s="303" t="b">
        <v>0</v>
      </c>
      <c r="X29" s="304" t="b">
        <v>0</v>
      </c>
      <c r="Y29" s="304" t="b">
        <v>0</v>
      </c>
      <c r="Z29" s="304" t="b">
        <v>0</v>
      </c>
      <c r="AA29" s="304" t="b">
        <v>0</v>
      </c>
      <c r="AB29" s="304" t="b">
        <v>0</v>
      </c>
      <c r="AC29" s="304" t="b">
        <v>0</v>
      </c>
      <c r="AD29" s="304" t="b">
        <v>0</v>
      </c>
      <c r="AE29" s="304" t="b">
        <v>0</v>
      </c>
      <c r="AF29" s="305" t="b">
        <v>0</v>
      </c>
      <c r="AG29" s="316"/>
      <c r="AH29" s="316"/>
      <c r="AI29" s="307"/>
      <c r="AJ29" s="292" t="str">
        <f>IFERROR(__xludf.DUMMYFUNCTION("IF(E29=""Heavy Armor"",IF(REGEXMATCH(V29,""Flexible""),""0"",COUNTIF(W29:AF29,true)),)"),"")</f>
        <v/>
      </c>
    </row>
    <row r="30" ht="56.25" customHeight="1">
      <c r="A30" s="213"/>
      <c r="B30" s="276">
        <v>27.0</v>
      </c>
      <c r="C30" s="308"/>
      <c r="D30" s="310"/>
      <c r="E30" s="310"/>
      <c r="F30" s="310"/>
      <c r="G30" s="314"/>
      <c r="H30" s="314"/>
      <c r="I30" s="314"/>
      <c r="J30" s="315" t="s">
        <v>220</v>
      </c>
      <c r="K30" s="298"/>
      <c r="L30" s="298"/>
      <c r="M30" s="298"/>
      <c r="N30" s="298"/>
      <c r="O30" s="299"/>
      <c r="P30" s="312"/>
      <c r="Q30" s="313"/>
      <c r="R30" s="301"/>
      <c r="S30" s="301"/>
      <c r="T30" s="301"/>
      <c r="U30" s="302"/>
      <c r="V30" s="301"/>
      <c r="W30" s="303" t="b">
        <v>0</v>
      </c>
      <c r="X30" s="304" t="b">
        <v>0</v>
      </c>
      <c r="Y30" s="304" t="b">
        <v>0</v>
      </c>
      <c r="Z30" s="304" t="b">
        <v>0</v>
      </c>
      <c r="AA30" s="304" t="b">
        <v>0</v>
      </c>
      <c r="AB30" s="304" t="b">
        <v>0</v>
      </c>
      <c r="AC30" s="304" t="b">
        <v>0</v>
      </c>
      <c r="AD30" s="304" t="b">
        <v>0</v>
      </c>
      <c r="AE30" s="304" t="b">
        <v>0</v>
      </c>
      <c r="AF30" s="305" t="b">
        <v>0</v>
      </c>
      <c r="AG30" s="316"/>
      <c r="AH30" s="316"/>
      <c r="AI30" s="307"/>
      <c r="AJ30" s="292" t="str">
        <f>IFERROR(__xludf.DUMMYFUNCTION("IF(E30=""Heavy Armor"",IF(REGEXMATCH(V30,""Flexible""),""0"",COUNTIF(W30:AF30,true)),)"),"")</f>
        <v/>
      </c>
    </row>
    <row r="31" ht="56.25" customHeight="1">
      <c r="A31" s="213"/>
      <c r="B31" s="276">
        <v>28.0</v>
      </c>
      <c r="C31" s="293"/>
      <c r="D31" s="295"/>
      <c r="E31" s="295"/>
      <c r="F31" s="295"/>
      <c r="G31" s="296"/>
      <c r="H31" s="296"/>
      <c r="I31" s="296"/>
      <c r="J31" s="315" t="s">
        <v>220</v>
      </c>
      <c r="K31" s="317"/>
      <c r="L31" s="317"/>
      <c r="M31" s="317"/>
      <c r="N31" s="317"/>
      <c r="O31" s="313"/>
      <c r="P31" s="312"/>
      <c r="Q31" s="313"/>
      <c r="R31" s="301"/>
      <c r="S31" s="301"/>
      <c r="T31" s="301"/>
      <c r="U31" s="302"/>
      <c r="V31" s="301"/>
      <c r="W31" s="303" t="b">
        <v>0</v>
      </c>
      <c r="X31" s="304" t="b">
        <v>0</v>
      </c>
      <c r="Y31" s="304" t="b">
        <v>0</v>
      </c>
      <c r="Z31" s="304" t="b">
        <v>0</v>
      </c>
      <c r="AA31" s="304" t="b">
        <v>0</v>
      </c>
      <c r="AB31" s="304" t="b">
        <v>0</v>
      </c>
      <c r="AC31" s="304" t="b">
        <v>0</v>
      </c>
      <c r="AD31" s="304" t="b">
        <v>0</v>
      </c>
      <c r="AE31" s="304" t="b">
        <v>0</v>
      </c>
      <c r="AF31" s="305" t="b">
        <v>0</v>
      </c>
      <c r="AG31" s="316"/>
      <c r="AH31" s="316"/>
      <c r="AI31" s="307"/>
      <c r="AJ31" s="292" t="str">
        <f>IFERROR(__xludf.DUMMYFUNCTION("IF(E31=""Heavy Armor"",IF(REGEXMATCH(V31,""Flexible""),""0"",COUNTIF(W31:AF31,true)),)"),"")</f>
        <v/>
      </c>
    </row>
    <row r="32" ht="56.25" customHeight="1">
      <c r="A32" s="213"/>
      <c r="B32" s="276">
        <v>29.0</v>
      </c>
      <c r="C32" s="308"/>
      <c r="D32" s="310"/>
      <c r="E32" s="310"/>
      <c r="F32" s="310"/>
      <c r="G32" s="314"/>
      <c r="H32" s="314"/>
      <c r="I32" s="314"/>
      <c r="J32" s="315" t="s">
        <v>220</v>
      </c>
      <c r="K32" s="317"/>
      <c r="L32" s="317"/>
      <c r="M32" s="317"/>
      <c r="N32" s="317"/>
      <c r="O32" s="313"/>
      <c r="P32" s="312"/>
      <c r="Q32" s="313"/>
      <c r="R32" s="301"/>
      <c r="S32" s="301"/>
      <c r="T32" s="301"/>
      <c r="U32" s="302"/>
      <c r="V32" s="301"/>
      <c r="W32" s="303" t="b">
        <v>0</v>
      </c>
      <c r="X32" s="304" t="b">
        <v>0</v>
      </c>
      <c r="Y32" s="304" t="b">
        <v>0</v>
      </c>
      <c r="Z32" s="304" t="b">
        <v>0</v>
      </c>
      <c r="AA32" s="304" t="b">
        <v>0</v>
      </c>
      <c r="AB32" s="304" t="b">
        <v>0</v>
      </c>
      <c r="AC32" s="304" t="b">
        <v>0</v>
      </c>
      <c r="AD32" s="304" t="b">
        <v>0</v>
      </c>
      <c r="AE32" s="304" t="b">
        <v>0</v>
      </c>
      <c r="AF32" s="305" t="b">
        <v>0</v>
      </c>
      <c r="AG32" s="316"/>
      <c r="AH32" s="316"/>
      <c r="AI32" s="307"/>
      <c r="AJ32" s="292" t="str">
        <f>IFERROR(__xludf.DUMMYFUNCTION("IF(E32=""Heavy Armor"",IF(REGEXMATCH(V32,""Flexible""),""0"",COUNTIF(W32:AF32,true)),)"),"")</f>
        <v/>
      </c>
    </row>
    <row r="33" ht="56.25" customHeight="1">
      <c r="A33" s="213"/>
      <c r="B33" s="276">
        <v>30.0</v>
      </c>
      <c r="C33" s="293"/>
      <c r="D33" s="295"/>
      <c r="E33" s="295"/>
      <c r="F33" s="295"/>
      <c r="G33" s="296"/>
      <c r="H33" s="296"/>
      <c r="I33" s="296"/>
      <c r="J33" s="315" t="s">
        <v>220</v>
      </c>
      <c r="K33" s="317"/>
      <c r="L33" s="317"/>
      <c r="M33" s="317"/>
      <c r="N33" s="317"/>
      <c r="O33" s="313"/>
      <c r="P33" s="312"/>
      <c r="Q33" s="313"/>
      <c r="R33" s="301"/>
      <c r="S33" s="301"/>
      <c r="T33" s="301"/>
      <c r="U33" s="302"/>
      <c r="V33" s="301"/>
      <c r="W33" s="303" t="b">
        <v>0</v>
      </c>
      <c r="X33" s="304" t="b">
        <v>0</v>
      </c>
      <c r="Y33" s="304" t="b">
        <v>0</v>
      </c>
      <c r="Z33" s="304" t="b">
        <v>0</v>
      </c>
      <c r="AA33" s="304" t="b">
        <v>0</v>
      </c>
      <c r="AB33" s="304" t="b">
        <v>0</v>
      </c>
      <c r="AC33" s="304" t="b">
        <v>0</v>
      </c>
      <c r="AD33" s="304" t="b">
        <v>0</v>
      </c>
      <c r="AE33" s="304" t="b">
        <v>0</v>
      </c>
      <c r="AF33" s="305" t="b">
        <v>0</v>
      </c>
      <c r="AG33" s="316"/>
      <c r="AH33" s="316"/>
      <c r="AI33" s="307"/>
      <c r="AJ33" s="292" t="str">
        <f>IFERROR(__xludf.DUMMYFUNCTION("IF(E33=""Heavy Armor"",IF(REGEXMATCH(V33,""Flexible""),""0"",COUNTIF(W33:AF33,true)),)"),"")</f>
        <v/>
      </c>
    </row>
    <row r="34" ht="56.25" customHeight="1">
      <c r="A34" s="213"/>
      <c r="B34" s="276">
        <v>31.0</v>
      </c>
      <c r="C34" s="308"/>
      <c r="D34" s="310"/>
      <c r="E34" s="310"/>
      <c r="F34" s="310"/>
      <c r="G34" s="314"/>
      <c r="H34" s="314"/>
      <c r="I34" s="314"/>
      <c r="J34" s="315" t="s">
        <v>220</v>
      </c>
      <c r="K34" s="298"/>
      <c r="L34" s="298"/>
      <c r="M34" s="298"/>
      <c r="N34" s="298"/>
      <c r="O34" s="299"/>
      <c r="P34" s="312"/>
      <c r="Q34" s="313"/>
      <c r="R34" s="301"/>
      <c r="S34" s="301"/>
      <c r="T34" s="301"/>
      <c r="U34" s="302"/>
      <c r="V34" s="285"/>
      <c r="W34" s="303" t="b">
        <v>0</v>
      </c>
      <c r="X34" s="304" t="b">
        <v>0</v>
      </c>
      <c r="Y34" s="304" t="b">
        <v>0</v>
      </c>
      <c r="Z34" s="304" t="b">
        <v>0</v>
      </c>
      <c r="AA34" s="304" t="b">
        <v>0</v>
      </c>
      <c r="AB34" s="304" t="b">
        <v>0</v>
      </c>
      <c r="AC34" s="304" t="b">
        <v>0</v>
      </c>
      <c r="AD34" s="304" t="b">
        <v>0</v>
      </c>
      <c r="AE34" s="304" t="b">
        <v>0</v>
      </c>
      <c r="AF34" s="305" t="b">
        <v>0</v>
      </c>
      <c r="AG34" s="316"/>
      <c r="AH34" s="316"/>
      <c r="AI34" s="307"/>
      <c r="AJ34" s="292" t="str">
        <f>IFERROR(__xludf.DUMMYFUNCTION("IF(E34=""Heavy Armor"",IF(REGEXMATCH(V34,""Flexible""),""0"",COUNTIF(W34:AF34,true)),)"),"")</f>
        <v/>
      </c>
    </row>
    <row r="35" ht="56.25" customHeight="1">
      <c r="A35" s="213"/>
      <c r="B35" s="276">
        <v>32.0</v>
      </c>
      <c r="C35" s="293"/>
      <c r="D35" s="295"/>
      <c r="E35" s="295"/>
      <c r="F35" s="295"/>
      <c r="G35" s="296"/>
      <c r="H35" s="296"/>
      <c r="I35" s="296"/>
      <c r="J35" s="315" t="s">
        <v>220</v>
      </c>
      <c r="K35" s="298"/>
      <c r="L35" s="298"/>
      <c r="M35" s="298"/>
      <c r="N35" s="298"/>
      <c r="O35" s="299"/>
      <c r="P35" s="312"/>
      <c r="Q35" s="313"/>
      <c r="R35" s="301"/>
      <c r="S35" s="301"/>
      <c r="T35" s="301"/>
      <c r="U35" s="302"/>
      <c r="V35" s="301"/>
      <c r="W35" s="303" t="b">
        <v>0</v>
      </c>
      <c r="X35" s="304" t="b">
        <v>0</v>
      </c>
      <c r="Y35" s="304" t="b">
        <v>0</v>
      </c>
      <c r="Z35" s="304" t="b">
        <v>0</v>
      </c>
      <c r="AA35" s="304" t="b">
        <v>0</v>
      </c>
      <c r="AB35" s="304" t="b">
        <v>0</v>
      </c>
      <c r="AC35" s="304" t="b">
        <v>0</v>
      </c>
      <c r="AD35" s="304" t="b">
        <v>0</v>
      </c>
      <c r="AE35" s="304" t="b">
        <v>0</v>
      </c>
      <c r="AF35" s="305" t="b">
        <v>0</v>
      </c>
      <c r="AG35" s="316"/>
      <c r="AH35" s="316"/>
      <c r="AI35" s="307"/>
      <c r="AJ35" s="292" t="str">
        <f>IFERROR(__xludf.DUMMYFUNCTION("IF(E35=""Heavy Armor"",IF(REGEXMATCH(V35,""Flexible""),""0"",COUNTIF(W35:AF35,true)),)"),"")</f>
        <v/>
      </c>
    </row>
    <row r="36" ht="56.25" customHeight="1">
      <c r="A36" s="213"/>
      <c r="B36" s="276">
        <v>33.0</v>
      </c>
      <c r="C36" s="308"/>
      <c r="D36" s="310"/>
      <c r="E36" s="310"/>
      <c r="F36" s="310"/>
      <c r="G36" s="314"/>
      <c r="H36" s="314"/>
      <c r="I36" s="314"/>
      <c r="J36" s="315" t="s">
        <v>220</v>
      </c>
      <c r="K36" s="298"/>
      <c r="L36" s="298"/>
      <c r="M36" s="298"/>
      <c r="N36" s="298"/>
      <c r="O36" s="313"/>
      <c r="P36" s="312"/>
      <c r="Q36" s="313"/>
      <c r="R36" s="301"/>
      <c r="S36" s="301"/>
      <c r="T36" s="301"/>
      <c r="U36" s="302"/>
      <c r="V36" s="301"/>
      <c r="W36" s="303" t="b">
        <v>0</v>
      </c>
      <c r="X36" s="304" t="b">
        <v>0</v>
      </c>
      <c r="Y36" s="304" t="b">
        <v>0</v>
      </c>
      <c r="Z36" s="304" t="b">
        <v>0</v>
      </c>
      <c r="AA36" s="304" t="b">
        <v>0</v>
      </c>
      <c r="AB36" s="304" t="b">
        <v>0</v>
      </c>
      <c r="AC36" s="304" t="b">
        <v>0</v>
      </c>
      <c r="AD36" s="304" t="b">
        <v>0</v>
      </c>
      <c r="AE36" s="304" t="b">
        <v>0</v>
      </c>
      <c r="AF36" s="305" t="b">
        <v>0</v>
      </c>
      <c r="AG36" s="316"/>
      <c r="AH36" s="316"/>
      <c r="AI36" s="307"/>
      <c r="AJ36" s="292" t="str">
        <f>IFERROR(__xludf.DUMMYFUNCTION("IF(E36=""Heavy Armor"",IF(REGEXMATCH(V36,""Flexible""),""0"",COUNTIF(W36:AF36,true)),)"),"")</f>
        <v/>
      </c>
    </row>
    <row r="37" ht="56.25" customHeight="1">
      <c r="A37" s="213"/>
      <c r="B37" s="276">
        <v>34.0</v>
      </c>
      <c r="C37" s="320"/>
      <c r="D37" s="321"/>
      <c r="E37" s="321"/>
      <c r="F37" s="321"/>
      <c r="G37" s="322"/>
      <c r="H37" s="322"/>
      <c r="I37" s="322"/>
      <c r="J37" s="323" t="s">
        <v>220</v>
      </c>
      <c r="K37" s="324"/>
      <c r="L37" s="324"/>
      <c r="M37" s="324"/>
      <c r="N37" s="324"/>
      <c r="O37" s="325"/>
      <c r="P37" s="326"/>
      <c r="Q37" s="327"/>
      <c r="R37" s="328"/>
      <c r="S37" s="328"/>
      <c r="T37" s="328"/>
      <c r="U37" s="329"/>
      <c r="V37" s="328"/>
      <c r="W37" s="330" t="b">
        <v>0</v>
      </c>
      <c r="X37" s="331" t="b">
        <v>0</v>
      </c>
      <c r="Y37" s="331" t="b">
        <v>0</v>
      </c>
      <c r="Z37" s="331" t="b">
        <v>0</v>
      </c>
      <c r="AA37" s="331" t="b">
        <v>0</v>
      </c>
      <c r="AB37" s="331" t="b">
        <v>0</v>
      </c>
      <c r="AC37" s="331" t="b">
        <v>0</v>
      </c>
      <c r="AD37" s="331" t="b">
        <v>0</v>
      </c>
      <c r="AE37" s="331" t="b">
        <v>0</v>
      </c>
      <c r="AF37" s="332" t="b">
        <v>0</v>
      </c>
      <c r="AG37" s="333"/>
      <c r="AH37" s="333"/>
      <c r="AI37" s="334"/>
      <c r="AJ37" s="292" t="str">
        <f>IFERROR(__xludf.DUMMYFUNCTION("IF(E37=""Heavy Armor"",IF(REGEXMATCH(V37,""Flexible""),""0"",COUNTIF(W37:AF37,true)),)"),"")</f>
        <v/>
      </c>
    </row>
    <row r="38" ht="31.5" customHeight="1">
      <c r="A38" s="213"/>
      <c r="B38" s="335"/>
      <c r="C38" s="218"/>
      <c r="E38" s="336"/>
      <c r="F38" s="336"/>
      <c r="AH38" s="337" t="s">
        <v>221</v>
      </c>
      <c r="AI38" s="338" t="str">
        <f>IFERROR(__xludf.DUMMYFUNCTION("IF(ArrayFormula(SUM(IFERROR(LARGE(Arrayformula(Value(Iferror(REGEXEXTRACT(AI4:AI37,""[0-9]+""),))),{1,2}),0))) &gt;= AI39*2, ""Encumbered"", ""Fine"")"),"Fine")</f>
        <v>Fine</v>
      </c>
      <c r="AJ38" s="213"/>
    </row>
    <row r="39" ht="31.5" customHeight="1">
      <c r="A39" s="213"/>
      <c r="B39" s="335"/>
      <c r="AH39" s="337" t="s">
        <v>222</v>
      </c>
      <c r="AI39" s="339">
        <f>MAX(QUOTIENT(STR,2), 1)</f>
        <v>7</v>
      </c>
      <c r="AJ39" s="213"/>
    </row>
    <row r="40" ht="7.5" customHeight="1">
      <c r="A40" s="213"/>
      <c r="B40" s="340"/>
    </row>
  </sheetData>
  <mergeCells count="18">
    <mergeCell ref="G2:N2"/>
    <mergeCell ref="P2:U2"/>
    <mergeCell ref="C38:D38"/>
    <mergeCell ref="F38:AG38"/>
    <mergeCell ref="B39:AG39"/>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0" priority="1">
      <formula>(W4) =""</formula>
    </cfRule>
  </conditionalFormatting>
  <dataValidations>
    <dataValidation type="list" allowBlank="1" showErrorMessage="1" sqref="AI4:AI37">
      <formula1>"1 - Featherlight,2 - Trivial,3 - Light,4 - Moderate,5 - Heavy,6 - Hefty,7 - Burdensome,8 - Dense,9 - Overwhelming,10 - Crushing"</formula1>
    </dataValidation>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103" t="str">
        <f t="array" ref="A1:AG1">vlookup(Inventory!C38,A2:AG1000,{1,2,3,4,5,6,7,8,9,10,11,12,13,14,15,16,17,18,19,20,21,22,23,24,25,26,27,28,29,30,31,32,33},False)</f>
        <v>#N/A</v>
      </c>
      <c r="B1" t="e">
        <v>#N/A</v>
      </c>
      <c r="C1" t="e">
        <v>#N/A</v>
      </c>
      <c r="D1" t="e">
        <v>#N/A</v>
      </c>
      <c r="E1" t="e">
        <v>#N/A</v>
      </c>
      <c r="F1" t="e">
        <v>#N/A</v>
      </c>
      <c r="G1" t="e">
        <v>#N/A</v>
      </c>
      <c r="H1" t="e">
        <v>#N/A</v>
      </c>
      <c r="I1" t="e">
        <v>#N/A</v>
      </c>
      <c r="J1" t="e">
        <v>#N/A</v>
      </c>
      <c r="K1" t="e">
        <v>#N/A</v>
      </c>
      <c r="L1" t="e">
        <v>#N/A</v>
      </c>
      <c r="M1" t="e">
        <v>#N/A</v>
      </c>
      <c r="N1" t="e">
        <v>#N/A</v>
      </c>
      <c r="O1" t="e">
        <v>#N/A</v>
      </c>
      <c r="P1" t="e">
        <v>#N/A</v>
      </c>
      <c r="Q1" t="e">
        <v>#N/A</v>
      </c>
      <c r="R1" t="e">
        <v>#N/A</v>
      </c>
      <c r="S1" t="e">
        <v>#N/A</v>
      </c>
      <c r="T1" t="e">
        <v>#N/A</v>
      </c>
      <c r="U1" t="e">
        <v>#N/A</v>
      </c>
      <c r="V1" t="e">
        <v>#N/A</v>
      </c>
      <c r="W1" t="e">
        <v>#N/A</v>
      </c>
      <c r="X1" t="e">
        <v>#N/A</v>
      </c>
      <c r="Y1" t="e">
        <v>#N/A</v>
      </c>
      <c r="Z1" t="e">
        <v>#N/A</v>
      </c>
      <c r="AA1" t="e">
        <v>#N/A</v>
      </c>
      <c r="AB1" t="e">
        <v>#N/A</v>
      </c>
      <c r="AC1" t="e">
        <v>#N/A</v>
      </c>
      <c r="AD1" t="e">
        <v>#N/A</v>
      </c>
      <c r="AE1" t="e">
        <v>#N/A</v>
      </c>
      <c r="AF1" t="e">
        <v>#N/A</v>
      </c>
      <c r="AG1" t="e">
        <v>#N/A</v>
      </c>
    </row>
    <row r="2">
      <c r="A2" s="341" t="str">
        <f>IFERROR(__xludf.DUMMYFUNCTION("IMPORTRANGE(""1VVGrF2QdfeY3pp71N4fqMx-5eAXFuDpcCfRHuuxKYTY"", ""Munition Items!B4:AH"")"),"Thick Heavy Gambeson")</f>
        <v>Thick Heavy Gambeson</v>
      </c>
      <c r="B2" s="342" t="str">
        <f>IFERROR(__xludf.DUMMYFUNCTION("""COMPUTED_VALUE"""),"5 - Munitions")</f>
        <v>5 - Munitions</v>
      </c>
      <c r="C2" s="342" t="str">
        <f>IFERROR(__xludf.DUMMYFUNCTION("""COMPUTED_VALUE"""),"Heavy Armor")</f>
        <v>Heavy Armor</v>
      </c>
      <c r="D2" s="342" t="str">
        <f>IFERROR(__xludf.DUMMYFUNCTION("""COMPUTED_VALUE"""),"Wool")</f>
        <v>Wool</v>
      </c>
      <c r="E2" s="342" t="str">
        <f>IFERROR(__xludf.DUMMYFUNCTION("""COMPUTED_VALUE"""),"-")</f>
        <v>-</v>
      </c>
      <c r="F2" s="342" t="str">
        <f>IFERROR(__xludf.DUMMYFUNCTION("""COMPUTED_VALUE"""),"-")</f>
        <v>-</v>
      </c>
      <c r="G2" s="342" t="str">
        <f>IFERROR(__xludf.DUMMYFUNCTION("""COMPUTED_VALUE"""),"-")</f>
        <v>-</v>
      </c>
      <c r="H2" s="342" t="str">
        <f>IFERROR(__xludf.DUMMYFUNCTION("""COMPUTED_VALUE"""),":")</f>
        <v>:</v>
      </c>
      <c r="I2" s="342" t="str">
        <f>IFERROR(__xludf.DUMMYFUNCTION("""COMPUTED_VALUE"""),"-")</f>
        <v>-</v>
      </c>
      <c r="J2" s="342" t="str">
        <f>IFERROR(__xludf.DUMMYFUNCTION("""COMPUTED_VALUE"""),"-")</f>
        <v>-</v>
      </c>
      <c r="K2" s="342" t="str">
        <f>IFERROR(__xludf.DUMMYFUNCTION("""COMPUTED_VALUE"""),"-")</f>
        <v>-</v>
      </c>
      <c r="L2" s="342" t="str">
        <f>IFERROR(__xludf.DUMMYFUNCTION("""COMPUTED_VALUE"""),"-")</f>
        <v>-</v>
      </c>
      <c r="M2" s="342" t="str">
        <f>IFERROR(__xludf.DUMMYFUNCTION("""COMPUTED_VALUE"""),"-")</f>
        <v>-</v>
      </c>
      <c r="N2" s="342">
        <f>IFERROR(__xludf.DUMMYFUNCTION("""COMPUTED_VALUE"""),7.0)</f>
        <v>7</v>
      </c>
      <c r="O2" s="342" t="str">
        <f>IFERROR(__xludf.DUMMYFUNCTION("""COMPUTED_VALUE"""),"Soft")</f>
        <v>Soft</v>
      </c>
      <c r="P2" s="342" t="str">
        <f>IFERROR(__xludf.DUMMYFUNCTION("""COMPUTED_VALUE"""),"R")</f>
        <v>R</v>
      </c>
      <c r="Q2" s="342" t="str">
        <f>IFERROR(__xludf.DUMMYFUNCTION("""COMPUTED_VALUE"""),"R")</f>
        <v>R</v>
      </c>
      <c r="R2" s="342" t="str">
        <f>IFERROR(__xludf.DUMMYFUNCTION("""COMPUTED_VALUE"""),"")</f>
        <v/>
      </c>
      <c r="S2" s="342" t="str">
        <f>IFERROR(__xludf.DUMMYFUNCTION("""COMPUTED_VALUE"""),"")</f>
        <v/>
      </c>
      <c r="T2" s="342"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43" t="str">
        <f>IFERROR(__xludf.DUMMYFUNCTION("""COMPUTED_VALUE"""),"3 - Undamaged")</f>
        <v>3 - Undamaged</v>
      </c>
      <c r="AG2" s="342" t="str">
        <f>IFERROR(__xludf.DUMMYFUNCTION("""COMPUTED_VALUE"""),"4 - Moderate")</f>
        <v>4 - Moderate</v>
      </c>
    </row>
    <row r="3">
      <c r="A3" s="342" t="str">
        <f>IFERROR(__xludf.DUMMYFUNCTION("""COMPUTED_VALUE"""),"Wooden Scutum")</f>
        <v>Wooden Scutum</v>
      </c>
      <c r="B3" s="342" t="str">
        <f>IFERROR(__xludf.DUMMYFUNCTION("""COMPUTED_VALUE"""),"5 - Munitions")</f>
        <v>5 - Munitions</v>
      </c>
      <c r="C3" s="342" t="str">
        <f>IFERROR(__xludf.DUMMYFUNCTION("""COMPUTED_VALUE"""),"Heavy Armor")</f>
        <v>Heavy Armor</v>
      </c>
      <c r="D3" s="342" t="str">
        <f>IFERROR(__xludf.DUMMYFUNCTION("""COMPUTED_VALUE"""),"Wood")</f>
        <v>Wood</v>
      </c>
      <c r="E3" s="342" t="str">
        <f>IFERROR(__xludf.DUMMYFUNCTION("""COMPUTED_VALUE"""),"-")</f>
        <v>-</v>
      </c>
      <c r="F3" s="342" t="str">
        <f>IFERROR(__xludf.DUMMYFUNCTION("""COMPUTED_VALUE"""),"-")</f>
        <v>-</v>
      </c>
      <c r="G3" s="342" t="str">
        <f>IFERROR(__xludf.DUMMYFUNCTION("""COMPUTED_VALUE"""),"-")</f>
        <v>-</v>
      </c>
      <c r="H3" s="342" t="str">
        <f>IFERROR(__xludf.DUMMYFUNCTION("""COMPUTED_VALUE"""),":")</f>
        <v>:</v>
      </c>
      <c r="I3" s="342" t="str">
        <f>IFERROR(__xludf.DUMMYFUNCTION("""COMPUTED_VALUE"""),"-")</f>
        <v>-</v>
      </c>
      <c r="J3" s="342" t="str">
        <f>IFERROR(__xludf.DUMMYFUNCTION("""COMPUTED_VALUE"""),"-")</f>
        <v>-</v>
      </c>
      <c r="K3" s="342" t="str">
        <f>IFERROR(__xludf.DUMMYFUNCTION("""COMPUTED_VALUE"""),"-")</f>
        <v>-</v>
      </c>
      <c r="L3" s="342" t="str">
        <f>IFERROR(__xludf.DUMMYFUNCTION("""COMPUTED_VALUE"""),"-")</f>
        <v>-</v>
      </c>
      <c r="M3" s="342" t="str">
        <f>IFERROR(__xludf.DUMMYFUNCTION("""COMPUTED_VALUE"""),"-")</f>
        <v>-</v>
      </c>
      <c r="N3" s="342">
        <f>IFERROR(__xludf.DUMMYFUNCTION("""COMPUTED_VALUE"""),32.0)</f>
        <v>32</v>
      </c>
      <c r="O3" s="342" t="str">
        <f>IFERROR(__xludf.DUMMYFUNCTION("""COMPUTED_VALUE"""),"Hard")</f>
        <v>Hard</v>
      </c>
      <c r="P3" s="342" t="str">
        <f>IFERROR(__xludf.DUMMYFUNCTION("""COMPUTED_VALUE"""),"")</f>
        <v/>
      </c>
      <c r="Q3" s="342" t="str">
        <f>IFERROR(__xludf.DUMMYFUNCTION("""COMPUTED_VALUE"""),"")</f>
        <v/>
      </c>
      <c r="R3" s="342" t="str">
        <f>IFERROR(__xludf.DUMMYFUNCTION("""COMPUTED_VALUE"""),"")</f>
        <v/>
      </c>
      <c r="S3" s="342" t="str">
        <f>IFERROR(__xludf.DUMMYFUNCTION("""COMPUTED_VALUE"""),"")</f>
        <v/>
      </c>
      <c r="T3" s="342"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43" t="str">
        <f>IFERROR(__xludf.DUMMYFUNCTION("""COMPUTED_VALUE"""),"3 - Undamaged")</f>
        <v>3 - Undamaged</v>
      </c>
      <c r="AG3" s="342" t="str">
        <f>IFERROR(__xludf.DUMMYFUNCTION("""COMPUTED_VALUE"""),"5 - Heavy")</f>
        <v>5 - Heavy</v>
      </c>
    </row>
    <row r="4">
      <c r="A4" s="342" t="str">
        <f>IFERROR(__xludf.DUMMYFUNCTION("""COMPUTED_VALUE"""),"Curiass")</f>
        <v>Curiass</v>
      </c>
      <c r="B4" s="342" t="str">
        <f>IFERROR(__xludf.DUMMYFUNCTION("""COMPUTED_VALUE"""),"5 - Munitions")</f>
        <v>5 - Munitions</v>
      </c>
      <c r="C4" s="342" t="str">
        <f>IFERROR(__xludf.DUMMYFUNCTION("""COMPUTED_VALUE"""),"Light Armor")</f>
        <v>Light Armor</v>
      </c>
      <c r="D4" s="342" t="str">
        <f>IFERROR(__xludf.DUMMYFUNCTION("""COMPUTED_VALUE"""),"Steel")</f>
        <v>Steel</v>
      </c>
      <c r="E4" s="342" t="str">
        <f>IFERROR(__xludf.DUMMYFUNCTION("""COMPUTED_VALUE"""),"-")</f>
        <v>-</v>
      </c>
      <c r="F4" s="342" t="str">
        <f>IFERROR(__xludf.DUMMYFUNCTION("""COMPUTED_VALUE"""),"-")</f>
        <v>-</v>
      </c>
      <c r="G4" s="342" t="str">
        <f>IFERROR(__xludf.DUMMYFUNCTION("""COMPUTED_VALUE"""),"-")</f>
        <v>-</v>
      </c>
      <c r="H4" s="342" t="str">
        <f>IFERROR(__xludf.DUMMYFUNCTION("""COMPUTED_VALUE"""),":")</f>
        <v>:</v>
      </c>
      <c r="I4" s="342" t="str">
        <f>IFERROR(__xludf.DUMMYFUNCTION("""COMPUTED_VALUE"""),"-")</f>
        <v>-</v>
      </c>
      <c r="J4" s="342" t="str">
        <f>IFERROR(__xludf.DUMMYFUNCTION("""COMPUTED_VALUE"""),"-")</f>
        <v>-</v>
      </c>
      <c r="K4" s="342" t="str">
        <f>IFERROR(__xludf.DUMMYFUNCTION("""COMPUTED_VALUE"""),"-")</f>
        <v>-</v>
      </c>
      <c r="L4" s="342" t="str">
        <f>IFERROR(__xludf.DUMMYFUNCTION("""COMPUTED_VALUE"""),"-")</f>
        <v>-</v>
      </c>
      <c r="M4" s="342" t="str">
        <f>IFERROR(__xludf.DUMMYFUNCTION("""COMPUTED_VALUE"""),"-")</f>
        <v>-</v>
      </c>
      <c r="N4" s="342">
        <f>IFERROR(__xludf.DUMMYFUNCTION("""COMPUTED_VALUE"""),36.0)</f>
        <v>36</v>
      </c>
      <c r="O4" s="342" t="str">
        <f>IFERROR(__xludf.DUMMYFUNCTION("""COMPUTED_VALUE"""),"Hard")</f>
        <v>Hard</v>
      </c>
      <c r="P4" s="342" t="str">
        <f>IFERROR(__xludf.DUMMYFUNCTION("""COMPUTED_VALUE"""),"")</f>
        <v/>
      </c>
      <c r="Q4" s="342" t="str">
        <f>IFERROR(__xludf.DUMMYFUNCTION("""COMPUTED_VALUE"""),"")</f>
        <v/>
      </c>
      <c r="R4" s="342" t="str">
        <f>IFERROR(__xludf.DUMMYFUNCTION("""COMPUTED_VALUE"""),"")</f>
        <v/>
      </c>
      <c r="S4" s="342" t="str">
        <f>IFERROR(__xludf.DUMMYFUNCTION("""COMPUTED_VALUE"""),"")</f>
        <v/>
      </c>
      <c r="T4" s="342"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43" t="str">
        <f>IFERROR(__xludf.DUMMYFUNCTION("""COMPUTED_VALUE"""),"3 - Undamaged")</f>
        <v>3 - Undamaged</v>
      </c>
      <c r="AG4" s="342" t="str">
        <f>IFERROR(__xludf.DUMMYFUNCTION("""COMPUTED_VALUE"""),"5 - Heavy")</f>
        <v>5 - Heavy</v>
      </c>
    </row>
    <row r="5">
      <c r="A5" s="342" t="str">
        <f>IFERROR(__xludf.DUMMYFUNCTION("""COMPUTED_VALUE"""),"Heavy Curiass")</f>
        <v>Heavy Curiass</v>
      </c>
      <c r="B5" s="342" t="str">
        <f>IFERROR(__xludf.DUMMYFUNCTION("""COMPUTED_VALUE"""),"5 - Munitions")</f>
        <v>5 - Munitions</v>
      </c>
      <c r="C5" s="342" t="str">
        <f>IFERROR(__xludf.DUMMYFUNCTION("""COMPUTED_VALUE"""),"Heavy Armor")</f>
        <v>Heavy Armor</v>
      </c>
      <c r="D5" s="342" t="str">
        <f>IFERROR(__xludf.DUMMYFUNCTION("""COMPUTED_VALUE"""),"Steel")</f>
        <v>Steel</v>
      </c>
      <c r="E5" s="342" t="str">
        <f>IFERROR(__xludf.DUMMYFUNCTION("""COMPUTED_VALUE"""),"-")</f>
        <v>-</v>
      </c>
      <c r="F5" s="342" t="str">
        <f>IFERROR(__xludf.DUMMYFUNCTION("""COMPUTED_VALUE"""),"-")</f>
        <v>-</v>
      </c>
      <c r="G5" s="342" t="str">
        <f>IFERROR(__xludf.DUMMYFUNCTION("""COMPUTED_VALUE"""),"-")</f>
        <v>-</v>
      </c>
      <c r="H5" s="342" t="str">
        <f>IFERROR(__xludf.DUMMYFUNCTION("""COMPUTED_VALUE"""),":")</f>
        <v>:</v>
      </c>
      <c r="I5" s="342" t="str">
        <f>IFERROR(__xludf.DUMMYFUNCTION("""COMPUTED_VALUE"""),"-")</f>
        <v>-</v>
      </c>
      <c r="J5" s="342" t="str">
        <f>IFERROR(__xludf.DUMMYFUNCTION("""COMPUTED_VALUE"""),"-")</f>
        <v>-</v>
      </c>
      <c r="K5" s="342" t="str">
        <f>IFERROR(__xludf.DUMMYFUNCTION("""COMPUTED_VALUE"""),"-")</f>
        <v>-</v>
      </c>
      <c r="L5" s="342" t="str">
        <f>IFERROR(__xludf.DUMMYFUNCTION("""COMPUTED_VALUE"""),"-")</f>
        <v>-</v>
      </c>
      <c r="M5" s="342" t="str">
        <f>IFERROR(__xludf.DUMMYFUNCTION("""COMPUTED_VALUE"""),"-")</f>
        <v>-</v>
      </c>
      <c r="N5" s="342">
        <f>IFERROR(__xludf.DUMMYFUNCTION("""COMPUTED_VALUE"""),48.0)</f>
        <v>48</v>
      </c>
      <c r="O5" s="342" t="str">
        <f>IFERROR(__xludf.DUMMYFUNCTION("""COMPUTED_VALUE"""),"Hard")</f>
        <v>Hard</v>
      </c>
      <c r="P5" s="342" t="str">
        <f>IFERROR(__xludf.DUMMYFUNCTION("""COMPUTED_VALUE"""),"")</f>
        <v/>
      </c>
      <c r="Q5" s="342" t="str">
        <f>IFERROR(__xludf.DUMMYFUNCTION("""COMPUTED_VALUE"""),"")</f>
        <v/>
      </c>
      <c r="R5" s="342" t="str">
        <f>IFERROR(__xludf.DUMMYFUNCTION("""COMPUTED_VALUE"""),"")</f>
        <v/>
      </c>
      <c r="S5" s="342" t="str">
        <f>IFERROR(__xludf.DUMMYFUNCTION("""COMPUTED_VALUE"""),"")</f>
        <v/>
      </c>
      <c r="T5" s="342"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43" t="str">
        <f>IFERROR(__xludf.DUMMYFUNCTION("""COMPUTED_VALUE"""),"3 - Undamaged")</f>
        <v>3 - Undamaged</v>
      </c>
      <c r="AG5" s="342" t="str">
        <f>IFERROR(__xludf.DUMMYFUNCTION("""COMPUTED_VALUE"""),"6 - Hefty")</f>
        <v>6 - Hefty</v>
      </c>
    </row>
    <row r="6">
      <c r="A6" s="342" t="str">
        <f>IFERROR(__xludf.DUMMYFUNCTION("""COMPUTED_VALUE"""),"Heavy Brigandine")</f>
        <v>Heavy Brigandine</v>
      </c>
      <c r="B6" s="342" t="str">
        <f>IFERROR(__xludf.DUMMYFUNCTION("""COMPUTED_VALUE"""),"5 - Munitions")</f>
        <v>5 - Munitions</v>
      </c>
      <c r="C6" s="342" t="str">
        <f>IFERROR(__xludf.DUMMYFUNCTION("""COMPUTED_VALUE"""),"Heavy Armor")</f>
        <v>Heavy Armor</v>
      </c>
      <c r="D6" s="342" t="str">
        <f>IFERROR(__xludf.DUMMYFUNCTION("""COMPUTED_VALUE"""),"Leather")</f>
        <v>Leather</v>
      </c>
      <c r="E6" s="342" t="str">
        <f>IFERROR(__xludf.DUMMYFUNCTION("""COMPUTED_VALUE"""),"-")</f>
        <v>-</v>
      </c>
      <c r="F6" s="342" t="str">
        <f>IFERROR(__xludf.DUMMYFUNCTION("""COMPUTED_VALUE"""),"-")</f>
        <v>-</v>
      </c>
      <c r="G6" s="342" t="str">
        <f>IFERROR(__xludf.DUMMYFUNCTION("""COMPUTED_VALUE"""),"-")</f>
        <v>-</v>
      </c>
      <c r="H6" s="342" t="str">
        <f>IFERROR(__xludf.DUMMYFUNCTION("""COMPUTED_VALUE"""),":")</f>
        <v>:</v>
      </c>
      <c r="I6" s="342" t="str">
        <f>IFERROR(__xludf.DUMMYFUNCTION("""COMPUTED_VALUE"""),"-")</f>
        <v>-</v>
      </c>
      <c r="J6" s="342" t="str">
        <f>IFERROR(__xludf.DUMMYFUNCTION("""COMPUTED_VALUE"""),"-")</f>
        <v>-</v>
      </c>
      <c r="K6" s="342" t="str">
        <f>IFERROR(__xludf.DUMMYFUNCTION("""COMPUTED_VALUE"""),"-")</f>
        <v>-</v>
      </c>
      <c r="L6" s="342" t="str">
        <f>IFERROR(__xludf.DUMMYFUNCTION("""COMPUTED_VALUE"""),"-")</f>
        <v>-</v>
      </c>
      <c r="M6" s="342" t="str">
        <f>IFERROR(__xludf.DUMMYFUNCTION("""COMPUTED_VALUE"""),"-")</f>
        <v>-</v>
      </c>
      <c r="N6" s="342">
        <f>IFERROR(__xludf.DUMMYFUNCTION("""COMPUTED_VALUE"""),18.0)</f>
        <v>18</v>
      </c>
      <c r="O6" s="342" t="str">
        <f>IFERROR(__xludf.DUMMYFUNCTION("""COMPUTED_VALUE"""),"Soft")</f>
        <v>Soft</v>
      </c>
      <c r="P6" s="342" t="str">
        <f>IFERROR(__xludf.DUMMYFUNCTION("""COMPUTED_VALUE"""),"R")</f>
        <v>R</v>
      </c>
      <c r="Q6" s="342" t="str">
        <f>IFERROR(__xludf.DUMMYFUNCTION("""COMPUTED_VALUE"""),"")</f>
        <v/>
      </c>
      <c r="R6" s="342" t="str">
        <f>IFERROR(__xludf.DUMMYFUNCTION("""COMPUTED_VALUE"""),"")</f>
        <v/>
      </c>
      <c r="S6" s="342" t="str">
        <f>IFERROR(__xludf.DUMMYFUNCTION("""COMPUTED_VALUE"""),"")</f>
        <v/>
      </c>
      <c r="T6" s="342"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43" t="str">
        <f>IFERROR(__xludf.DUMMYFUNCTION("""COMPUTED_VALUE"""),"3 - Undamaged")</f>
        <v>3 - Undamaged</v>
      </c>
      <c r="AG6" s="342" t="str">
        <f>IFERROR(__xludf.DUMMYFUNCTION("""COMPUTED_VALUE"""),"3 - Light")</f>
        <v>3 - Light</v>
      </c>
    </row>
    <row r="7">
      <c r="A7" s="342" t="str">
        <f>IFERROR(__xludf.DUMMYFUNCTION("""COMPUTED_VALUE"""),"Heavy Boiled Brigandine")</f>
        <v>Heavy Boiled Brigandine</v>
      </c>
      <c r="B7" s="342" t="str">
        <f>IFERROR(__xludf.DUMMYFUNCTION("""COMPUTED_VALUE"""),"5 - Munitions")</f>
        <v>5 - Munitions</v>
      </c>
      <c r="C7" s="342" t="str">
        <f>IFERROR(__xludf.DUMMYFUNCTION("""COMPUTED_VALUE"""),"Heavy Armor")</f>
        <v>Heavy Armor</v>
      </c>
      <c r="D7" s="342" t="str">
        <f>IFERROR(__xludf.DUMMYFUNCTION("""COMPUTED_VALUE"""),"Rawhide")</f>
        <v>Rawhide</v>
      </c>
      <c r="E7" s="342" t="str">
        <f>IFERROR(__xludf.DUMMYFUNCTION("""COMPUTED_VALUE"""),"-")</f>
        <v>-</v>
      </c>
      <c r="F7" s="342" t="str">
        <f>IFERROR(__xludf.DUMMYFUNCTION("""COMPUTED_VALUE"""),"-")</f>
        <v>-</v>
      </c>
      <c r="G7" s="342" t="str">
        <f>IFERROR(__xludf.DUMMYFUNCTION("""COMPUTED_VALUE"""),"-")</f>
        <v>-</v>
      </c>
      <c r="H7" s="342" t="str">
        <f>IFERROR(__xludf.DUMMYFUNCTION("""COMPUTED_VALUE"""),":")</f>
        <v>:</v>
      </c>
      <c r="I7" s="342" t="str">
        <f>IFERROR(__xludf.DUMMYFUNCTION("""COMPUTED_VALUE"""),"-")</f>
        <v>-</v>
      </c>
      <c r="J7" s="342" t="str">
        <f>IFERROR(__xludf.DUMMYFUNCTION("""COMPUTED_VALUE"""),"-")</f>
        <v>-</v>
      </c>
      <c r="K7" s="342" t="str">
        <f>IFERROR(__xludf.DUMMYFUNCTION("""COMPUTED_VALUE"""),"-")</f>
        <v>-</v>
      </c>
      <c r="L7" s="342" t="str">
        <f>IFERROR(__xludf.DUMMYFUNCTION("""COMPUTED_VALUE"""),"-")</f>
        <v>-</v>
      </c>
      <c r="M7" s="342" t="str">
        <f>IFERROR(__xludf.DUMMYFUNCTION("""COMPUTED_VALUE"""),"-")</f>
        <v>-</v>
      </c>
      <c r="N7" s="342">
        <f>IFERROR(__xludf.DUMMYFUNCTION("""COMPUTED_VALUE"""),20.0)</f>
        <v>20</v>
      </c>
      <c r="O7" s="342" t="str">
        <f>IFERROR(__xludf.DUMMYFUNCTION("""COMPUTED_VALUE"""),"Hard")</f>
        <v>Hard</v>
      </c>
      <c r="P7" s="342" t="str">
        <f>IFERROR(__xludf.DUMMYFUNCTION("""COMPUTED_VALUE"""),"R")</f>
        <v>R</v>
      </c>
      <c r="Q7" s="342" t="str">
        <f>IFERROR(__xludf.DUMMYFUNCTION("""COMPUTED_VALUE"""),"")</f>
        <v/>
      </c>
      <c r="R7" s="342" t="str">
        <f>IFERROR(__xludf.DUMMYFUNCTION("""COMPUTED_VALUE"""),"")</f>
        <v/>
      </c>
      <c r="S7" s="342" t="str">
        <f>IFERROR(__xludf.DUMMYFUNCTION("""COMPUTED_VALUE"""),"")</f>
        <v/>
      </c>
      <c r="T7" s="342"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43" t="str">
        <f>IFERROR(__xludf.DUMMYFUNCTION("""COMPUTED_VALUE"""),"3 - Undamaged")</f>
        <v>3 - Undamaged</v>
      </c>
      <c r="AG7" s="342" t="str">
        <f>IFERROR(__xludf.DUMMYFUNCTION("""COMPUTED_VALUE"""),"3 - Light")</f>
        <v>3 - Light</v>
      </c>
    </row>
    <row r="8">
      <c r="A8" s="342" t="str">
        <f>IFERROR(__xludf.DUMMYFUNCTION("""COMPUTED_VALUE"""),"Brigandine")</f>
        <v>Brigandine</v>
      </c>
      <c r="B8" s="342" t="str">
        <f>IFERROR(__xludf.DUMMYFUNCTION("""COMPUTED_VALUE"""),"5 - Munitions")</f>
        <v>5 - Munitions</v>
      </c>
      <c r="C8" s="342" t="str">
        <f>IFERROR(__xludf.DUMMYFUNCTION("""COMPUTED_VALUE"""),"Light Armor")</f>
        <v>Light Armor</v>
      </c>
      <c r="D8" s="342" t="str">
        <f>IFERROR(__xludf.DUMMYFUNCTION("""COMPUTED_VALUE"""),"Leather")</f>
        <v>Leather</v>
      </c>
      <c r="E8" s="342" t="str">
        <f>IFERROR(__xludf.DUMMYFUNCTION("""COMPUTED_VALUE"""),"-")</f>
        <v>-</v>
      </c>
      <c r="F8" s="342" t="str">
        <f>IFERROR(__xludf.DUMMYFUNCTION("""COMPUTED_VALUE"""),"-")</f>
        <v>-</v>
      </c>
      <c r="G8" s="342" t="str">
        <f>IFERROR(__xludf.DUMMYFUNCTION("""COMPUTED_VALUE"""),"-")</f>
        <v>-</v>
      </c>
      <c r="H8" s="342" t="str">
        <f>IFERROR(__xludf.DUMMYFUNCTION("""COMPUTED_VALUE"""),":")</f>
        <v>:</v>
      </c>
      <c r="I8" s="342" t="str">
        <f>IFERROR(__xludf.DUMMYFUNCTION("""COMPUTED_VALUE"""),"-")</f>
        <v>-</v>
      </c>
      <c r="J8" s="342" t="str">
        <f>IFERROR(__xludf.DUMMYFUNCTION("""COMPUTED_VALUE"""),"-")</f>
        <v>-</v>
      </c>
      <c r="K8" s="342" t="str">
        <f>IFERROR(__xludf.DUMMYFUNCTION("""COMPUTED_VALUE"""),"-")</f>
        <v>-</v>
      </c>
      <c r="L8" s="342" t="str">
        <f>IFERROR(__xludf.DUMMYFUNCTION("""COMPUTED_VALUE"""),"-")</f>
        <v>-</v>
      </c>
      <c r="M8" s="342" t="str">
        <f>IFERROR(__xludf.DUMMYFUNCTION("""COMPUTED_VALUE"""),"-")</f>
        <v>-</v>
      </c>
      <c r="N8" s="342">
        <f>IFERROR(__xludf.DUMMYFUNCTION("""COMPUTED_VALUE"""),14.0)</f>
        <v>14</v>
      </c>
      <c r="O8" s="342" t="str">
        <f>IFERROR(__xludf.DUMMYFUNCTION("""COMPUTED_VALUE"""),"Soft")</f>
        <v>Soft</v>
      </c>
      <c r="P8" s="342" t="str">
        <f>IFERROR(__xludf.DUMMYFUNCTION("""COMPUTED_VALUE"""),"R")</f>
        <v>R</v>
      </c>
      <c r="Q8" s="342" t="str">
        <f>IFERROR(__xludf.DUMMYFUNCTION("""COMPUTED_VALUE"""),"")</f>
        <v/>
      </c>
      <c r="R8" s="342" t="str">
        <f>IFERROR(__xludf.DUMMYFUNCTION("""COMPUTED_VALUE"""),"")</f>
        <v/>
      </c>
      <c r="S8" s="342" t="str">
        <f>IFERROR(__xludf.DUMMYFUNCTION("""COMPUTED_VALUE"""),"")</f>
        <v/>
      </c>
      <c r="T8" s="342"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43" t="str">
        <f>IFERROR(__xludf.DUMMYFUNCTION("""COMPUTED_VALUE"""),"3 - Undamaged")</f>
        <v>3 - Undamaged</v>
      </c>
      <c r="AG8" s="342" t="str">
        <f>IFERROR(__xludf.DUMMYFUNCTION("""COMPUTED_VALUE"""),"2 - Trivial")</f>
        <v>2 - Trivial</v>
      </c>
    </row>
    <row r="9">
      <c r="A9" s="342" t="str">
        <f>IFERROR(__xludf.DUMMYFUNCTION("""COMPUTED_VALUE"""),"Boiled Brigandine")</f>
        <v>Boiled Brigandine</v>
      </c>
      <c r="B9" s="342" t="str">
        <f>IFERROR(__xludf.DUMMYFUNCTION("""COMPUTED_VALUE"""),"5 - Munitions")</f>
        <v>5 - Munitions</v>
      </c>
      <c r="C9" s="342" t="str">
        <f>IFERROR(__xludf.DUMMYFUNCTION("""COMPUTED_VALUE"""),"Light Armor")</f>
        <v>Light Armor</v>
      </c>
      <c r="D9" s="342" t="str">
        <f>IFERROR(__xludf.DUMMYFUNCTION("""COMPUTED_VALUE"""),"Rawhide")</f>
        <v>Rawhide</v>
      </c>
      <c r="E9" s="342" t="str">
        <f>IFERROR(__xludf.DUMMYFUNCTION("""COMPUTED_VALUE"""),"-")</f>
        <v>-</v>
      </c>
      <c r="F9" s="342" t="str">
        <f>IFERROR(__xludf.DUMMYFUNCTION("""COMPUTED_VALUE"""),"-")</f>
        <v>-</v>
      </c>
      <c r="G9" s="342" t="str">
        <f>IFERROR(__xludf.DUMMYFUNCTION("""COMPUTED_VALUE"""),"-")</f>
        <v>-</v>
      </c>
      <c r="H9" s="342" t="str">
        <f>IFERROR(__xludf.DUMMYFUNCTION("""COMPUTED_VALUE"""),":")</f>
        <v>:</v>
      </c>
      <c r="I9" s="342" t="str">
        <f>IFERROR(__xludf.DUMMYFUNCTION("""COMPUTED_VALUE"""),"-")</f>
        <v>-</v>
      </c>
      <c r="J9" s="342" t="str">
        <f>IFERROR(__xludf.DUMMYFUNCTION("""COMPUTED_VALUE"""),"-")</f>
        <v>-</v>
      </c>
      <c r="K9" s="342" t="str">
        <f>IFERROR(__xludf.DUMMYFUNCTION("""COMPUTED_VALUE"""),"-")</f>
        <v>-</v>
      </c>
      <c r="L9" s="342" t="str">
        <f>IFERROR(__xludf.DUMMYFUNCTION("""COMPUTED_VALUE"""),"-")</f>
        <v>-</v>
      </c>
      <c r="M9" s="342" t="str">
        <f>IFERROR(__xludf.DUMMYFUNCTION("""COMPUTED_VALUE"""),"-")</f>
        <v>-</v>
      </c>
      <c r="N9" s="342">
        <f>IFERROR(__xludf.DUMMYFUNCTION("""COMPUTED_VALUE"""),15.0)</f>
        <v>15</v>
      </c>
      <c r="O9" s="342" t="str">
        <f>IFERROR(__xludf.DUMMYFUNCTION("""COMPUTED_VALUE"""),"Hard")</f>
        <v>Hard</v>
      </c>
      <c r="P9" s="342" t="str">
        <f>IFERROR(__xludf.DUMMYFUNCTION("""COMPUTED_VALUE"""),"R")</f>
        <v>R</v>
      </c>
      <c r="Q9" s="342" t="str">
        <f>IFERROR(__xludf.DUMMYFUNCTION("""COMPUTED_VALUE"""),"")</f>
        <v/>
      </c>
      <c r="R9" s="342" t="str">
        <f>IFERROR(__xludf.DUMMYFUNCTION("""COMPUTED_VALUE"""),"")</f>
        <v/>
      </c>
      <c r="S9" s="342" t="str">
        <f>IFERROR(__xludf.DUMMYFUNCTION("""COMPUTED_VALUE"""),"")</f>
        <v/>
      </c>
      <c r="T9" s="342"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43" t="str">
        <f>IFERROR(__xludf.DUMMYFUNCTION("""COMPUTED_VALUE"""),"3 - Undamaged")</f>
        <v>3 - Undamaged</v>
      </c>
      <c r="AG9" s="342" t="str">
        <f>IFERROR(__xludf.DUMMYFUNCTION("""COMPUTED_VALUE"""),"2 - Trivial")</f>
        <v>2 - Trivial</v>
      </c>
    </row>
    <row r="10">
      <c r="A10" s="342" t="str">
        <f>IFERROR(__xludf.DUMMYFUNCTION("""COMPUTED_VALUE"""),"Tortoise Curiass")</f>
        <v>Tortoise Curiass</v>
      </c>
      <c r="B10" s="342" t="str">
        <f>IFERROR(__xludf.DUMMYFUNCTION("""COMPUTED_VALUE"""),"5 - Munitions")</f>
        <v>5 - Munitions</v>
      </c>
      <c r="C10" s="342" t="str">
        <f>IFERROR(__xludf.DUMMYFUNCTION("""COMPUTED_VALUE"""),"Heavy Armor")</f>
        <v>Heavy Armor</v>
      </c>
      <c r="D10" s="342" t="str">
        <f>IFERROR(__xludf.DUMMYFUNCTION("""COMPUTED_VALUE"""),"Bone")</f>
        <v>Bone</v>
      </c>
      <c r="E10" s="342" t="str">
        <f>IFERROR(__xludf.DUMMYFUNCTION("""COMPUTED_VALUE"""),"-")</f>
        <v>-</v>
      </c>
      <c r="F10" s="342" t="str">
        <f>IFERROR(__xludf.DUMMYFUNCTION("""COMPUTED_VALUE"""),"-")</f>
        <v>-</v>
      </c>
      <c r="G10" s="342" t="str">
        <f>IFERROR(__xludf.DUMMYFUNCTION("""COMPUTED_VALUE"""),"-")</f>
        <v>-</v>
      </c>
      <c r="H10" s="342" t="str">
        <f>IFERROR(__xludf.DUMMYFUNCTION("""COMPUTED_VALUE"""),":")</f>
        <v>:</v>
      </c>
      <c r="I10" s="342" t="str">
        <f>IFERROR(__xludf.DUMMYFUNCTION("""COMPUTED_VALUE"""),"-")</f>
        <v>-</v>
      </c>
      <c r="J10" s="342" t="str">
        <f>IFERROR(__xludf.DUMMYFUNCTION("""COMPUTED_VALUE"""),"-")</f>
        <v>-</v>
      </c>
      <c r="K10" s="342" t="str">
        <f>IFERROR(__xludf.DUMMYFUNCTION("""COMPUTED_VALUE"""),"-")</f>
        <v>-</v>
      </c>
      <c r="L10" s="342" t="str">
        <f>IFERROR(__xludf.DUMMYFUNCTION("""COMPUTED_VALUE"""),"-")</f>
        <v>-</v>
      </c>
      <c r="M10" s="342" t="str">
        <f>IFERROR(__xludf.DUMMYFUNCTION("""COMPUTED_VALUE"""),"-")</f>
        <v>-</v>
      </c>
      <c r="N10" s="342">
        <f>IFERROR(__xludf.DUMMYFUNCTION("""COMPUTED_VALUE"""),34.0)</f>
        <v>34</v>
      </c>
      <c r="O10" s="342" t="str">
        <f>IFERROR(__xludf.DUMMYFUNCTION("""COMPUTED_VALUE"""),"Hard")</f>
        <v>Hard</v>
      </c>
      <c r="P10" s="342" t="str">
        <f>IFERROR(__xludf.DUMMYFUNCTION("""COMPUTED_VALUE"""),"")</f>
        <v/>
      </c>
      <c r="Q10" s="342" t="str">
        <f>IFERROR(__xludf.DUMMYFUNCTION("""COMPUTED_VALUE"""),"")</f>
        <v/>
      </c>
      <c r="R10" s="342" t="str">
        <f>IFERROR(__xludf.DUMMYFUNCTION("""COMPUTED_VALUE"""),"")</f>
        <v/>
      </c>
      <c r="S10" s="342" t="str">
        <f>IFERROR(__xludf.DUMMYFUNCTION("""COMPUTED_VALUE"""),"")</f>
        <v/>
      </c>
      <c r="T10" s="342"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43" t="str">
        <f>IFERROR(__xludf.DUMMYFUNCTION("""COMPUTED_VALUE"""),"3 - Undamaged")</f>
        <v>3 - Undamaged</v>
      </c>
      <c r="AG10" s="342" t="str">
        <f>IFERROR(__xludf.DUMMYFUNCTION("""COMPUTED_VALUE"""),"4 - Moderate")</f>
        <v>4 - Moderate</v>
      </c>
    </row>
    <row r="11">
      <c r="A11" s="342" t="str">
        <f>IFERROR(__xludf.DUMMYFUNCTION("""COMPUTED_VALUE""")," Full Chain Mail Shirt")</f>
        <v> Full Chain Mail Shirt</v>
      </c>
      <c r="B11" s="342" t="str">
        <f>IFERROR(__xludf.DUMMYFUNCTION("""COMPUTED_VALUE"""),"5 - Munitions")</f>
        <v>5 - Munitions</v>
      </c>
      <c r="C11" s="342" t="str">
        <f>IFERROR(__xludf.DUMMYFUNCTION("""COMPUTED_VALUE"""),"Light Armor")</f>
        <v>Light Armor</v>
      </c>
      <c r="D11" s="342" t="str">
        <f>IFERROR(__xludf.DUMMYFUNCTION("""COMPUTED_VALUE"""),"Steel")</f>
        <v>Steel</v>
      </c>
      <c r="E11" s="342" t="str">
        <f>IFERROR(__xludf.DUMMYFUNCTION("""COMPUTED_VALUE"""),"-")</f>
        <v>-</v>
      </c>
      <c r="F11" s="342" t="str">
        <f>IFERROR(__xludf.DUMMYFUNCTION("""COMPUTED_VALUE"""),"-")</f>
        <v>-</v>
      </c>
      <c r="G11" s="342" t="str">
        <f>IFERROR(__xludf.DUMMYFUNCTION("""COMPUTED_VALUE"""),"-")</f>
        <v>-</v>
      </c>
      <c r="H11" s="342" t="str">
        <f>IFERROR(__xludf.DUMMYFUNCTION("""COMPUTED_VALUE"""),":")</f>
        <v>:</v>
      </c>
      <c r="I11" s="342" t="str">
        <f>IFERROR(__xludf.DUMMYFUNCTION("""COMPUTED_VALUE"""),"-")</f>
        <v>-</v>
      </c>
      <c r="J11" s="342" t="str">
        <f>IFERROR(__xludf.DUMMYFUNCTION("""COMPUTED_VALUE"""),"-")</f>
        <v>-</v>
      </c>
      <c r="K11" s="342" t="str">
        <f>IFERROR(__xludf.DUMMYFUNCTION("""COMPUTED_VALUE"""),"-")</f>
        <v>-</v>
      </c>
      <c r="L11" s="342" t="str">
        <f>IFERROR(__xludf.DUMMYFUNCTION("""COMPUTED_VALUE"""),"-")</f>
        <v>-</v>
      </c>
      <c r="M11" s="342" t="str">
        <f>IFERROR(__xludf.DUMMYFUNCTION("""COMPUTED_VALUE"""),"-")</f>
        <v>-</v>
      </c>
      <c r="N11" s="342">
        <f>IFERROR(__xludf.DUMMYFUNCTION("""COMPUTED_VALUE"""),34.0)</f>
        <v>34</v>
      </c>
      <c r="O11" s="342" t="str">
        <f>IFERROR(__xludf.DUMMYFUNCTION("""COMPUTED_VALUE"""),"Hard")</f>
        <v>Hard</v>
      </c>
      <c r="P11" s="342" t="str">
        <f>IFERROR(__xludf.DUMMYFUNCTION("""COMPUTED_VALUE"""),"")</f>
        <v/>
      </c>
      <c r="Q11" s="342" t="str">
        <f>IFERROR(__xludf.DUMMYFUNCTION("""COMPUTED_VALUE"""),"")</f>
        <v/>
      </c>
      <c r="R11" s="342" t="str">
        <f>IFERROR(__xludf.DUMMYFUNCTION("""COMPUTED_VALUE"""),"")</f>
        <v/>
      </c>
      <c r="S11" s="342" t="str">
        <f>IFERROR(__xludf.DUMMYFUNCTION("""COMPUTED_VALUE"""),"")</f>
        <v/>
      </c>
      <c r="T11" s="342"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43" t="str">
        <f>IFERROR(__xludf.DUMMYFUNCTION("""COMPUTED_VALUE"""),"3 - Undamaged")</f>
        <v>3 - Undamaged</v>
      </c>
      <c r="AG11" s="342" t="str">
        <f>IFERROR(__xludf.DUMMYFUNCTION("""COMPUTED_VALUE"""),"6 - Hefty")</f>
        <v>6 - Hefty</v>
      </c>
    </row>
    <row r="12">
      <c r="A12" s="342" t="str">
        <f>IFERROR(__xludf.DUMMYFUNCTION("""COMPUTED_VALUE"""),"Heavy Silk Gambeson")</f>
        <v>Heavy Silk Gambeson</v>
      </c>
      <c r="B12" s="342" t="str">
        <f>IFERROR(__xludf.DUMMYFUNCTION("""COMPUTED_VALUE"""),"5 - Munitions")</f>
        <v>5 - Munitions</v>
      </c>
      <c r="C12" s="342" t="str">
        <f>IFERROR(__xludf.DUMMYFUNCTION("""COMPUTED_VALUE"""),"Heavy Armor")</f>
        <v>Heavy Armor</v>
      </c>
      <c r="D12" s="342" t="str">
        <f>IFERROR(__xludf.DUMMYFUNCTION("""COMPUTED_VALUE"""),"Silk")</f>
        <v>Silk</v>
      </c>
      <c r="E12" s="342" t="str">
        <f>IFERROR(__xludf.DUMMYFUNCTION("""COMPUTED_VALUE"""),"-")</f>
        <v>-</v>
      </c>
      <c r="F12" s="342" t="str">
        <f>IFERROR(__xludf.DUMMYFUNCTION("""COMPUTED_VALUE"""),"-")</f>
        <v>-</v>
      </c>
      <c r="G12" s="342" t="str">
        <f>IFERROR(__xludf.DUMMYFUNCTION("""COMPUTED_VALUE"""),"-")</f>
        <v>-</v>
      </c>
      <c r="H12" s="342" t="str">
        <f>IFERROR(__xludf.DUMMYFUNCTION("""COMPUTED_VALUE"""),":")</f>
        <v>:</v>
      </c>
      <c r="I12" s="342" t="str">
        <f>IFERROR(__xludf.DUMMYFUNCTION("""COMPUTED_VALUE"""),"-")</f>
        <v>-</v>
      </c>
      <c r="J12" s="342" t="str">
        <f>IFERROR(__xludf.DUMMYFUNCTION("""COMPUTED_VALUE"""),"-")</f>
        <v>-</v>
      </c>
      <c r="K12" s="342" t="str">
        <f>IFERROR(__xludf.DUMMYFUNCTION("""COMPUTED_VALUE"""),"-")</f>
        <v>-</v>
      </c>
      <c r="L12" s="342" t="str">
        <f>IFERROR(__xludf.DUMMYFUNCTION("""COMPUTED_VALUE"""),"-")</f>
        <v>-</v>
      </c>
      <c r="M12" s="342" t="str">
        <f>IFERROR(__xludf.DUMMYFUNCTION("""COMPUTED_VALUE"""),"-")</f>
        <v>-</v>
      </c>
      <c r="N12" s="342">
        <f>IFERROR(__xludf.DUMMYFUNCTION("""COMPUTED_VALUE"""),22.0)</f>
        <v>22</v>
      </c>
      <c r="O12" s="342" t="str">
        <f>IFERROR(__xludf.DUMMYFUNCTION("""COMPUTED_VALUE"""),"Soft")</f>
        <v>Soft</v>
      </c>
      <c r="P12" s="342" t="str">
        <f>IFERROR(__xludf.DUMMYFUNCTION("""COMPUTED_VALUE"""),"")</f>
        <v/>
      </c>
      <c r="Q12" s="342" t="str">
        <f>IFERROR(__xludf.DUMMYFUNCTION("""COMPUTED_VALUE"""),"")</f>
        <v/>
      </c>
      <c r="R12" s="342" t="str">
        <f>IFERROR(__xludf.DUMMYFUNCTION("""COMPUTED_VALUE"""),"")</f>
        <v/>
      </c>
      <c r="S12" s="342" t="str">
        <f>IFERROR(__xludf.DUMMYFUNCTION("""COMPUTED_VALUE"""),"")</f>
        <v/>
      </c>
      <c r="T12" s="342"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43" t="str">
        <f>IFERROR(__xludf.DUMMYFUNCTION("""COMPUTED_VALUE"""),"3 - Undamaged")</f>
        <v>3 - Undamaged</v>
      </c>
      <c r="AG12" s="342" t="str">
        <f>IFERROR(__xludf.DUMMYFUNCTION("""COMPUTED_VALUE"""),"4 - Moderate")</f>
        <v>4 - Moderate</v>
      </c>
    </row>
    <row r="13">
      <c r="A13" s="342" t="str">
        <f>IFERROR(__xludf.DUMMYFUNCTION("""COMPUTED_VALUE"""),"Armored Leather Skirt")</f>
        <v>Armored Leather Skirt</v>
      </c>
      <c r="B13" s="342" t="str">
        <f>IFERROR(__xludf.DUMMYFUNCTION("""COMPUTED_VALUE"""),"5 - Munitions")</f>
        <v>5 - Munitions</v>
      </c>
      <c r="C13" s="342" t="str">
        <f>IFERROR(__xludf.DUMMYFUNCTION("""COMPUTED_VALUE"""),"Light Armor")</f>
        <v>Light Armor</v>
      </c>
      <c r="D13" s="342" t="str">
        <f>IFERROR(__xludf.DUMMYFUNCTION("""COMPUTED_VALUE"""),"Leather")</f>
        <v>Leather</v>
      </c>
      <c r="E13" s="342" t="str">
        <f>IFERROR(__xludf.DUMMYFUNCTION("""COMPUTED_VALUE"""),"-")</f>
        <v>-</v>
      </c>
      <c r="F13" s="342" t="str">
        <f>IFERROR(__xludf.DUMMYFUNCTION("""COMPUTED_VALUE"""),"-")</f>
        <v>-</v>
      </c>
      <c r="G13" s="342" t="str">
        <f>IFERROR(__xludf.DUMMYFUNCTION("""COMPUTED_VALUE"""),"-")</f>
        <v>-</v>
      </c>
      <c r="H13" s="342" t="str">
        <f>IFERROR(__xludf.DUMMYFUNCTION("""COMPUTED_VALUE"""),":")</f>
        <v>:</v>
      </c>
      <c r="I13" s="342" t="str">
        <f>IFERROR(__xludf.DUMMYFUNCTION("""COMPUTED_VALUE"""),"-")</f>
        <v>-</v>
      </c>
      <c r="J13" s="342" t="str">
        <f>IFERROR(__xludf.DUMMYFUNCTION("""COMPUTED_VALUE"""),"-")</f>
        <v>-</v>
      </c>
      <c r="K13" s="342" t="str">
        <f>IFERROR(__xludf.DUMMYFUNCTION("""COMPUTED_VALUE"""),"-")</f>
        <v>-</v>
      </c>
      <c r="L13" s="342" t="str">
        <f>IFERROR(__xludf.DUMMYFUNCTION("""COMPUTED_VALUE"""),"-")</f>
        <v>-</v>
      </c>
      <c r="M13" s="342" t="str">
        <f>IFERROR(__xludf.DUMMYFUNCTION("""COMPUTED_VALUE"""),"-")</f>
        <v>-</v>
      </c>
      <c r="N13" s="342">
        <f>IFERROR(__xludf.DUMMYFUNCTION("""COMPUTED_VALUE"""),12.0)</f>
        <v>12</v>
      </c>
      <c r="O13" s="342" t="str">
        <f>IFERROR(__xludf.DUMMYFUNCTION("""COMPUTED_VALUE"""),"Soft")</f>
        <v>Soft</v>
      </c>
      <c r="P13" s="342" t="str">
        <f>IFERROR(__xludf.DUMMYFUNCTION("""COMPUTED_VALUE"""),"R")</f>
        <v>R</v>
      </c>
      <c r="Q13" s="342" t="str">
        <f>IFERROR(__xludf.DUMMYFUNCTION("""COMPUTED_VALUE"""),"")</f>
        <v/>
      </c>
      <c r="R13" s="342" t="str">
        <f>IFERROR(__xludf.DUMMYFUNCTION("""COMPUTED_VALUE"""),"")</f>
        <v/>
      </c>
      <c r="S13" s="342" t="str">
        <f>IFERROR(__xludf.DUMMYFUNCTION("""COMPUTED_VALUE"""),"")</f>
        <v/>
      </c>
      <c r="T13" s="342"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43" t="str">
        <f>IFERROR(__xludf.DUMMYFUNCTION("""COMPUTED_VALUE"""),"3 - Undamaged")</f>
        <v>3 - Undamaged</v>
      </c>
      <c r="AG13" s="342" t="str">
        <f>IFERROR(__xludf.DUMMYFUNCTION("""COMPUTED_VALUE"""),"1 - Featherlight")</f>
        <v>1 - Featherlight</v>
      </c>
    </row>
    <row r="14">
      <c r="A14" s="342" t="str">
        <f>IFERROR(__xludf.DUMMYFUNCTION("""COMPUTED_VALUE""")," Cloak")</f>
        <v> Cloak</v>
      </c>
      <c r="B14" s="342" t="str">
        <f>IFERROR(__xludf.DUMMYFUNCTION("""COMPUTED_VALUE"""),"5 - Munitions")</f>
        <v>5 - Munitions</v>
      </c>
      <c r="C14" s="342" t="str">
        <f>IFERROR(__xludf.DUMMYFUNCTION("""COMPUTED_VALUE"""),"Clothing")</f>
        <v>Clothing</v>
      </c>
      <c r="D14" s="342" t="str">
        <f>IFERROR(__xludf.DUMMYFUNCTION("""COMPUTED_VALUE"""),"Wool")</f>
        <v>Wool</v>
      </c>
      <c r="E14" s="342" t="str">
        <f>IFERROR(__xludf.DUMMYFUNCTION("""COMPUTED_VALUE"""),"-")</f>
        <v>-</v>
      </c>
      <c r="F14" s="342" t="str">
        <f>IFERROR(__xludf.DUMMYFUNCTION("""COMPUTED_VALUE"""),"-")</f>
        <v>-</v>
      </c>
      <c r="G14" s="342" t="str">
        <f>IFERROR(__xludf.DUMMYFUNCTION("""COMPUTED_VALUE"""),"-")</f>
        <v>-</v>
      </c>
      <c r="H14" s="342" t="str">
        <f>IFERROR(__xludf.DUMMYFUNCTION("""COMPUTED_VALUE"""),":")</f>
        <v>:</v>
      </c>
      <c r="I14" s="342" t="str">
        <f>IFERROR(__xludf.DUMMYFUNCTION("""COMPUTED_VALUE"""),"-")</f>
        <v>-</v>
      </c>
      <c r="J14" s="342" t="str">
        <f>IFERROR(__xludf.DUMMYFUNCTION("""COMPUTED_VALUE"""),"-")</f>
        <v>-</v>
      </c>
      <c r="K14" s="342" t="str">
        <f>IFERROR(__xludf.DUMMYFUNCTION("""COMPUTED_VALUE"""),"-")</f>
        <v>-</v>
      </c>
      <c r="L14" s="342" t="str">
        <f>IFERROR(__xludf.DUMMYFUNCTION("""COMPUTED_VALUE"""),"-")</f>
        <v>-</v>
      </c>
      <c r="M14" s="342" t="str">
        <f>IFERROR(__xludf.DUMMYFUNCTION("""COMPUTED_VALUE"""),"-")</f>
        <v>-</v>
      </c>
      <c r="N14" s="342">
        <f>IFERROR(__xludf.DUMMYFUNCTION("""COMPUTED_VALUE"""),1.0)</f>
        <v>1</v>
      </c>
      <c r="O14" s="342" t="str">
        <f>IFERROR(__xludf.DUMMYFUNCTION("""COMPUTED_VALUE"""),"Soft")</f>
        <v>Soft</v>
      </c>
      <c r="P14" s="342" t="str">
        <f>IFERROR(__xludf.DUMMYFUNCTION("""COMPUTED_VALUE"""),"R")</f>
        <v>R</v>
      </c>
      <c r="Q14" s="342" t="str">
        <f>IFERROR(__xludf.DUMMYFUNCTION("""COMPUTED_VALUE"""),"R")</f>
        <v>R</v>
      </c>
      <c r="R14" s="342" t="str">
        <f>IFERROR(__xludf.DUMMYFUNCTION("""COMPUTED_VALUE"""),"")</f>
        <v/>
      </c>
      <c r="S14" s="342" t="str">
        <f>IFERROR(__xludf.DUMMYFUNCTION("""COMPUTED_VALUE"""),"")</f>
        <v/>
      </c>
      <c r="T14" s="342"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43" t="str">
        <f>IFERROR(__xludf.DUMMYFUNCTION("""COMPUTED_VALUE"""),"3 - Undamaged")</f>
        <v>3 - Undamaged</v>
      </c>
      <c r="AG14" s="342" t="str">
        <f>IFERROR(__xludf.DUMMYFUNCTION("""COMPUTED_VALUE"""),"2 - Trivial")</f>
        <v>2 - Trivial</v>
      </c>
    </row>
    <row r="15">
      <c r="A15" s="342" t="str">
        <f>IFERROR(__xludf.DUMMYFUNCTION("""COMPUTED_VALUE""")," Gauntlet")</f>
        <v> Gauntlet</v>
      </c>
      <c r="B15" s="342" t="str">
        <f>IFERROR(__xludf.DUMMYFUNCTION("""COMPUTED_VALUE"""),"5 - Munitions")</f>
        <v>5 - Munitions</v>
      </c>
      <c r="C15" s="342" t="str">
        <f>IFERROR(__xludf.DUMMYFUNCTION("""COMPUTED_VALUE"""),"Light Armor")</f>
        <v>Light Armor</v>
      </c>
      <c r="D15" s="342" t="str">
        <f>IFERROR(__xludf.DUMMYFUNCTION("""COMPUTED_VALUE"""),"Steel")</f>
        <v>Steel</v>
      </c>
      <c r="E15" s="342" t="str">
        <f>IFERROR(__xludf.DUMMYFUNCTION("""COMPUTED_VALUE"""),"-")</f>
        <v>-</v>
      </c>
      <c r="F15" s="342" t="str">
        <f>IFERROR(__xludf.DUMMYFUNCTION("""COMPUTED_VALUE"""),"-")</f>
        <v>-</v>
      </c>
      <c r="G15" s="342" t="str">
        <f>IFERROR(__xludf.DUMMYFUNCTION("""COMPUTED_VALUE"""),"-")</f>
        <v>-</v>
      </c>
      <c r="H15" s="342" t="str">
        <f>IFERROR(__xludf.DUMMYFUNCTION("""COMPUTED_VALUE"""),":")</f>
        <v>:</v>
      </c>
      <c r="I15" s="342" t="str">
        <f>IFERROR(__xludf.DUMMYFUNCTION("""COMPUTED_VALUE"""),"-")</f>
        <v>-</v>
      </c>
      <c r="J15" s="342" t="str">
        <f>IFERROR(__xludf.DUMMYFUNCTION("""COMPUTED_VALUE"""),"-")</f>
        <v>-</v>
      </c>
      <c r="K15" s="342" t="str">
        <f>IFERROR(__xludf.DUMMYFUNCTION("""COMPUTED_VALUE"""),"-")</f>
        <v>-</v>
      </c>
      <c r="L15" s="342" t="str">
        <f>IFERROR(__xludf.DUMMYFUNCTION("""COMPUTED_VALUE"""),"-")</f>
        <v>-</v>
      </c>
      <c r="M15" s="342" t="str">
        <f>IFERROR(__xludf.DUMMYFUNCTION("""COMPUTED_VALUE"""),"-")</f>
        <v>-</v>
      </c>
      <c r="N15" s="342">
        <f>IFERROR(__xludf.DUMMYFUNCTION("""COMPUTED_VALUE"""),34.0)</f>
        <v>34</v>
      </c>
      <c r="O15" s="342" t="str">
        <f>IFERROR(__xludf.DUMMYFUNCTION("""COMPUTED_VALUE"""),"Hard")</f>
        <v>Hard</v>
      </c>
      <c r="P15" s="342" t="str">
        <f>IFERROR(__xludf.DUMMYFUNCTION("""COMPUTED_VALUE"""),"")</f>
        <v/>
      </c>
      <c r="Q15" s="342" t="str">
        <f>IFERROR(__xludf.DUMMYFUNCTION("""COMPUTED_VALUE"""),"")</f>
        <v/>
      </c>
      <c r="R15" s="342" t="str">
        <f>IFERROR(__xludf.DUMMYFUNCTION("""COMPUTED_VALUE"""),"")</f>
        <v/>
      </c>
      <c r="S15" s="342" t="str">
        <f>IFERROR(__xludf.DUMMYFUNCTION("""COMPUTED_VALUE"""),"")</f>
        <v/>
      </c>
      <c r="T15" s="342"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43" t="str">
        <f>IFERROR(__xludf.DUMMYFUNCTION("""COMPUTED_VALUE"""),"3 - Undamaged")</f>
        <v>3 - Undamaged</v>
      </c>
      <c r="AG15" s="342" t="str">
        <f>IFERROR(__xludf.DUMMYFUNCTION("""COMPUTED_VALUE"""),"4 - Moderate")</f>
        <v>4 - Moderate</v>
      </c>
    </row>
    <row r="16">
      <c r="A16" s="342" t="str">
        <f>IFERROR(__xludf.DUMMYFUNCTION("""COMPUTED_VALUE"""),"Armored Leather Long Boot")</f>
        <v>Armored Leather Long Boot</v>
      </c>
      <c r="B16" s="342" t="str">
        <f>IFERROR(__xludf.DUMMYFUNCTION("""COMPUTED_VALUE"""),"5 - Munitions")</f>
        <v>5 - Munitions</v>
      </c>
      <c r="C16" s="342" t="str">
        <f>IFERROR(__xludf.DUMMYFUNCTION("""COMPUTED_VALUE"""),"Light Armor")</f>
        <v>Light Armor</v>
      </c>
      <c r="D16" s="342" t="str">
        <f>IFERROR(__xludf.DUMMYFUNCTION("""COMPUTED_VALUE"""),"Leather")</f>
        <v>Leather</v>
      </c>
      <c r="E16" s="342" t="str">
        <f>IFERROR(__xludf.DUMMYFUNCTION("""COMPUTED_VALUE"""),"-")</f>
        <v>-</v>
      </c>
      <c r="F16" s="342" t="str">
        <f>IFERROR(__xludf.DUMMYFUNCTION("""COMPUTED_VALUE"""),"-")</f>
        <v>-</v>
      </c>
      <c r="G16" s="342" t="str">
        <f>IFERROR(__xludf.DUMMYFUNCTION("""COMPUTED_VALUE"""),"-")</f>
        <v>-</v>
      </c>
      <c r="H16" s="342" t="str">
        <f>IFERROR(__xludf.DUMMYFUNCTION("""COMPUTED_VALUE"""),":")</f>
        <v>:</v>
      </c>
      <c r="I16" s="342" t="str">
        <f>IFERROR(__xludf.DUMMYFUNCTION("""COMPUTED_VALUE"""),"-")</f>
        <v>-</v>
      </c>
      <c r="J16" s="342" t="str">
        <f>IFERROR(__xludf.DUMMYFUNCTION("""COMPUTED_VALUE"""),"-")</f>
        <v>-</v>
      </c>
      <c r="K16" s="342" t="str">
        <f>IFERROR(__xludf.DUMMYFUNCTION("""COMPUTED_VALUE"""),"-")</f>
        <v>-</v>
      </c>
      <c r="L16" s="342" t="str">
        <f>IFERROR(__xludf.DUMMYFUNCTION("""COMPUTED_VALUE"""),"-")</f>
        <v>-</v>
      </c>
      <c r="M16" s="342" t="str">
        <f>IFERROR(__xludf.DUMMYFUNCTION("""COMPUTED_VALUE"""),"-")</f>
        <v>-</v>
      </c>
      <c r="N16" s="342">
        <f>IFERROR(__xludf.DUMMYFUNCTION("""COMPUTED_VALUE"""),12.0)</f>
        <v>12</v>
      </c>
      <c r="O16" s="342" t="str">
        <f>IFERROR(__xludf.DUMMYFUNCTION("""COMPUTED_VALUE"""),"Soft")</f>
        <v>Soft</v>
      </c>
      <c r="P16" s="342" t="str">
        <f>IFERROR(__xludf.DUMMYFUNCTION("""COMPUTED_VALUE"""),"R")</f>
        <v>R</v>
      </c>
      <c r="Q16" s="342" t="str">
        <f>IFERROR(__xludf.DUMMYFUNCTION("""COMPUTED_VALUE"""),"")</f>
        <v/>
      </c>
      <c r="R16" s="342" t="str">
        <f>IFERROR(__xludf.DUMMYFUNCTION("""COMPUTED_VALUE"""),"")</f>
        <v/>
      </c>
      <c r="S16" s="342" t="str">
        <f>IFERROR(__xludf.DUMMYFUNCTION("""COMPUTED_VALUE"""),"")</f>
        <v/>
      </c>
      <c r="T16" s="342"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43" t="str">
        <f>IFERROR(__xludf.DUMMYFUNCTION("""COMPUTED_VALUE"""),"3 - Undamaged")</f>
        <v>3 - Undamaged</v>
      </c>
      <c r="AG16" s="342" t="str">
        <f>IFERROR(__xludf.DUMMYFUNCTION("""COMPUTED_VALUE"""),"2 - Trivial")</f>
        <v>2 - Trivial</v>
      </c>
    </row>
    <row r="17">
      <c r="A17" s="342" t="str">
        <f>IFERROR(__xludf.DUMMYFUNCTION("""COMPUTED_VALUE"""),"Fishnet Leggings")</f>
        <v>Fishnet Leggings</v>
      </c>
      <c r="B17" s="342" t="str">
        <f>IFERROR(__xludf.DUMMYFUNCTION("""COMPUTED_VALUE"""),"5 - Munitions")</f>
        <v>5 - Munitions</v>
      </c>
      <c r="C17" s="342" t="str">
        <f>IFERROR(__xludf.DUMMYFUNCTION("""COMPUTED_VALUE"""),"Clothing")</f>
        <v>Clothing</v>
      </c>
      <c r="D17" s="342" t="str">
        <f>IFERROR(__xludf.DUMMYFUNCTION("""COMPUTED_VALUE"""),"Cotton")</f>
        <v>Cotton</v>
      </c>
      <c r="E17" s="342" t="str">
        <f>IFERROR(__xludf.DUMMYFUNCTION("""COMPUTED_VALUE"""),"-")</f>
        <v>-</v>
      </c>
      <c r="F17" s="342" t="str">
        <f>IFERROR(__xludf.DUMMYFUNCTION("""COMPUTED_VALUE"""),"-")</f>
        <v>-</v>
      </c>
      <c r="G17" s="342" t="str">
        <f>IFERROR(__xludf.DUMMYFUNCTION("""COMPUTED_VALUE"""),"-")</f>
        <v>-</v>
      </c>
      <c r="H17" s="342" t="str">
        <f>IFERROR(__xludf.DUMMYFUNCTION("""COMPUTED_VALUE"""),":")</f>
        <v>:</v>
      </c>
      <c r="I17" s="342" t="str">
        <f>IFERROR(__xludf.DUMMYFUNCTION("""COMPUTED_VALUE"""),"-")</f>
        <v>-</v>
      </c>
      <c r="J17" s="342" t="str">
        <f>IFERROR(__xludf.DUMMYFUNCTION("""COMPUTED_VALUE"""),"-")</f>
        <v>-</v>
      </c>
      <c r="K17" s="342" t="str">
        <f>IFERROR(__xludf.DUMMYFUNCTION("""COMPUTED_VALUE"""),"-")</f>
        <v>-</v>
      </c>
      <c r="L17" s="342" t="str">
        <f>IFERROR(__xludf.DUMMYFUNCTION("""COMPUTED_VALUE"""),"-")</f>
        <v>-</v>
      </c>
      <c r="M17" s="342" t="str">
        <f>IFERROR(__xludf.DUMMYFUNCTION("""COMPUTED_VALUE"""),"-")</f>
        <v>-</v>
      </c>
      <c r="N17" s="342">
        <f>IFERROR(__xludf.DUMMYFUNCTION("""COMPUTED_VALUE"""),2.0)</f>
        <v>2</v>
      </c>
      <c r="O17" s="342" t="str">
        <f>IFERROR(__xludf.DUMMYFUNCTION("""COMPUTED_VALUE"""),"Soft")</f>
        <v>Soft</v>
      </c>
      <c r="P17" s="342" t="str">
        <f>IFERROR(__xludf.DUMMYFUNCTION("""COMPUTED_VALUE"""),"")</f>
        <v/>
      </c>
      <c r="R17" s="342" t="str">
        <f>IFERROR(__xludf.DUMMYFUNCTION("""COMPUTED_VALUE"""),"")</f>
        <v/>
      </c>
      <c r="S17" s="342" t="str">
        <f>IFERROR(__xludf.DUMMYFUNCTION("""COMPUTED_VALUE"""),"")</f>
        <v/>
      </c>
      <c r="T17" s="342"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43" t="str">
        <f>IFERROR(__xludf.DUMMYFUNCTION("""COMPUTED_VALUE"""),"3 - Undamaged")</f>
        <v>3 - Undamaged</v>
      </c>
      <c r="AG17" s="342" t="str">
        <f>IFERROR(__xludf.DUMMYFUNCTION("""COMPUTED_VALUE"""),"1 - Featherlight")</f>
        <v>1 - Featherlight</v>
      </c>
    </row>
    <row r="18">
      <c r="A18" s="342" t="str">
        <f>IFERROR(__xludf.DUMMYFUNCTION("""COMPUTED_VALUE"""),"Leather Boot")</f>
        <v>Leather Boot</v>
      </c>
      <c r="B18" s="342" t="str">
        <f>IFERROR(__xludf.DUMMYFUNCTION("""COMPUTED_VALUE"""),"5 - Munitions")</f>
        <v>5 - Munitions</v>
      </c>
      <c r="C18" s="342" t="str">
        <f>IFERROR(__xludf.DUMMYFUNCTION("""COMPUTED_VALUE"""),"Clothing")</f>
        <v>Clothing</v>
      </c>
      <c r="D18" s="342" t="str">
        <f>IFERROR(__xludf.DUMMYFUNCTION("""COMPUTED_VALUE"""),"Leather")</f>
        <v>Leather</v>
      </c>
      <c r="E18" s="342" t="str">
        <f>IFERROR(__xludf.DUMMYFUNCTION("""COMPUTED_VALUE"""),"-")</f>
        <v>-</v>
      </c>
      <c r="F18" s="342" t="str">
        <f>IFERROR(__xludf.DUMMYFUNCTION("""COMPUTED_VALUE"""),"-")</f>
        <v>-</v>
      </c>
      <c r="G18" s="342" t="str">
        <f>IFERROR(__xludf.DUMMYFUNCTION("""COMPUTED_VALUE"""),"-")</f>
        <v>-</v>
      </c>
      <c r="H18" s="342" t="str">
        <f>IFERROR(__xludf.DUMMYFUNCTION("""COMPUTED_VALUE"""),":")</f>
        <v>:</v>
      </c>
      <c r="I18" s="342" t="str">
        <f>IFERROR(__xludf.DUMMYFUNCTION("""COMPUTED_VALUE"""),"-")</f>
        <v>-</v>
      </c>
      <c r="J18" s="342" t="str">
        <f>IFERROR(__xludf.DUMMYFUNCTION("""COMPUTED_VALUE"""),"-")</f>
        <v>-</v>
      </c>
      <c r="K18" s="342" t="str">
        <f>IFERROR(__xludf.DUMMYFUNCTION("""COMPUTED_VALUE"""),"-")</f>
        <v>-</v>
      </c>
      <c r="L18" s="342" t="str">
        <f>IFERROR(__xludf.DUMMYFUNCTION("""COMPUTED_VALUE"""),"-")</f>
        <v>-</v>
      </c>
      <c r="M18" s="342" t="str">
        <f>IFERROR(__xludf.DUMMYFUNCTION("""COMPUTED_VALUE"""),"-")</f>
        <v>-</v>
      </c>
      <c r="N18" s="342">
        <f>IFERROR(__xludf.DUMMYFUNCTION("""COMPUTED_VALUE"""),8.0)</f>
        <v>8</v>
      </c>
      <c r="O18" s="342" t="str">
        <f>IFERROR(__xludf.DUMMYFUNCTION("""COMPUTED_VALUE"""),"Soft")</f>
        <v>Soft</v>
      </c>
      <c r="P18" s="342" t="str">
        <f>IFERROR(__xludf.DUMMYFUNCTION("""COMPUTED_VALUE"""),"R")</f>
        <v>R</v>
      </c>
      <c r="Q18" s="342" t="str">
        <f>IFERROR(__xludf.DUMMYFUNCTION("""COMPUTED_VALUE"""),"")</f>
        <v/>
      </c>
      <c r="R18" s="342" t="str">
        <f>IFERROR(__xludf.DUMMYFUNCTION("""COMPUTED_VALUE"""),"")</f>
        <v/>
      </c>
      <c r="S18" s="342" t="str">
        <f>IFERROR(__xludf.DUMMYFUNCTION("""COMPUTED_VALUE"""),"")</f>
        <v/>
      </c>
      <c r="T18" s="342"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43" t="str">
        <f>IFERROR(__xludf.DUMMYFUNCTION("""COMPUTED_VALUE"""),"3 - Undamaged")</f>
        <v>3 - Undamaged</v>
      </c>
      <c r="AG18" s="342" t="str">
        <f>IFERROR(__xludf.DUMMYFUNCTION("""COMPUTED_VALUE"""),"1 - Featherlight")</f>
        <v>1 - Featherlight</v>
      </c>
    </row>
    <row r="19">
      <c r="A19" s="342" t="str">
        <f>IFERROR(__xludf.DUMMYFUNCTION("""COMPUTED_VALUE"""),"Baseball Bat")</f>
        <v>Baseball Bat</v>
      </c>
      <c r="B19" s="342" t="str">
        <f>IFERROR(__xludf.DUMMYFUNCTION("""COMPUTED_VALUE"""),"5 - Munitions")</f>
        <v>5 - Munitions</v>
      </c>
      <c r="C19" s="342" t="str">
        <f>IFERROR(__xludf.DUMMYFUNCTION("""COMPUTED_VALUE"""),"Two-Handed Weapon")</f>
        <v>Two-Handed Weapon</v>
      </c>
      <c r="D19" s="342" t="str">
        <f>IFERROR(__xludf.DUMMYFUNCTION("""COMPUTED_VALUE"""),"Wood")</f>
        <v>Wood</v>
      </c>
      <c r="E19" s="342" t="str">
        <f>IFERROR(__xludf.DUMMYFUNCTION("""COMPUTED_VALUE"""),"-")</f>
        <v>-</v>
      </c>
      <c r="F19" s="342" t="str">
        <f>IFERROR(__xludf.DUMMYFUNCTION("""COMPUTED_VALUE"""),"25")</f>
        <v>25</v>
      </c>
      <c r="G19" s="342" t="str">
        <f>IFERROR(__xludf.DUMMYFUNCTION("""COMPUTED_VALUE"""),"-")</f>
        <v>-</v>
      </c>
      <c r="H19" s="342" t="str">
        <f>IFERROR(__xludf.DUMMYFUNCTION("""COMPUTED_VALUE"""),":")</f>
        <v>:</v>
      </c>
      <c r="I19" s="342" t="str">
        <f>IFERROR(__xludf.DUMMYFUNCTION("""COMPUTED_VALUE"""),"-")</f>
        <v>-</v>
      </c>
      <c r="J19" s="342" t="str">
        <f>IFERROR(__xludf.DUMMYFUNCTION("""COMPUTED_VALUE"""),"-")</f>
        <v>-</v>
      </c>
      <c r="K19" s="342" t="str">
        <f>IFERROR(__xludf.DUMMYFUNCTION("""COMPUTED_VALUE"""),"-")</f>
        <v>-</v>
      </c>
      <c r="L19" s="342" t="str">
        <f>IFERROR(__xludf.DUMMYFUNCTION("""COMPUTED_VALUE"""),"-")</f>
        <v>-</v>
      </c>
      <c r="M19" s="342" t="str">
        <f>IFERROR(__xludf.DUMMYFUNCTION("""COMPUTED_VALUE"""),"-")</f>
        <v>-</v>
      </c>
      <c r="N19" s="342" t="str">
        <f>IFERROR(__xludf.DUMMYFUNCTION("""COMPUTED_VALUE"""),"25")</f>
        <v>25</v>
      </c>
      <c r="O19" s="342" t="str">
        <f>IFERROR(__xludf.DUMMYFUNCTION("""COMPUTED_VALUE"""),"Hard")</f>
        <v>Hard</v>
      </c>
      <c r="T19" s="342"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43" t="str">
        <f>IFERROR(__xludf.DUMMYFUNCTION("""COMPUTED_VALUE"""),"3 - Undamaged")</f>
        <v>3 - Undamaged</v>
      </c>
      <c r="AG19" s="342" t="str">
        <f>IFERROR(__xludf.DUMMYFUNCTION("""COMPUTED_VALUE"""),"1 - Featherlight")</f>
        <v>1 - Featherlight</v>
      </c>
    </row>
    <row r="20">
      <c r="A20" s="342" t="str">
        <f>IFERROR(__xludf.DUMMYFUNCTION("""COMPUTED_VALUE"""),"Baseball Uniform")</f>
        <v>Baseball Uniform</v>
      </c>
      <c r="B20" s="342" t="str">
        <f>IFERROR(__xludf.DUMMYFUNCTION("""COMPUTED_VALUE"""),"5 - Munitions")</f>
        <v>5 - Munitions</v>
      </c>
      <c r="C20" s="342" t="str">
        <f>IFERROR(__xludf.DUMMYFUNCTION("""COMPUTED_VALUE"""),"Clothing")</f>
        <v>Clothing</v>
      </c>
      <c r="D20" s="342" t="str">
        <f>IFERROR(__xludf.DUMMYFUNCTION("""COMPUTED_VALUE"""),"Cotton")</f>
        <v>Cotton</v>
      </c>
      <c r="E20" s="342" t="str">
        <f>IFERROR(__xludf.DUMMYFUNCTION("""COMPUTED_VALUE"""),"-")</f>
        <v>-</v>
      </c>
      <c r="F20" s="342" t="str">
        <f>IFERROR(__xludf.DUMMYFUNCTION("""COMPUTED_VALUE"""),"-")</f>
        <v>-</v>
      </c>
      <c r="G20" s="342" t="str">
        <f>IFERROR(__xludf.DUMMYFUNCTION("""COMPUTED_VALUE"""),"-")</f>
        <v>-</v>
      </c>
      <c r="H20" s="342" t="str">
        <f>IFERROR(__xludf.DUMMYFUNCTION("""COMPUTED_VALUE"""),":")</f>
        <v>:</v>
      </c>
      <c r="I20" s="342" t="str">
        <f>IFERROR(__xludf.DUMMYFUNCTION("""COMPUTED_VALUE"""),"-")</f>
        <v>-</v>
      </c>
      <c r="J20" s="342" t="str">
        <f>IFERROR(__xludf.DUMMYFUNCTION("""COMPUTED_VALUE"""),"-")</f>
        <v>-</v>
      </c>
      <c r="K20" s="342" t="str">
        <f>IFERROR(__xludf.DUMMYFUNCTION("""COMPUTED_VALUE"""),"-")</f>
        <v>-</v>
      </c>
      <c r="L20" s="342" t="str">
        <f>IFERROR(__xludf.DUMMYFUNCTION("""COMPUTED_VALUE"""),"-")</f>
        <v>-</v>
      </c>
      <c r="M20" s="342" t="str">
        <f>IFERROR(__xludf.DUMMYFUNCTION("""COMPUTED_VALUE"""),"-")</f>
        <v>-</v>
      </c>
      <c r="N20" s="342" t="str">
        <f>IFERROR(__xludf.DUMMYFUNCTION("""COMPUTED_VALUE"""),"2")</f>
        <v>2</v>
      </c>
      <c r="O20" s="342" t="str">
        <f>IFERROR(__xludf.DUMMYFUNCTION("""COMPUTED_VALUE"""),"Soft")</f>
        <v>Soft</v>
      </c>
      <c r="Q20" s="342"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43" t="str">
        <f>IFERROR(__xludf.DUMMYFUNCTION("""COMPUTED_VALUE"""),"3 - Undamaged")</f>
        <v>3 - Undamaged</v>
      </c>
      <c r="AG20" s="342" t="str">
        <f>IFERROR(__xludf.DUMMYFUNCTION("""COMPUTED_VALUE"""),"1 - Featherlight")</f>
        <v>1 - Featherlight</v>
      </c>
    </row>
    <row r="21">
      <c r="A21" s="342" t="str">
        <f>IFERROR(__xludf.DUMMYFUNCTION("""COMPUTED_VALUE"""),"Baseball Cap")</f>
        <v>Baseball Cap</v>
      </c>
      <c r="B21" s="342" t="str">
        <f>IFERROR(__xludf.DUMMYFUNCTION("""COMPUTED_VALUE"""),"5 - Munitions")</f>
        <v>5 - Munitions</v>
      </c>
      <c r="C21" s="342" t="str">
        <f>IFERROR(__xludf.DUMMYFUNCTION("""COMPUTED_VALUE"""),"Light Armor")</f>
        <v>Light Armor</v>
      </c>
      <c r="D21" s="342" t="str">
        <f>IFERROR(__xludf.DUMMYFUNCTION("""COMPUTED_VALUE"""),"Leather")</f>
        <v>Leather</v>
      </c>
      <c r="E21" s="342" t="str">
        <f>IFERROR(__xludf.DUMMYFUNCTION("""COMPUTED_VALUE"""),"-")</f>
        <v>-</v>
      </c>
      <c r="F21" s="342" t="str">
        <f>IFERROR(__xludf.DUMMYFUNCTION("""COMPUTED_VALUE"""),"-")</f>
        <v>-</v>
      </c>
      <c r="G21" s="342" t="str">
        <f>IFERROR(__xludf.DUMMYFUNCTION("""COMPUTED_VALUE"""),"-")</f>
        <v>-</v>
      </c>
      <c r="H21" s="342" t="str">
        <f>IFERROR(__xludf.DUMMYFUNCTION("""COMPUTED_VALUE"""),":")</f>
        <v>:</v>
      </c>
      <c r="I21" s="342" t="str">
        <f>IFERROR(__xludf.DUMMYFUNCTION("""COMPUTED_VALUE"""),"-")</f>
        <v>-</v>
      </c>
      <c r="J21" s="342" t="str">
        <f>IFERROR(__xludf.DUMMYFUNCTION("""COMPUTED_VALUE"""),"-")</f>
        <v>-</v>
      </c>
      <c r="K21" s="342" t="str">
        <f>IFERROR(__xludf.DUMMYFUNCTION("""COMPUTED_VALUE"""),"-")</f>
        <v>-</v>
      </c>
      <c r="L21" s="342" t="str">
        <f>IFERROR(__xludf.DUMMYFUNCTION("""COMPUTED_VALUE"""),"-")</f>
        <v>-</v>
      </c>
      <c r="M21" s="342" t="str">
        <f>IFERROR(__xludf.DUMMYFUNCTION("""COMPUTED_VALUE"""),"-")</f>
        <v>-</v>
      </c>
      <c r="N21" s="342" t="str">
        <f>IFERROR(__xludf.DUMMYFUNCTION("""COMPUTED_VALUE"""),"8")</f>
        <v>8</v>
      </c>
      <c r="O21" s="342" t="str">
        <f>IFERROR(__xludf.DUMMYFUNCTION("""COMPUTED_VALUE"""),"Soft")</f>
        <v>Soft</v>
      </c>
      <c r="P21" s="342" t="str">
        <f>IFERROR(__xludf.DUMMYFUNCTION("""COMPUTED_VALUE"""),"R")</f>
        <v>R</v>
      </c>
      <c r="T21" s="342"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43" t="str">
        <f>IFERROR(__xludf.DUMMYFUNCTION("""COMPUTED_VALUE"""),"3 - Undamaged")</f>
        <v>3 - Undamaged</v>
      </c>
      <c r="AG21" s="342" t="str">
        <f>IFERROR(__xludf.DUMMYFUNCTION("""COMPUTED_VALUE"""),"1 - Featherlight")</f>
        <v>1 - Featherlight</v>
      </c>
    </row>
    <row r="22">
      <c r="A22" s="342" t="str">
        <f>IFERROR(__xludf.DUMMYFUNCTION("""COMPUTED_VALUE"""),"Coveralls")</f>
        <v>Coveralls</v>
      </c>
      <c r="B22" s="342" t="str">
        <f>IFERROR(__xludf.DUMMYFUNCTION("""COMPUTED_VALUE"""),"5 - Munitions")</f>
        <v>5 - Munitions</v>
      </c>
      <c r="C22" s="342" t="str">
        <f>IFERROR(__xludf.DUMMYFUNCTION("""COMPUTED_VALUE"""),"Clothing")</f>
        <v>Clothing</v>
      </c>
      <c r="D22" s="342" t="str">
        <f>IFERROR(__xludf.DUMMYFUNCTION("""COMPUTED_VALUE"""),"Cotton")</f>
        <v>Cotton</v>
      </c>
      <c r="E22" s="342" t="str">
        <f>IFERROR(__xludf.DUMMYFUNCTION("""COMPUTED_VALUE"""),"-")</f>
        <v>-</v>
      </c>
      <c r="F22" s="342" t="str">
        <f>IFERROR(__xludf.DUMMYFUNCTION("""COMPUTED_VALUE"""),"-")</f>
        <v>-</v>
      </c>
      <c r="G22" s="342" t="str">
        <f>IFERROR(__xludf.DUMMYFUNCTION("""COMPUTED_VALUE"""),"-")</f>
        <v>-</v>
      </c>
      <c r="H22" s="342" t="str">
        <f>IFERROR(__xludf.DUMMYFUNCTION("""COMPUTED_VALUE"""),":")</f>
        <v>:</v>
      </c>
      <c r="I22" s="342" t="str">
        <f>IFERROR(__xludf.DUMMYFUNCTION("""COMPUTED_VALUE"""),"-")</f>
        <v>-</v>
      </c>
      <c r="J22" s="342" t="str">
        <f>IFERROR(__xludf.DUMMYFUNCTION("""COMPUTED_VALUE"""),"-")</f>
        <v>-</v>
      </c>
      <c r="K22" s="342" t="str">
        <f>IFERROR(__xludf.DUMMYFUNCTION("""COMPUTED_VALUE"""),"-")</f>
        <v>-</v>
      </c>
      <c r="L22" s="342" t="str">
        <f>IFERROR(__xludf.DUMMYFUNCTION("""COMPUTED_VALUE"""),"-")</f>
        <v>-</v>
      </c>
      <c r="M22" s="342" t="str">
        <f>IFERROR(__xludf.DUMMYFUNCTION("""COMPUTED_VALUE"""),"-")</f>
        <v>-</v>
      </c>
      <c r="N22" s="342" t="str">
        <f>IFERROR(__xludf.DUMMYFUNCTION("""COMPUTED_VALUE"""),"2")</f>
        <v>2</v>
      </c>
      <c r="O22" s="342" t="str">
        <f>IFERROR(__xludf.DUMMYFUNCTION("""COMPUTED_VALUE"""),"Soft")</f>
        <v>Soft</v>
      </c>
      <c r="Q22" s="342"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43" t="str">
        <f>IFERROR(__xludf.DUMMYFUNCTION("""COMPUTED_VALUE"""),"3 - Undamaged")</f>
        <v>3 - Undamaged</v>
      </c>
      <c r="AG22" s="342" t="str">
        <f>IFERROR(__xludf.DUMMYFUNCTION("""COMPUTED_VALUE"""),"1 - Featherlight")</f>
        <v>1 - Featherlight</v>
      </c>
    </row>
    <row r="23">
      <c r="A23" s="342" t="str">
        <f>IFERROR(__xludf.DUMMYFUNCTION("""COMPUTED_VALUE"""),"T-shirt")</f>
        <v>T-shirt</v>
      </c>
      <c r="B23" s="342" t="str">
        <f>IFERROR(__xludf.DUMMYFUNCTION("""COMPUTED_VALUE"""),"5 - Munitions")</f>
        <v>5 - Munitions</v>
      </c>
      <c r="C23" s="342" t="str">
        <f>IFERROR(__xludf.DUMMYFUNCTION("""COMPUTED_VALUE"""),"Clothing")</f>
        <v>Clothing</v>
      </c>
      <c r="D23" s="342" t="str">
        <f>IFERROR(__xludf.DUMMYFUNCTION("""COMPUTED_VALUE"""),"Cotton")</f>
        <v>Cotton</v>
      </c>
      <c r="E23" s="342" t="str">
        <f>IFERROR(__xludf.DUMMYFUNCTION("""COMPUTED_VALUE"""),"-")</f>
        <v>-</v>
      </c>
      <c r="F23" s="342" t="str">
        <f>IFERROR(__xludf.DUMMYFUNCTION("""COMPUTED_VALUE"""),"-")</f>
        <v>-</v>
      </c>
      <c r="G23" s="342" t="str">
        <f>IFERROR(__xludf.DUMMYFUNCTION("""COMPUTED_VALUE"""),"-")</f>
        <v>-</v>
      </c>
      <c r="H23" s="342" t="str">
        <f>IFERROR(__xludf.DUMMYFUNCTION("""COMPUTED_VALUE"""),":")</f>
        <v>:</v>
      </c>
      <c r="I23" s="342" t="str">
        <f>IFERROR(__xludf.DUMMYFUNCTION("""COMPUTED_VALUE"""),"-")</f>
        <v>-</v>
      </c>
      <c r="J23" s="342" t="str">
        <f>IFERROR(__xludf.DUMMYFUNCTION("""COMPUTED_VALUE"""),"-")</f>
        <v>-</v>
      </c>
      <c r="K23" s="342" t="str">
        <f>IFERROR(__xludf.DUMMYFUNCTION("""COMPUTED_VALUE"""),"-")</f>
        <v>-</v>
      </c>
      <c r="L23" s="342" t="str">
        <f>IFERROR(__xludf.DUMMYFUNCTION("""COMPUTED_VALUE"""),"-")</f>
        <v>-</v>
      </c>
      <c r="M23" s="342" t="str">
        <f>IFERROR(__xludf.DUMMYFUNCTION("""COMPUTED_VALUE"""),"-")</f>
        <v>-</v>
      </c>
      <c r="N23" s="342" t="str">
        <f>IFERROR(__xludf.DUMMYFUNCTION("""COMPUTED_VALUE"""),"2")</f>
        <v>2</v>
      </c>
      <c r="O23" s="342" t="str">
        <f>IFERROR(__xludf.DUMMYFUNCTION("""COMPUTED_VALUE"""),"Soft")</f>
        <v>Soft</v>
      </c>
      <c r="Q23" s="342"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43" t="str">
        <f>IFERROR(__xludf.DUMMYFUNCTION("""COMPUTED_VALUE"""),"3 - Undamaged")</f>
        <v>3 - Undamaged</v>
      </c>
      <c r="AG23" s="342" t="str">
        <f>IFERROR(__xludf.DUMMYFUNCTION("""COMPUTED_VALUE"""),"1 - Featherlight")</f>
        <v>1 - Featherlight</v>
      </c>
    </row>
    <row r="24">
      <c r="A24" s="342" t="str">
        <f>IFERROR(__xludf.DUMMYFUNCTION("""COMPUTED_VALUE"""),"Work Boots")</f>
        <v>Work Boots</v>
      </c>
      <c r="B24" s="342" t="str">
        <f>IFERROR(__xludf.DUMMYFUNCTION("""COMPUTED_VALUE"""),"5 - Munitions")</f>
        <v>5 - Munitions</v>
      </c>
      <c r="C24" s="342" t="str">
        <f>IFERROR(__xludf.DUMMYFUNCTION("""COMPUTED_VALUE"""),"Light Armor")</f>
        <v>Light Armor</v>
      </c>
      <c r="D24" s="342" t="str">
        <f>IFERROR(__xludf.DUMMYFUNCTION("""COMPUTED_VALUE"""),"Leather")</f>
        <v>Leather</v>
      </c>
      <c r="E24" s="342" t="str">
        <f>IFERROR(__xludf.DUMMYFUNCTION("""COMPUTED_VALUE"""),"-")</f>
        <v>-</v>
      </c>
      <c r="F24" s="342" t="str">
        <f>IFERROR(__xludf.DUMMYFUNCTION("""COMPUTED_VALUE"""),"-")</f>
        <v>-</v>
      </c>
      <c r="G24" s="342" t="str">
        <f>IFERROR(__xludf.DUMMYFUNCTION("""COMPUTED_VALUE"""),"-")</f>
        <v>-</v>
      </c>
      <c r="H24" s="342" t="str">
        <f>IFERROR(__xludf.DUMMYFUNCTION("""COMPUTED_VALUE"""),":")</f>
        <v>:</v>
      </c>
      <c r="I24" s="342" t="str">
        <f>IFERROR(__xludf.DUMMYFUNCTION("""COMPUTED_VALUE"""),"-")</f>
        <v>-</v>
      </c>
      <c r="J24" s="342" t="str">
        <f>IFERROR(__xludf.DUMMYFUNCTION("""COMPUTED_VALUE"""),"-")</f>
        <v>-</v>
      </c>
      <c r="K24" s="342" t="str">
        <f>IFERROR(__xludf.DUMMYFUNCTION("""COMPUTED_VALUE"""),"-")</f>
        <v>-</v>
      </c>
      <c r="L24" s="342" t="str">
        <f>IFERROR(__xludf.DUMMYFUNCTION("""COMPUTED_VALUE"""),"-")</f>
        <v>-</v>
      </c>
      <c r="M24" s="342" t="str">
        <f>IFERROR(__xludf.DUMMYFUNCTION("""COMPUTED_VALUE"""),"-")</f>
        <v>-</v>
      </c>
      <c r="N24" s="342" t="str">
        <f>IFERROR(__xludf.DUMMYFUNCTION("""COMPUTED_VALUE"""),"9")</f>
        <v>9</v>
      </c>
      <c r="O24" s="342" t="str">
        <f>IFERROR(__xludf.DUMMYFUNCTION("""COMPUTED_VALUE"""),"Soft")</f>
        <v>Soft</v>
      </c>
      <c r="P24" s="342" t="str">
        <f>IFERROR(__xludf.DUMMYFUNCTION("""COMPUTED_VALUE"""),"R")</f>
        <v>R</v>
      </c>
      <c r="T24" s="342"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43" t="str">
        <f>IFERROR(__xludf.DUMMYFUNCTION("""COMPUTED_VALUE"""),"3 - Undamaged")</f>
        <v>3 - Undamaged</v>
      </c>
      <c r="AG24" s="342" t="str">
        <f>IFERROR(__xludf.DUMMYFUNCTION("""COMPUTED_VALUE"""),"2 - Trivial")</f>
        <v>2 - Trivial</v>
      </c>
    </row>
    <row r="25">
      <c r="A25" s="342" t="str">
        <f>IFERROR(__xludf.DUMMYFUNCTION("""COMPUTED_VALUE"""),"Work Gloves")</f>
        <v>Work Gloves</v>
      </c>
      <c r="B25" s="342" t="str">
        <f>IFERROR(__xludf.DUMMYFUNCTION("""COMPUTED_VALUE"""),"5 - Munitions")</f>
        <v>5 - Munitions</v>
      </c>
      <c r="C25" s="342" t="str">
        <f>IFERROR(__xludf.DUMMYFUNCTION("""COMPUTED_VALUE"""),"Light Armor")</f>
        <v>Light Armor</v>
      </c>
      <c r="D25" s="342" t="str">
        <f>IFERROR(__xludf.DUMMYFUNCTION("""COMPUTED_VALUE"""),"Leather")</f>
        <v>Leather</v>
      </c>
      <c r="E25" s="342" t="str">
        <f>IFERROR(__xludf.DUMMYFUNCTION("""COMPUTED_VALUE"""),"-")</f>
        <v>-</v>
      </c>
      <c r="F25" s="342" t="str">
        <f>IFERROR(__xludf.DUMMYFUNCTION("""COMPUTED_VALUE"""),"-")</f>
        <v>-</v>
      </c>
      <c r="G25" s="342" t="str">
        <f>IFERROR(__xludf.DUMMYFUNCTION("""COMPUTED_VALUE"""),"-")</f>
        <v>-</v>
      </c>
      <c r="H25" s="342" t="str">
        <f>IFERROR(__xludf.DUMMYFUNCTION("""COMPUTED_VALUE"""),":")</f>
        <v>:</v>
      </c>
      <c r="I25" s="342" t="str">
        <f>IFERROR(__xludf.DUMMYFUNCTION("""COMPUTED_VALUE"""),"-")</f>
        <v>-</v>
      </c>
      <c r="J25" s="342" t="str">
        <f>IFERROR(__xludf.DUMMYFUNCTION("""COMPUTED_VALUE"""),"-")</f>
        <v>-</v>
      </c>
      <c r="K25" s="342" t="str">
        <f>IFERROR(__xludf.DUMMYFUNCTION("""COMPUTED_VALUE"""),"-")</f>
        <v>-</v>
      </c>
      <c r="L25" s="342" t="str">
        <f>IFERROR(__xludf.DUMMYFUNCTION("""COMPUTED_VALUE"""),"-")</f>
        <v>-</v>
      </c>
      <c r="M25" s="342" t="str">
        <f>IFERROR(__xludf.DUMMYFUNCTION("""COMPUTED_VALUE"""),"-")</f>
        <v>-</v>
      </c>
      <c r="N25" s="342" t="str">
        <f>IFERROR(__xludf.DUMMYFUNCTION("""COMPUTED_VALUE"""),"9")</f>
        <v>9</v>
      </c>
      <c r="O25" s="342" t="str">
        <f>IFERROR(__xludf.DUMMYFUNCTION("""COMPUTED_VALUE"""),"Soft")</f>
        <v>Soft</v>
      </c>
      <c r="P25" s="342" t="str">
        <f>IFERROR(__xludf.DUMMYFUNCTION("""COMPUTED_VALUE"""),"R")</f>
        <v>R</v>
      </c>
      <c r="T25" s="342"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43" t="str">
        <f>IFERROR(__xludf.DUMMYFUNCTION("""COMPUTED_VALUE"""),"3 - Undamaged")</f>
        <v>3 - Undamaged</v>
      </c>
      <c r="AG25" s="342" t="str">
        <f>IFERROR(__xludf.DUMMYFUNCTION("""COMPUTED_VALUE"""),"2 - Trivial")</f>
        <v>2 - Trivial</v>
      </c>
    </row>
    <row r="26">
      <c r="A26" s="342" t="str">
        <f>IFERROR(__xludf.DUMMYFUNCTION("""COMPUTED_VALUE"""),"Tailored suit coat")</f>
        <v>Tailored suit coat</v>
      </c>
      <c r="B26" s="342" t="str">
        <f>IFERROR(__xludf.DUMMYFUNCTION("""COMPUTED_VALUE"""),"5 - Munitions")</f>
        <v>5 - Munitions</v>
      </c>
      <c r="C26" s="342" t="str">
        <f>IFERROR(__xludf.DUMMYFUNCTION("""COMPUTED_VALUE"""),"Clothing")</f>
        <v>Clothing</v>
      </c>
      <c r="D26" s="342" t="str">
        <f>IFERROR(__xludf.DUMMYFUNCTION("""COMPUTED_VALUE"""),"Wool")</f>
        <v>Wool</v>
      </c>
      <c r="H26" s="342" t="str">
        <f>IFERROR(__xludf.DUMMYFUNCTION("""COMPUTED_VALUE"""),":")</f>
        <v>:</v>
      </c>
      <c r="N26" s="342" t="str">
        <f>IFERROR(__xludf.DUMMYFUNCTION("""COMPUTED_VALUE"""),"1")</f>
        <v>1</v>
      </c>
      <c r="O26" s="342" t="str">
        <f>IFERROR(__xludf.DUMMYFUNCTION("""COMPUTED_VALUE"""),"Soft")</f>
        <v>Soft</v>
      </c>
      <c r="P26" s="342" t="str">
        <f>IFERROR(__xludf.DUMMYFUNCTION("""COMPUTED_VALUE"""),"R")</f>
        <v>R</v>
      </c>
      <c r="Q26" s="342"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43" t="str">
        <f>IFERROR(__xludf.DUMMYFUNCTION("""COMPUTED_VALUE"""),"3 - Undamaged")</f>
        <v>3 - Undamaged</v>
      </c>
      <c r="AG26" s="342" t="str">
        <f>IFERROR(__xludf.DUMMYFUNCTION("""COMPUTED_VALUE"""),"2 - Trivial")</f>
        <v>2 - Trivial</v>
      </c>
    </row>
    <row r="27">
      <c r="A27" s="342" t="str">
        <f>IFERROR(__xludf.DUMMYFUNCTION("""COMPUTED_VALUE"""),"Suit Vest")</f>
        <v>Suit Vest</v>
      </c>
      <c r="B27" s="342" t="str">
        <f>IFERROR(__xludf.DUMMYFUNCTION("""COMPUTED_VALUE"""),"5 - Munitions")</f>
        <v>5 - Munitions</v>
      </c>
      <c r="C27" s="342" t="str">
        <f>IFERROR(__xludf.DUMMYFUNCTION("""COMPUTED_VALUE"""),"Clothing")</f>
        <v>Clothing</v>
      </c>
      <c r="D27" s="342" t="str">
        <f>IFERROR(__xludf.DUMMYFUNCTION("""COMPUTED_VALUE"""),"Silk")</f>
        <v>Silk</v>
      </c>
      <c r="H27" s="342" t="str">
        <f>IFERROR(__xludf.DUMMYFUNCTION("""COMPUTED_VALUE"""),":")</f>
        <v>:</v>
      </c>
      <c r="N27" s="342" t="str">
        <f>IFERROR(__xludf.DUMMYFUNCTION("""COMPUTED_VALUE"""),"10")</f>
        <v>10</v>
      </c>
      <c r="O27" s="342" t="str">
        <f>IFERROR(__xludf.DUMMYFUNCTION("""COMPUTED_VALUE"""),"Soft")</f>
        <v>Soft</v>
      </c>
      <c r="T27" s="342"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43" t="str">
        <f>IFERROR(__xludf.DUMMYFUNCTION("""COMPUTED_VALUE"""),"3 - Undamaged")</f>
        <v>3 - Undamaged</v>
      </c>
      <c r="AG27" s="342" t="str">
        <f>IFERROR(__xludf.DUMMYFUNCTION("""COMPUTED_VALUE"""),"1 - Featherlight")</f>
        <v>1 - Featherlight</v>
      </c>
    </row>
    <row r="28">
      <c r="A28" s="342" t="str">
        <f>IFERROR(__xludf.DUMMYFUNCTION("""COMPUTED_VALUE"""),"Dress shirt")</f>
        <v>Dress shirt</v>
      </c>
      <c r="B28" s="342" t="str">
        <f>IFERROR(__xludf.DUMMYFUNCTION("""COMPUTED_VALUE"""),"5 - Munitions")</f>
        <v>5 - Munitions</v>
      </c>
      <c r="C28" s="342" t="str">
        <f>IFERROR(__xludf.DUMMYFUNCTION("""COMPUTED_VALUE"""),"Clothing")</f>
        <v>Clothing</v>
      </c>
      <c r="D28" s="342" t="str">
        <f>IFERROR(__xludf.DUMMYFUNCTION("""COMPUTED_VALUE"""),"Cotton")</f>
        <v>Cotton</v>
      </c>
      <c r="H28" s="342" t="str">
        <f>IFERROR(__xludf.DUMMYFUNCTION("""COMPUTED_VALUE"""),":")</f>
        <v>:</v>
      </c>
      <c r="N28" s="342" t="str">
        <f>IFERROR(__xludf.DUMMYFUNCTION("""COMPUTED_VALUE"""),"2")</f>
        <v>2</v>
      </c>
      <c r="O28" s="342" t="str">
        <f>IFERROR(__xludf.DUMMYFUNCTION("""COMPUTED_VALUE"""),"Soft")</f>
        <v>Soft</v>
      </c>
      <c r="Q28" s="342"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43" t="str">
        <f>IFERROR(__xludf.DUMMYFUNCTION("""COMPUTED_VALUE"""),"3 - Undamaged")</f>
        <v>3 - Undamaged</v>
      </c>
      <c r="AG28" s="342" t="str">
        <f>IFERROR(__xludf.DUMMYFUNCTION("""COMPUTED_VALUE"""),"1 - Featherlight")</f>
        <v>1 - Featherlight</v>
      </c>
    </row>
    <row r="29">
      <c r="A29" s="342" t="str">
        <f>IFERROR(__xludf.DUMMYFUNCTION("""COMPUTED_VALUE"""),"Fedora")</f>
        <v>Fedora</v>
      </c>
      <c r="B29" s="342" t="str">
        <f>IFERROR(__xludf.DUMMYFUNCTION("""COMPUTED_VALUE"""),"5 - Munitions")</f>
        <v>5 - Munitions</v>
      </c>
      <c r="C29" s="342" t="str">
        <f>IFERROR(__xludf.DUMMYFUNCTION("""COMPUTED_VALUE"""),"Clothing")</f>
        <v>Clothing</v>
      </c>
      <c r="D29" s="342" t="str">
        <f>IFERROR(__xludf.DUMMYFUNCTION("""COMPUTED_VALUE"""),"Wool")</f>
        <v>Wool</v>
      </c>
      <c r="H29" s="342" t="str">
        <f>IFERROR(__xludf.DUMMYFUNCTION("""COMPUTED_VALUE"""),":")</f>
        <v>:</v>
      </c>
      <c r="N29" s="342" t="str">
        <f>IFERROR(__xludf.DUMMYFUNCTION("""COMPUTED_VALUE"""),"1")</f>
        <v>1</v>
      </c>
      <c r="O29" s="342" t="str">
        <f>IFERROR(__xludf.DUMMYFUNCTION("""COMPUTED_VALUE"""),"Soft")</f>
        <v>Soft</v>
      </c>
      <c r="P29" s="342" t="str">
        <f>IFERROR(__xludf.DUMMYFUNCTION("""COMPUTED_VALUE"""),"R")</f>
        <v>R</v>
      </c>
      <c r="Q29" s="342"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43" t="str">
        <f>IFERROR(__xludf.DUMMYFUNCTION("""COMPUTED_VALUE"""),"4- Indestructible")</f>
        <v>4- Indestructible</v>
      </c>
      <c r="AG29" s="342"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3" t="str">
        <f>IFERROR(__xludf.DUMMYFUNCTION("IFERROR(FILTER(Inventory!C4:C37,Inventory!E4:E37=""Clothing""),"""")"),"")</f>
        <v/>
      </c>
      <c r="B1" s="103" t="str">
        <f>IFERROR(__xludf.DUMMYFUNCTION("IFERROR(FILTER(Inventory!C4:C37,(Inventory!E4:E37=""Light Armor"")+(Inventory!E4:E37=""Clothing"")),"""")"),"")</f>
        <v/>
      </c>
      <c r="C1" t="str">
        <f>IFERROR(__xludf.DUMMYFUNCTION("IFERROR(FILTER(Inventory!C4:C37,(Inventory!E4:E37=""Light Armor"")+(Inventory!E4:E37=""Clothing"")+(Inventory!E4:E37=""Heavy Armor"")),"""")"),"")</f>
        <v/>
      </c>
      <c r="D1" s="103" t="str">
        <f t="shared" ref="D1:D148" si="1">IF(ISNA(VLOOKUP(A1,N:N,1,FALSE)), A1, "")</f>
        <v/>
      </c>
      <c r="E1" t="str">
        <f t="shared" ref="E1:E148" si="2">IF(ISNA(VLOOKUP(B1,N:N,1,FALSE)), B1, "")</f>
        <v/>
      </c>
      <c r="F1" t="str">
        <f t="shared" ref="F1:F148" si="3">IF(ISNA(VLOOKUP(C1,N:N,1,FALSE)), C1, "")</f>
        <v/>
      </c>
      <c r="N1" t="str">
        <f t="array" ref="N1:T30">{Vitals!O22:U31;Vitals!AI22:AO31;Vitals!BC22:BI31}</f>
        <v/>
      </c>
    </row>
    <row r="2">
      <c r="D2" s="103" t="str">
        <f t="shared" si="1"/>
        <v/>
      </c>
      <c r="E2" t="str">
        <f t="shared" si="2"/>
        <v/>
      </c>
      <c r="F2" t="str">
        <f t="shared" si="3"/>
        <v/>
      </c>
    </row>
    <row r="3">
      <c r="D3" s="103" t="str">
        <f t="shared" si="1"/>
        <v/>
      </c>
      <c r="E3" t="str">
        <f t="shared" si="2"/>
        <v/>
      </c>
      <c r="F3" t="str">
        <f t="shared" si="3"/>
        <v/>
      </c>
    </row>
    <row r="4">
      <c r="D4" s="103" t="str">
        <f t="shared" si="1"/>
        <v/>
      </c>
      <c r="E4" t="str">
        <f t="shared" si="2"/>
        <v/>
      </c>
      <c r="F4" t="str">
        <f t="shared" si="3"/>
        <v/>
      </c>
    </row>
    <row r="5">
      <c r="D5" s="103" t="str">
        <f t="shared" si="1"/>
        <v/>
      </c>
      <c r="E5" t="str">
        <f t="shared" si="2"/>
        <v/>
      </c>
      <c r="F5" t="str">
        <f t="shared" si="3"/>
        <v/>
      </c>
    </row>
    <row r="6">
      <c r="D6" s="103" t="str">
        <f t="shared" si="1"/>
        <v/>
      </c>
      <c r="E6" t="str">
        <f t="shared" si="2"/>
        <v/>
      </c>
      <c r="F6" t="str">
        <f t="shared" si="3"/>
        <v/>
      </c>
    </row>
    <row r="7">
      <c r="D7" s="103" t="str">
        <f t="shared" si="1"/>
        <v/>
      </c>
      <c r="E7" t="str">
        <f t="shared" si="2"/>
        <v/>
      </c>
      <c r="F7" t="str">
        <f t="shared" si="3"/>
        <v/>
      </c>
    </row>
    <row r="8">
      <c r="D8" s="103" t="str">
        <f t="shared" si="1"/>
        <v/>
      </c>
      <c r="E8" t="str">
        <f t="shared" si="2"/>
        <v/>
      </c>
      <c r="F8" t="str">
        <f t="shared" si="3"/>
        <v/>
      </c>
    </row>
    <row r="9">
      <c r="D9" s="103" t="str">
        <f t="shared" si="1"/>
        <v/>
      </c>
      <c r="E9" t="str">
        <f t="shared" si="2"/>
        <v/>
      </c>
      <c r="F9" t="str">
        <f t="shared" si="3"/>
        <v/>
      </c>
    </row>
    <row r="10">
      <c r="D10" s="103" t="str">
        <f t="shared" si="1"/>
        <v/>
      </c>
      <c r="E10" t="str">
        <f t="shared" si="2"/>
        <v/>
      </c>
      <c r="F10" t="str">
        <f t="shared" si="3"/>
        <v/>
      </c>
    </row>
    <row r="11">
      <c r="D11" s="103" t="str">
        <f t="shared" si="1"/>
        <v/>
      </c>
      <c r="E11" t="str">
        <f t="shared" si="2"/>
        <v/>
      </c>
      <c r="F11" t="str">
        <f t="shared" si="3"/>
        <v/>
      </c>
    </row>
    <row r="12">
      <c r="D12" s="103" t="str">
        <f t="shared" si="1"/>
        <v/>
      </c>
      <c r="E12" t="str">
        <f t="shared" si="2"/>
        <v/>
      </c>
      <c r="F12" t="str">
        <f t="shared" si="3"/>
        <v/>
      </c>
    </row>
    <row r="13">
      <c r="D13" s="103" t="str">
        <f t="shared" si="1"/>
        <v/>
      </c>
      <c r="E13" t="str">
        <f t="shared" si="2"/>
        <v/>
      </c>
      <c r="F13" t="str">
        <f t="shared" si="3"/>
        <v/>
      </c>
    </row>
    <row r="14">
      <c r="D14" s="103" t="str">
        <f t="shared" si="1"/>
        <v/>
      </c>
      <c r="E14" t="str">
        <f t="shared" si="2"/>
        <v/>
      </c>
      <c r="F14" t="str">
        <f t="shared" si="3"/>
        <v/>
      </c>
    </row>
    <row r="15">
      <c r="D15" s="103" t="str">
        <f t="shared" si="1"/>
        <v/>
      </c>
      <c r="E15" t="str">
        <f t="shared" si="2"/>
        <v/>
      </c>
      <c r="F15" t="str">
        <f t="shared" si="3"/>
        <v/>
      </c>
    </row>
    <row r="16">
      <c r="D16" s="103" t="str">
        <f t="shared" si="1"/>
        <v/>
      </c>
      <c r="E16" t="str">
        <f t="shared" si="2"/>
        <v/>
      </c>
      <c r="F16" t="str">
        <f t="shared" si="3"/>
        <v/>
      </c>
    </row>
    <row r="17">
      <c r="D17" s="103" t="str">
        <f t="shared" si="1"/>
        <v/>
      </c>
      <c r="E17" t="str">
        <f t="shared" si="2"/>
        <v/>
      </c>
      <c r="F17" t="str">
        <f t="shared" si="3"/>
        <v/>
      </c>
    </row>
    <row r="18">
      <c r="D18" s="103" t="str">
        <f t="shared" si="1"/>
        <v/>
      </c>
      <c r="E18" t="str">
        <f t="shared" si="2"/>
        <v/>
      </c>
      <c r="F18" t="str">
        <f t="shared" si="3"/>
        <v/>
      </c>
    </row>
    <row r="19">
      <c r="D19" s="103" t="str">
        <f t="shared" si="1"/>
        <v/>
      </c>
      <c r="E19" t="str">
        <f t="shared" si="2"/>
        <v/>
      </c>
      <c r="F19" t="str">
        <f t="shared" si="3"/>
        <v/>
      </c>
    </row>
    <row r="20">
      <c r="D20" s="103" t="str">
        <f t="shared" si="1"/>
        <v/>
      </c>
      <c r="E20" t="str">
        <f t="shared" si="2"/>
        <v/>
      </c>
      <c r="F20" t="str">
        <f t="shared" si="3"/>
        <v/>
      </c>
    </row>
    <row r="21">
      <c r="D21" s="103" t="str">
        <f t="shared" si="1"/>
        <v/>
      </c>
      <c r="E21" t="str">
        <f t="shared" si="2"/>
        <v/>
      </c>
      <c r="F21" t="str">
        <f t="shared" si="3"/>
        <v/>
      </c>
    </row>
    <row r="22">
      <c r="D22" s="103" t="str">
        <f t="shared" si="1"/>
        <v/>
      </c>
      <c r="E22" t="str">
        <f t="shared" si="2"/>
        <v/>
      </c>
      <c r="F22" t="str">
        <f t="shared" si="3"/>
        <v/>
      </c>
    </row>
    <row r="23">
      <c r="D23" s="103" t="str">
        <f t="shared" si="1"/>
        <v/>
      </c>
      <c r="E23" t="str">
        <f t="shared" si="2"/>
        <v/>
      </c>
      <c r="F23" t="str">
        <f t="shared" si="3"/>
        <v/>
      </c>
    </row>
    <row r="24">
      <c r="D24" s="103" t="str">
        <f t="shared" si="1"/>
        <v/>
      </c>
      <c r="E24" t="str">
        <f t="shared" si="2"/>
        <v/>
      </c>
      <c r="F24" t="str">
        <f t="shared" si="3"/>
        <v/>
      </c>
    </row>
    <row r="25">
      <c r="D25" s="103" t="str">
        <f t="shared" si="1"/>
        <v/>
      </c>
      <c r="E25" t="str">
        <f t="shared" si="2"/>
        <v/>
      </c>
      <c r="F25" t="str">
        <f t="shared" si="3"/>
        <v/>
      </c>
    </row>
    <row r="26">
      <c r="D26" s="103" t="str">
        <f t="shared" si="1"/>
        <v/>
      </c>
      <c r="E26" t="str">
        <f t="shared" si="2"/>
        <v/>
      </c>
      <c r="F26" t="str">
        <f t="shared" si="3"/>
        <v/>
      </c>
    </row>
    <row r="27">
      <c r="D27" s="103" t="str">
        <f t="shared" si="1"/>
        <v/>
      </c>
      <c r="E27" t="str">
        <f t="shared" si="2"/>
        <v/>
      </c>
      <c r="F27" t="str">
        <f t="shared" si="3"/>
        <v/>
      </c>
    </row>
    <row r="28">
      <c r="D28" s="103" t="str">
        <f t="shared" si="1"/>
        <v/>
      </c>
      <c r="E28" t="str">
        <f t="shared" si="2"/>
        <v/>
      </c>
      <c r="F28" t="str">
        <f t="shared" si="3"/>
        <v/>
      </c>
    </row>
    <row r="29">
      <c r="D29" s="103" t="str">
        <f t="shared" si="1"/>
        <v/>
      </c>
      <c r="E29" t="str">
        <f t="shared" si="2"/>
        <v/>
      </c>
      <c r="F29" t="str">
        <f t="shared" si="3"/>
        <v/>
      </c>
    </row>
    <row r="30">
      <c r="D30" s="103" t="str">
        <f t="shared" si="1"/>
        <v/>
      </c>
      <c r="E30" t="str">
        <f t="shared" si="2"/>
        <v/>
      </c>
      <c r="F30" t="str">
        <f t="shared" si="3"/>
        <v/>
      </c>
    </row>
    <row r="31">
      <c r="D31" s="103" t="str">
        <f t="shared" si="1"/>
        <v/>
      </c>
      <c r="E31" t="str">
        <f t="shared" si="2"/>
        <v/>
      </c>
      <c r="F31" t="str">
        <f t="shared" si="3"/>
        <v/>
      </c>
    </row>
    <row r="32">
      <c r="D32" s="103" t="str">
        <f t="shared" si="1"/>
        <v/>
      </c>
      <c r="E32" t="str">
        <f t="shared" si="2"/>
        <v/>
      </c>
      <c r="F32" t="str">
        <f t="shared" si="3"/>
        <v/>
      </c>
    </row>
    <row r="33">
      <c r="D33" s="103" t="str">
        <f t="shared" si="1"/>
        <v/>
      </c>
      <c r="E33" t="str">
        <f t="shared" si="2"/>
        <v/>
      </c>
      <c r="F33" t="str">
        <f t="shared" si="3"/>
        <v/>
      </c>
    </row>
    <row r="34">
      <c r="D34" s="103" t="str">
        <f t="shared" si="1"/>
        <v/>
      </c>
      <c r="E34" t="str">
        <f t="shared" si="2"/>
        <v/>
      </c>
      <c r="F34" t="str">
        <f t="shared" si="3"/>
        <v/>
      </c>
    </row>
    <row r="35">
      <c r="D35" s="103" t="str">
        <f t="shared" si="1"/>
        <v/>
      </c>
      <c r="E35" t="str">
        <f t="shared" si="2"/>
        <v/>
      </c>
      <c r="F35" t="str">
        <f t="shared" si="3"/>
        <v/>
      </c>
    </row>
    <row r="36">
      <c r="D36" s="103" t="str">
        <f t="shared" si="1"/>
        <v/>
      </c>
      <c r="E36" t="str">
        <f t="shared" si="2"/>
        <v/>
      </c>
      <c r="F36" t="str">
        <f t="shared" si="3"/>
        <v/>
      </c>
    </row>
    <row r="37">
      <c r="D37" s="103" t="str">
        <f t="shared" si="1"/>
        <v/>
      </c>
      <c r="E37" t="str">
        <f t="shared" si="2"/>
        <v/>
      </c>
      <c r="F37" t="str">
        <f t="shared" si="3"/>
        <v/>
      </c>
    </row>
    <row r="38">
      <c r="D38" s="103" t="str">
        <f t="shared" si="1"/>
        <v/>
      </c>
      <c r="E38" t="str">
        <f t="shared" si="2"/>
        <v/>
      </c>
      <c r="F38" t="str">
        <f t="shared" si="3"/>
        <v/>
      </c>
    </row>
    <row r="39">
      <c r="D39" s="103" t="str">
        <f t="shared" si="1"/>
        <v/>
      </c>
      <c r="E39" t="str">
        <f t="shared" si="2"/>
        <v/>
      </c>
      <c r="F39" t="str">
        <f t="shared" si="3"/>
        <v/>
      </c>
    </row>
    <row r="40">
      <c r="D40" s="103" t="str">
        <f t="shared" si="1"/>
        <v/>
      </c>
      <c r="E40" t="str">
        <f t="shared" si="2"/>
        <v/>
      </c>
      <c r="F40" t="str">
        <f t="shared" si="3"/>
        <v/>
      </c>
    </row>
    <row r="41">
      <c r="D41" s="103" t="str">
        <f t="shared" si="1"/>
        <v/>
      </c>
      <c r="E41" t="str">
        <f t="shared" si="2"/>
        <v/>
      </c>
      <c r="F41" t="str">
        <f t="shared" si="3"/>
        <v/>
      </c>
    </row>
    <row r="42">
      <c r="D42" s="103" t="str">
        <f t="shared" si="1"/>
        <v/>
      </c>
      <c r="E42" t="str">
        <f t="shared" si="2"/>
        <v/>
      </c>
      <c r="F42" t="str">
        <f t="shared" si="3"/>
        <v/>
      </c>
    </row>
    <row r="43">
      <c r="D43" s="103" t="str">
        <f t="shared" si="1"/>
        <v/>
      </c>
      <c r="E43" t="str">
        <f t="shared" si="2"/>
        <v/>
      </c>
      <c r="F43" t="str">
        <f t="shared" si="3"/>
        <v/>
      </c>
    </row>
    <row r="44">
      <c r="D44" s="103" t="str">
        <f t="shared" si="1"/>
        <v/>
      </c>
      <c r="E44" t="str">
        <f t="shared" si="2"/>
        <v/>
      </c>
      <c r="F44" t="str">
        <f t="shared" si="3"/>
        <v/>
      </c>
    </row>
    <row r="45">
      <c r="D45" s="103" t="str">
        <f t="shared" si="1"/>
        <v/>
      </c>
      <c r="E45" t="str">
        <f t="shared" si="2"/>
        <v/>
      </c>
      <c r="F45" t="str">
        <f t="shared" si="3"/>
        <v/>
      </c>
    </row>
    <row r="46">
      <c r="D46" s="103" t="str">
        <f t="shared" si="1"/>
        <v/>
      </c>
      <c r="E46" t="str">
        <f t="shared" si="2"/>
        <v/>
      </c>
      <c r="F46" t="str">
        <f t="shared" si="3"/>
        <v/>
      </c>
    </row>
    <row r="47">
      <c r="D47" s="103" t="str">
        <f t="shared" si="1"/>
        <v/>
      </c>
      <c r="E47" t="str">
        <f t="shared" si="2"/>
        <v/>
      </c>
      <c r="F47" t="str">
        <f t="shared" si="3"/>
        <v/>
      </c>
    </row>
    <row r="48">
      <c r="D48" s="103" t="str">
        <f t="shared" si="1"/>
        <v/>
      </c>
      <c r="E48" t="str">
        <f t="shared" si="2"/>
        <v/>
      </c>
      <c r="F48" t="str">
        <f t="shared" si="3"/>
        <v/>
      </c>
    </row>
    <row r="49">
      <c r="D49" s="103" t="str">
        <f t="shared" si="1"/>
        <v/>
      </c>
      <c r="E49" t="str">
        <f t="shared" si="2"/>
        <v/>
      </c>
      <c r="F49" t="str">
        <f t="shared" si="3"/>
        <v/>
      </c>
    </row>
    <row r="50">
      <c r="D50" s="103" t="str">
        <f t="shared" si="1"/>
        <v/>
      </c>
      <c r="E50" t="str">
        <f t="shared" si="2"/>
        <v/>
      </c>
      <c r="F50" t="str">
        <f t="shared" si="3"/>
        <v/>
      </c>
    </row>
    <row r="51">
      <c r="D51" s="103" t="str">
        <f t="shared" si="1"/>
        <v/>
      </c>
      <c r="E51" t="str">
        <f t="shared" si="2"/>
        <v/>
      </c>
      <c r="F51" t="str">
        <f t="shared" si="3"/>
        <v/>
      </c>
    </row>
    <row r="52">
      <c r="D52" s="103" t="str">
        <f t="shared" si="1"/>
        <v/>
      </c>
      <c r="E52" t="str">
        <f t="shared" si="2"/>
        <v/>
      </c>
      <c r="F52" t="str">
        <f t="shared" si="3"/>
        <v/>
      </c>
    </row>
    <row r="53">
      <c r="D53" s="103" t="str">
        <f t="shared" si="1"/>
        <v/>
      </c>
      <c r="E53" t="str">
        <f t="shared" si="2"/>
        <v/>
      </c>
      <c r="F53" t="str">
        <f t="shared" si="3"/>
        <v/>
      </c>
    </row>
    <row r="54">
      <c r="D54" s="103" t="str">
        <f t="shared" si="1"/>
        <v/>
      </c>
      <c r="E54" t="str">
        <f t="shared" si="2"/>
        <v/>
      </c>
      <c r="F54" t="str">
        <f t="shared" si="3"/>
        <v/>
      </c>
    </row>
    <row r="55">
      <c r="D55" s="103" t="str">
        <f t="shared" si="1"/>
        <v/>
      </c>
      <c r="E55" t="str">
        <f t="shared" si="2"/>
        <v/>
      </c>
      <c r="F55" t="str">
        <f t="shared" si="3"/>
        <v/>
      </c>
    </row>
    <row r="56">
      <c r="D56" s="103" t="str">
        <f t="shared" si="1"/>
        <v/>
      </c>
      <c r="E56" t="str">
        <f t="shared" si="2"/>
        <v/>
      </c>
      <c r="F56" t="str">
        <f t="shared" si="3"/>
        <v/>
      </c>
    </row>
    <row r="57">
      <c r="D57" s="103" t="str">
        <f t="shared" si="1"/>
        <v/>
      </c>
      <c r="E57" t="str">
        <f t="shared" si="2"/>
        <v/>
      </c>
      <c r="F57" t="str">
        <f t="shared" si="3"/>
        <v/>
      </c>
    </row>
    <row r="58">
      <c r="D58" s="103" t="str">
        <f t="shared" si="1"/>
        <v/>
      </c>
      <c r="E58" t="str">
        <f t="shared" si="2"/>
        <v/>
      </c>
      <c r="F58" t="str">
        <f t="shared" si="3"/>
        <v/>
      </c>
    </row>
    <row r="59">
      <c r="D59" s="103" t="str">
        <f t="shared" si="1"/>
        <v/>
      </c>
      <c r="E59" t="str">
        <f t="shared" si="2"/>
        <v/>
      </c>
      <c r="F59" t="str">
        <f t="shared" si="3"/>
        <v/>
      </c>
    </row>
    <row r="60">
      <c r="D60" s="103" t="str">
        <f t="shared" si="1"/>
        <v/>
      </c>
      <c r="E60" t="str">
        <f t="shared" si="2"/>
        <v/>
      </c>
      <c r="F60" t="str">
        <f t="shared" si="3"/>
        <v/>
      </c>
    </row>
    <row r="61">
      <c r="D61" s="103" t="str">
        <f t="shared" si="1"/>
        <v/>
      </c>
      <c r="E61" t="str">
        <f t="shared" si="2"/>
        <v/>
      </c>
      <c r="F61" t="str">
        <f t="shared" si="3"/>
        <v/>
      </c>
    </row>
    <row r="62">
      <c r="D62" s="103" t="str">
        <f t="shared" si="1"/>
        <v/>
      </c>
      <c r="E62" t="str">
        <f t="shared" si="2"/>
        <v/>
      </c>
      <c r="F62" t="str">
        <f t="shared" si="3"/>
        <v/>
      </c>
    </row>
    <row r="63">
      <c r="D63" s="103" t="str">
        <f t="shared" si="1"/>
        <v/>
      </c>
      <c r="E63" t="str">
        <f t="shared" si="2"/>
        <v/>
      </c>
      <c r="F63" t="str">
        <f t="shared" si="3"/>
        <v/>
      </c>
    </row>
    <row r="64">
      <c r="D64" s="103" t="str">
        <f t="shared" si="1"/>
        <v/>
      </c>
      <c r="E64" t="str">
        <f t="shared" si="2"/>
        <v/>
      </c>
      <c r="F64" t="str">
        <f t="shared" si="3"/>
        <v/>
      </c>
    </row>
    <row r="65">
      <c r="D65" s="103" t="str">
        <f t="shared" si="1"/>
        <v/>
      </c>
      <c r="E65" t="str">
        <f t="shared" si="2"/>
        <v/>
      </c>
      <c r="F65" t="str">
        <f t="shared" si="3"/>
        <v/>
      </c>
    </row>
    <row r="66">
      <c r="D66" s="103" t="str">
        <f t="shared" si="1"/>
        <v/>
      </c>
      <c r="E66" t="str">
        <f t="shared" si="2"/>
        <v/>
      </c>
      <c r="F66" t="str">
        <f t="shared" si="3"/>
        <v/>
      </c>
    </row>
    <row r="67">
      <c r="D67" s="103" t="str">
        <f t="shared" si="1"/>
        <v/>
      </c>
      <c r="E67" t="str">
        <f t="shared" si="2"/>
        <v/>
      </c>
      <c r="F67" t="str">
        <f t="shared" si="3"/>
        <v/>
      </c>
    </row>
    <row r="68">
      <c r="D68" s="103" t="str">
        <f t="shared" si="1"/>
        <v/>
      </c>
      <c r="E68" t="str">
        <f t="shared" si="2"/>
        <v/>
      </c>
      <c r="F68" t="str">
        <f t="shared" si="3"/>
        <v/>
      </c>
    </row>
    <row r="69">
      <c r="D69" s="103" t="str">
        <f t="shared" si="1"/>
        <v/>
      </c>
      <c r="E69" t="str">
        <f t="shared" si="2"/>
        <v/>
      </c>
      <c r="F69" t="str">
        <f t="shared" si="3"/>
        <v/>
      </c>
    </row>
    <row r="70">
      <c r="D70" s="103" t="str">
        <f t="shared" si="1"/>
        <v/>
      </c>
      <c r="E70" t="str">
        <f t="shared" si="2"/>
        <v/>
      </c>
      <c r="F70" t="str">
        <f t="shared" si="3"/>
        <v/>
      </c>
    </row>
    <row r="71">
      <c r="D71" s="103" t="str">
        <f t="shared" si="1"/>
        <v/>
      </c>
      <c r="E71" t="str">
        <f t="shared" si="2"/>
        <v/>
      </c>
      <c r="F71" t="str">
        <f t="shared" si="3"/>
        <v/>
      </c>
    </row>
    <row r="72">
      <c r="D72" s="103" t="str">
        <f t="shared" si="1"/>
        <v/>
      </c>
      <c r="E72" t="str">
        <f t="shared" si="2"/>
        <v/>
      </c>
      <c r="F72" t="str">
        <f t="shared" si="3"/>
        <v/>
      </c>
    </row>
    <row r="73">
      <c r="D73" s="103" t="str">
        <f t="shared" si="1"/>
        <v/>
      </c>
      <c r="E73" t="str">
        <f t="shared" si="2"/>
        <v/>
      </c>
      <c r="F73" t="str">
        <f t="shared" si="3"/>
        <v/>
      </c>
    </row>
    <row r="74">
      <c r="D74" s="103" t="str">
        <f t="shared" si="1"/>
        <v/>
      </c>
      <c r="E74" t="str">
        <f t="shared" si="2"/>
        <v/>
      </c>
      <c r="F74" t="str">
        <f t="shared" si="3"/>
        <v/>
      </c>
    </row>
    <row r="75">
      <c r="D75" s="103" t="str">
        <f t="shared" si="1"/>
        <v/>
      </c>
      <c r="E75" t="str">
        <f t="shared" si="2"/>
        <v/>
      </c>
      <c r="F75" t="str">
        <f t="shared" si="3"/>
        <v/>
      </c>
    </row>
    <row r="76">
      <c r="D76" s="103" t="str">
        <f t="shared" si="1"/>
        <v/>
      </c>
      <c r="E76" t="str">
        <f t="shared" si="2"/>
        <v/>
      </c>
      <c r="F76" t="str">
        <f t="shared" si="3"/>
        <v/>
      </c>
    </row>
    <row r="77">
      <c r="D77" s="103" t="str">
        <f t="shared" si="1"/>
        <v/>
      </c>
      <c r="E77" t="str">
        <f t="shared" si="2"/>
        <v/>
      </c>
      <c r="F77" t="str">
        <f t="shared" si="3"/>
        <v/>
      </c>
    </row>
    <row r="78">
      <c r="D78" s="103" t="str">
        <f t="shared" si="1"/>
        <v/>
      </c>
      <c r="E78" t="str">
        <f t="shared" si="2"/>
        <v/>
      </c>
      <c r="F78" t="str">
        <f t="shared" si="3"/>
        <v/>
      </c>
    </row>
    <row r="79">
      <c r="D79" s="103" t="str">
        <f t="shared" si="1"/>
        <v/>
      </c>
      <c r="E79" t="str">
        <f t="shared" si="2"/>
        <v/>
      </c>
      <c r="F79" t="str">
        <f t="shared" si="3"/>
        <v/>
      </c>
    </row>
    <row r="80">
      <c r="D80" s="103" t="str">
        <f t="shared" si="1"/>
        <v/>
      </c>
      <c r="E80" t="str">
        <f t="shared" si="2"/>
        <v/>
      </c>
      <c r="F80" t="str">
        <f t="shared" si="3"/>
        <v/>
      </c>
    </row>
    <row r="81">
      <c r="D81" s="103" t="str">
        <f t="shared" si="1"/>
        <v/>
      </c>
      <c r="E81" t="str">
        <f t="shared" si="2"/>
        <v/>
      </c>
      <c r="F81" t="str">
        <f t="shared" si="3"/>
        <v/>
      </c>
    </row>
    <row r="82">
      <c r="D82" s="103" t="str">
        <f t="shared" si="1"/>
        <v/>
      </c>
      <c r="E82" t="str">
        <f t="shared" si="2"/>
        <v/>
      </c>
      <c r="F82" t="str">
        <f t="shared" si="3"/>
        <v/>
      </c>
    </row>
    <row r="83">
      <c r="D83" s="103" t="str">
        <f t="shared" si="1"/>
        <v/>
      </c>
      <c r="E83" t="str">
        <f t="shared" si="2"/>
        <v/>
      </c>
      <c r="F83" t="str">
        <f t="shared" si="3"/>
        <v/>
      </c>
    </row>
    <row r="84">
      <c r="D84" s="103" t="str">
        <f t="shared" si="1"/>
        <v/>
      </c>
      <c r="E84" t="str">
        <f t="shared" si="2"/>
        <v/>
      </c>
      <c r="F84" t="str">
        <f t="shared" si="3"/>
        <v/>
      </c>
    </row>
    <row r="85">
      <c r="D85" s="103" t="str">
        <f t="shared" si="1"/>
        <v/>
      </c>
      <c r="E85" t="str">
        <f t="shared" si="2"/>
        <v/>
      </c>
      <c r="F85" t="str">
        <f t="shared" si="3"/>
        <v/>
      </c>
    </row>
    <row r="86">
      <c r="D86" s="103" t="str">
        <f t="shared" si="1"/>
        <v/>
      </c>
      <c r="E86" t="str">
        <f t="shared" si="2"/>
        <v/>
      </c>
      <c r="F86" t="str">
        <f t="shared" si="3"/>
        <v/>
      </c>
    </row>
    <row r="87">
      <c r="D87" s="103" t="str">
        <f t="shared" si="1"/>
        <v/>
      </c>
      <c r="E87" t="str">
        <f t="shared" si="2"/>
        <v/>
      </c>
      <c r="F87" t="str">
        <f t="shared" si="3"/>
        <v/>
      </c>
    </row>
    <row r="88">
      <c r="D88" s="103" t="str">
        <f t="shared" si="1"/>
        <v/>
      </c>
      <c r="E88" t="str">
        <f t="shared" si="2"/>
        <v/>
      </c>
      <c r="F88" t="str">
        <f t="shared" si="3"/>
        <v/>
      </c>
    </row>
    <row r="89">
      <c r="D89" s="103" t="str">
        <f t="shared" si="1"/>
        <v/>
      </c>
      <c r="E89" t="str">
        <f t="shared" si="2"/>
        <v/>
      </c>
      <c r="F89" t="str">
        <f t="shared" si="3"/>
        <v/>
      </c>
    </row>
    <row r="90">
      <c r="D90" s="103" t="str">
        <f t="shared" si="1"/>
        <v/>
      </c>
      <c r="E90" t="str">
        <f t="shared" si="2"/>
        <v/>
      </c>
      <c r="F90" t="str">
        <f t="shared" si="3"/>
        <v/>
      </c>
    </row>
    <row r="91">
      <c r="D91" s="103" t="str">
        <f t="shared" si="1"/>
        <v/>
      </c>
      <c r="E91" t="str">
        <f t="shared" si="2"/>
        <v/>
      </c>
      <c r="F91" t="str">
        <f t="shared" si="3"/>
        <v/>
      </c>
    </row>
    <row r="92">
      <c r="D92" s="103" t="str">
        <f t="shared" si="1"/>
        <v/>
      </c>
      <c r="E92" t="str">
        <f t="shared" si="2"/>
        <v/>
      </c>
      <c r="F92" t="str">
        <f t="shared" si="3"/>
        <v/>
      </c>
    </row>
    <row r="93">
      <c r="D93" s="103" t="str">
        <f t="shared" si="1"/>
        <v/>
      </c>
      <c r="E93" t="str">
        <f t="shared" si="2"/>
        <v/>
      </c>
      <c r="F93" t="str">
        <f t="shared" si="3"/>
        <v/>
      </c>
    </row>
    <row r="94">
      <c r="D94" s="103" t="str">
        <f t="shared" si="1"/>
        <v/>
      </c>
      <c r="E94" t="str">
        <f t="shared" si="2"/>
        <v/>
      </c>
      <c r="F94" t="str">
        <f t="shared" si="3"/>
        <v/>
      </c>
    </row>
    <row r="95">
      <c r="D95" s="103" t="str">
        <f t="shared" si="1"/>
        <v/>
      </c>
      <c r="E95" t="str">
        <f t="shared" si="2"/>
        <v/>
      </c>
      <c r="F95" t="str">
        <f t="shared" si="3"/>
        <v/>
      </c>
    </row>
    <row r="96">
      <c r="D96" s="103" t="str">
        <f t="shared" si="1"/>
        <v/>
      </c>
      <c r="E96" t="str">
        <f t="shared" si="2"/>
        <v/>
      </c>
      <c r="F96" t="str">
        <f t="shared" si="3"/>
        <v/>
      </c>
    </row>
    <row r="97">
      <c r="D97" s="103" t="str">
        <f t="shared" si="1"/>
        <v/>
      </c>
      <c r="E97" t="str">
        <f t="shared" si="2"/>
        <v/>
      </c>
      <c r="F97" t="str">
        <f t="shared" si="3"/>
        <v/>
      </c>
    </row>
    <row r="98">
      <c r="D98" s="103" t="str">
        <f t="shared" si="1"/>
        <v/>
      </c>
      <c r="E98" t="str">
        <f t="shared" si="2"/>
        <v/>
      </c>
      <c r="F98" t="str">
        <f t="shared" si="3"/>
        <v/>
      </c>
    </row>
    <row r="99">
      <c r="D99" s="103" t="str">
        <f t="shared" si="1"/>
        <v/>
      </c>
      <c r="E99" t="str">
        <f t="shared" si="2"/>
        <v/>
      </c>
      <c r="F99" t="str">
        <f t="shared" si="3"/>
        <v/>
      </c>
    </row>
    <row r="100">
      <c r="D100" s="103" t="str">
        <f t="shared" si="1"/>
        <v/>
      </c>
      <c r="E100" t="str">
        <f t="shared" si="2"/>
        <v/>
      </c>
      <c r="F100" t="str">
        <f t="shared" si="3"/>
        <v/>
      </c>
    </row>
    <row r="101">
      <c r="D101" s="103" t="str">
        <f t="shared" si="1"/>
        <v/>
      </c>
      <c r="E101" t="str">
        <f t="shared" si="2"/>
        <v/>
      </c>
      <c r="F101" t="str">
        <f t="shared" si="3"/>
        <v/>
      </c>
    </row>
    <row r="102">
      <c r="D102" s="103" t="str">
        <f t="shared" si="1"/>
        <v/>
      </c>
      <c r="E102" t="str">
        <f t="shared" si="2"/>
        <v/>
      </c>
      <c r="F102" t="str">
        <f t="shared" si="3"/>
        <v/>
      </c>
    </row>
    <row r="103">
      <c r="D103" s="103" t="str">
        <f t="shared" si="1"/>
        <v/>
      </c>
      <c r="E103" t="str">
        <f t="shared" si="2"/>
        <v/>
      </c>
      <c r="F103" t="str">
        <f t="shared" si="3"/>
        <v/>
      </c>
    </row>
    <row r="104">
      <c r="D104" s="103" t="str">
        <f t="shared" si="1"/>
        <v/>
      </c>
      <c r="E104" t="str">
        <f t="shared" si="2"/>
        <v/>
      </c>
      <c r="F104" t="str">
        <f t="shared" si="3"/>
        <v/>
      </c>
    </row>
    <row r="105">
      <c r="D105" s="103" t="str">
        <f t="shared" si="1"/>
        <v/>
      </c>
      <c r="E105" t="str">
        <f t="shared" si="2"/>
        <v/>
      </c>
      <c r="F105" t="str">
        <f t="shared" si="3"/>
        <v/>
      </c>
    </row>
    <row r="106">
      <c r="D106" s="103" t="str">
        <f t="shared" si="1"/>
        <v/>
      </c>
      <c r="E106" t="str">
        <f t="shared" si="2"/>
        <v/>
      </c>
      <c r="F106" t="str">
        <f t="shared" si="3"/>
        <v/>
      </c>
    </row>
    <row r="107">
      <c r="D107" s="103" t="str">
        <f t="shared" si="1"/>
        <v/>
      </c>
      <c r="E107" t="str">
        <f t="shared" si="2"/>
        <v/>
      </c>
      <c r="F107" t="str">
        <f t="shared" si="3"/>
        <v/>
      </c>
    </row>
    <row r="108">
      <c r="D108" s="103" t="str">
        <f t="shared" si="1"/>
        <v/>
      </c>
      <c r="E108" t="str">
        <f t="shared" si="2"/>
        <v/>
      </c>
      <c r="F108" t="str">
        <f t="shared" si="3"/>
        <v/>
      </c>
    </row>
    <row r="109">
      <c r="D109" s="103" t="str">
        <f t="shared" si="1"/>
        <v/>
      </c>
      <c r="E109" t="str">
        <f t="shared" si="2"/>
        <v/>
      </c>
      <c r="F109" t="str">
        <f t="shared" si="3"/>
        <v/>
      </c>
    </row>
    <row r="110">
      <c r="D110" s="103" t="str">
        <f t="shared" si="1"/>
        <v/>
      </c>
      <c r="E110" t="str">
        <f t="shared" si="2"/>
        <v/>
      </c>
      <c r="F110" t="str">
        <f t="shared" si="3"/>
        <v/>
      </c>
    </row>
    <row r="111">
      <c r="D111" s="103" t="str">
        <f t="shared" si="1"/>
        <v/>
      </c>
      <c r="E111" t="str">
        <f t="shared" si="2"/>
        <v/>
      </c>
      <c r="F111" t="str">
        <f t="shared" si="3"/>
        <v/>
      </c>
    </row>
    <row r="112">
      <c r="D112" s="103" t="str">
        <f t="shared" si="1"/>
        <v/>
      </c>
      <c r="E112" t="str">
        <f t="shared" si="2"/>
        <v/>
      </c>
      <c r="F112" t="str">
        <f t="shared" si="3"/>
        <v/>
      </c>
    </row>
    <row r="113">
      <c r="D113" s="103" t="str">
        <f t="shared" si="1"/>
        <v/>
      </c>
      <c r="E113" t="str">
        <f t="shared" si="2"/>
        <v/>
      </c>
      <c r="F113" t="str">
        <f t="shared" si="3"/>
        <v/>
      </c>
    </row>
    <row r="114">
      <c r="D114" s="103" t="str">
        <f t="shared" si="1"/>
        <v/>
      </c>
      <c r="E114" t="str">
        <f t="shared" si="2"/>
        <v/>
      </c>
      <c r="F114" t="str">
        <f t="shared" si="3"/>
        <v/>
      </c>
    </row>
    <row r="115">
      <c r="D115" s="103" t="str">
        <f t="shared" si="1"/>
        <v/>
      </c>
      <c r="E115" t="str">
        <f t="shared" si="2"/>
        <v/>
      </c>
      <c r="F115" t="str">
        <f t="shared" si="3"/>
        <v/>
      </c>
    </row>
    <row r="116">
      <c r="D116" s="103" t="str">
        <f t="shared" si="1"/>
        <v/>
      </c>
      <c r="E116" t="str">
        <f t="shared" si="2"/>
        <v/>
      </c>
      <c r="F116" t="str">
        <f t="shared" si="3"/>
        <v/>
      </c>
    </row>
    <row r="117">
      <c r="D117" s="103" t="str">
        <f t="shared" si="1"/>
        <v/>
      </c>
      <c r="E117" t="str">
        <f t="shared" si="2"/>
        <v/>
      </c>
      <c r="F117" t="str">
        <f t="shared" si="3"/>
        <v/>
      </c>
    </row>
    <row r="118">
      <c r="D118" s="103" t="str">
        <f t="shared" si="1"/>
        <v/>
      </c>
      <c r="E118" t="str">
        <f t="shared" si="2"/>
        <v/>
      </c>
      <c r="F118" t="str">
        <f t="shared" si="3"/>
        <v/>
      </c>
    </row>
    <row r="119">
      <c r="D119" s="103" t="str">
        <f t="shared" si="1"/>
        <v/>
      </c>
      <c r="E119" t="str">
        <f t="shared" si="2"/>
        <v/>
      </c>
      <c r="F119" t="str">
        <f t="shared" si="3"/>
        <v/>
      </c>
    </row>
    <row r="120">
      <c r="D120" s="103" t="str">
        <f t="shared" si="1"/>
        <v/>
      </c>
      <c r="E120" t="str">
        <f t="shared" si="2"/>
        <v/>
      </c>
      <c r="F120" t="str">
        <f t="shared" si="3"/>
        <v/>
      </c>
    </row>
    <row r="121">
      <c r="D121" s="103" t="str">
        <f t="shared" si="1"/>
        <v/>
      </c>
      <c r="E121" t="str">
        <f t="shared" si="2"/>
        <v/>
      </c>
      <c r="F121" t="str">
        <f t="shared" si="3"/>
        <v/>
      </c>
    </row>
    <row r="122">
      <c r="D122" s="103" t="str">
        <f t="shared" si="1"/>
        <v/>
      </c>
      <c r="E122" t="str">
        <f t="shared" si="2"/>
        <v/>
      </c>
      <c r="F122" t="str">
        <f t="shared" si="3"/>
        <v/>
      </c>
    </row>
    <row r="123">
      <c r="D123" s="103" t="str">
        <f t="shared" si="1"/>
        <v/>
      </c>
      <c r="E123" t="str">
        <f t="shared" si="2"/>
        <v/>
      </c>
      <c r="F123" t="str">
        <f t="shared" si="3"/>
        <v/>
      </c>
    </row>
    <row r="124">
      <c r="D124" s="103" t="str">
        <f t="shared" si="1"/>
        <v/>
      </c>
      <c r="E124" t="str">
        <f t="shared" si="2"/>
        <v/>
      </c>
      <c r="F124" t="str">
        <f t="shared" si="3"/>
        <v/>
      </c>
    </row>
    <row r="125">
      <c r="D125" s="103" t="str">
        <f t="shared" si="1"/>
        <v/>
      </c>
      <c r="E125" t="str">
        <f t="shared" si="2"/>
        <v/>
      </c>
      <c r="F125" t="str">
        <f t="shared" si="3"/>
        <v/>
      </c>
    </row>
    <row r="126">
      <c r="D126" s="103" t="str">
        <f t="shared" si="1"/>
        <v/>
      </c>
      <c r="E126" t="str">
        <f t="shared" si="2"/>
        <v/>
      </c>
      <c r="F126" t="str">
        <f t="shared" si="3"/>
        <v/>
      </c>
    </row>
    <row r="127">
      <c r="D127" s="103" t="str">
        <f t="shared" si="1"/>
        <v/>
      </c>
      <c r="E127" t="str">
        <f t="shared" si="2"/>
        <v/>
      </c>
      <c r="F127" t="str">
        <f t="shared" si="3"/>
        <v/>
      </c>
    </row>
    <row r="128">
      <c r="D128" s="103" t="str">
        <f t="shared" si="1"/>
        <v/>
      </c>
      <c r="E128" t="str">
        <f t="shared" si="2"/>
        <v/>
      </c>
      <c r="F128" t="str">
        <f t="shared" si="3"/>
        <v/>
      </c>
    </row>
    <row r="129">
      <c r="D129" s="103" t="str">
        <f t="shared" si="1"/>
        <v/>
      </c>
      <c r="E129" t="str">
        <f t="shared" si="2"/>
        <v/>
      </c>
      <c r="F129" t="str">
        <f t="shared" si="3"/>
        <v/>
      </c>
    </row>
    <row r="130">
      <c r="D130" s="103" t="str">
        <f t="shared" si="1"/>
        <v/>
      </c>
      <c r="E130" t="str">
        <f t="shared" si="2"/>
        <v/>
      </c>
      <c r="F130" t="str">
        <f t="shared" si="3"/>
        <v/>
      </c>
    </row>
    <row r="131">
      <c r="D131" s="103" t="str">
        <f t="shared" si="1"/>
        <v/>
      </c>
      <c r="E131" t="str">
        <f t="shared" si="2"/>
        <v/>
      </c>
      <c r="F131" t="str">
        <f t="shared" si="3"/>
        <v/>
      </c>
    </row>
    <row r="132">
      <c r="D132" s="103" t="str">
        <f t="shared" si="1"/>
        <v/>
      </c>
      <c r="E132" t="str">
        <f t="shared" si="2"/>
        <v/>
      </c>
      <c r="F132" t="str">
        <f t="shared" si="3"/>
        <v/>
      </c>
    </row>
    <row r="133">
      <c r="D133" s="103" t="str">
        <f t="shared" si="1"/>
        <v/>
      </c>
      <c r="E133" t="str">
        <f t="shared" si="2"/>
        <v/>
      </c>
      <c r="F133" t="str">
        <f t="shared" si="3"/>
        <v/>
      </c>
    </row>
    <row r="134">
      <c r="D134" s="103" t="str">
        <f t="shared" si="1"/>
        <v/>
      </c>
      <c r="E134" t="str">
        <f t="shared" si="2"/>
        <v/>
      </c>
      <c r="F134" t="str">
        <f t="shared" si="3"/>
        <v/>
      </c>
    </row>
    <row r="135">
      <c r="D135" s="103" t="str">
        <f t="shared" si="1"/>
        <v/>
      </c>
      <c r="E135" t="str">
        <f t="shared" si="2"/>
        <v/>
      </c>
      <c r="F135" t="str">
        <f t="shared" si="3"/>
        <v/>
      </c>
    </row>
    <row r="136">
      <c r="D136" s="103" t="str">
        <f t="shared" si="1"/>
        <v/>
      </c>
      <c r="E136" t="str">
        <f t="shared" si="2"/>
        <v/>
      </c>
      <c r="F136" t="str">
        <f t="shared" si="3"/>
        <v/>
      </c>
    </row>
    <row r="137">
      <c r="D137" s="103" t="str">
        <f t="shared" si="1"/>
        <v/>
      </c>
      <c r="E137" t="str">
        <f t="shared" si="2"/>
        <v/>
      </c>
      <c r="F137" t="str">
        <f t="shared" si="3"/>
        <v/>
      </c>
    </row>
    <row r="138">
      <c r="D138" s="103" t="str">
        <f t="shared" si="1"/>
        <v/>
      </c>
      <c r="E138" t="str">
        <f t="shared" si="2"/>
        <v/>
      </c>
      <c r="F138" t="str">
        <f t="shared" si="3"/>
        <v/>
      </c>
    </row>
    <row r="139">
      <c r="D139" s="103" t="str">
        <f t="shared" si="1"/>
        <v/>
      </c>
      <c r="E139" t="str">
        <f t="shared" si="2"/>
        <v/>
      </c>
      <c r="F139" t="str">
        <f t="shared" si="3"/>
        <v/>
      </c>
    </row>
    <row r="140">
      <c r="D140" s="103" t="str">
        <f t="shared" si="1"/>
        <v/>
      </c>
      <c r="E140" t="str">
        <f t="shared" si="2"/>
        <v/>
      </c>
      <c r="F140" t="str">
        <f t="shared" si="3"/>
        <v/>
      </c>
    </row>
    <row r="141">
      <c r="D141" s="103" t="str">
        <f t="shared" si="1"/>
        <v/>
      </c>
      <c r="E141" t="str">
        <f t="shared" si="2"/>
        <v/>
      </c>
      <c r="F141" t="str">
        <f t="shared" si="3"/>
        <v/>
      </c>
    </row>
    <row r="142">
      <c r="D142" s="103" t="str">
        <f t="shared" si="1"/>
        <v/>
      </c>
      <c r="E142" t="str">
        <f t="shared" si="2"/>
        <v/>
      </c>
      <c r="F142" t="str">
        <f t="shared" si="3"/>
        <v/>
      </c>
    </row>
    <row r="143">
      <c r="D143" s="103" t="str">
        <f t="shared" si="1"/>
        <v/>
      </c>
      <c r="E143" t="str">
        <f t="shared" si="2"/>
        <v/>
      </c>
      <c r="F143" t="str">
        <f t="shared" si="3"/>
        <v/>
      </c>
    </row>
    <row r="144">
      <c r="D144" s="103" t="str">
        <f t="shared" si="1"/>
        <v/>
      </c>
      <c r="E144" t="str">
        <f t="shared" si="2"/>
        <v/>
      </c>
      <c r="F144" t="str">
        <f t="shared" si="3"/>
        <v/>
      </c>
    </row>
    <row r="145">
      <c r="D145" s="103" t="str">
        <f t="shared" si="1"/>
        <v/>
      </c>
      <c r="E145" t="str">
        <f t="shared" si="2"/>
        <v/>
      </c>
      <c r="F145" t="str">
        <f t="shared" si="3"/>
        <v/>
      </c>
    </row>
    <row r="146">
      <c r="D146" s="103" t="str">
        <f t="shared" si="1"/>
        <v/>
      </c>
      <c r="E146" t="str">
        <f t="shared" si="2"/>
        <v/>
      </c>
      <c r="F146" t="str">
        <f t="shared" si="3"/>
        <v/>
      </c>
    </row>
    <row r="147">
      <c r="D147" s="103" t="str">
        <f t="shared" si="1"/>
        <v/>
      </c>
      <c r="E147" t="str">
        <f t="shared" si="2"/>
        <v/>
      </c>
      <c r="F147" t="str">
        <f t="shared" si="3"/>
        <v/>
      </c>
    </row>
    <row r="148">
      <c r="D148" s="103"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3.88"/>
    <col customWidth="1" min="16" max="16" width="1.75"/>
    <col customWidth="1" min="17" max="17" width="13.63"/>
    <col customWidth="1" min="18" max="18" width="17.0"/>
    <col customWidth="1" min="19" max="21" width="3.75"/>
    <col customWidth="1" min="22" max="22" width="4.63"/>
    <col customWidth="1" min="23" max="23" width="8.25"/>
    <col customWidth="1" min="24" max="24" width="4.25"/>
    <col customWidth="1" min="25" max="25" width="11.0"/>
    <col customWidth="1" min="26" max="26" width="21.5"/>
    <col customWidth="1" min="27" max="27" width="15.75"/>
    <col customWidth="1" min="28" max="28" width="36.25"/>
    <col customWidth="1" min="29" max="29" width="16.38"/>
    <col customWidth="1" min="30" max="30" width="18.5"/>
    <col customWidth="1" min="31" max="31" width="1.38"/>
  </cols>
  <sheetData>
    <row r="1" ht="33.75" customHeight="1">
      <c r="A1" s="213"/>
      <c r="B1" s="107" t="s">
        <v>223</v>
      </c>
      <c r="AE1" s="213"/>
    </row>
    <row r="2" ht="24.0" customHeight="1">
      <c r="A2" s="213"/>
      <c r="B2" s="344"/>
      <c r="C2" s="63"/>
      <c r="D2" s="64"/>
      <c r="E2" s="89"/>
      <c r="F2" s="89"/>
      <c r="G2" s="89"/>
      <c r="H2" s="89"/>
      <c r="I2" s="66"/>
      <c r="J2" s="257"/>
      <c r="AE2" s="213"/>
    </row>
    <row r="3" ht="31.5" customHeight="1">
      <c r="A3" s="213"/>
      <c r="C3" s="345" t="s">
        <v>224</v>
      </c>
      <c r="D3" s="346" t="s">
        <v>225</v>
      </c>
      <c r="E3" s="85"/>
      <c r="F3" s="85"/>
      <c r="G3" s="85"/>
      <c r="H3" s="85"/>
      <c r="I3" s="86"/>
      <c r="AE3" s="213"/>
    </row>
    <row r="4" ht="21.0" customHeight="1">
      <c r="A4" s="213"/>
      <c r="B4" s="262" t="s">
        <v>191</v>
      </c>
      <c r="C4" s="263" t="s">
        <v>192</v>
      </c>
      <c r="D4" s="347" t="s">
        <v>226</v>
      </c>
      <c r="E4" s="348"/>
      <c r="F4" s="348"/>
      <c r="G4" s="348"/>
      <c r="H4" s="348"/>
      <c r="I4" s="348"/>
      <c r="J4" s="348"/>
      <c r="K4" s="348"/>
      <c r="L4" s="348"/>
      <c r="M4" s="349"/>
      <c r="N4" s="350" t="s">
        <v>227</v>
      </c>
      <c r="O4" s="348"/>
      <c r="P4" s="348"/>
      <c r="Q4" s="349"/>
      <c r="R4" s="264" t="s">
        <v>228</v>
      </c>
      <c r="S4" s="351" t="s">
        <v>229</v>
      </c>
      <c r="T4" s="266"/>
      <c r="U4" s="266"/>
      <c r="V4" s="267"/>
      <c r="W4" s="352" t="s">
        <v>230</v>
      </c>
      <c r="X4" s="353"/>
      <c r="Y4" s="263" t="s">
        <v>231</v>
      </c>
      <c r="Z4" s="263" t="s">
        <v>197</v>
      </c>
      <c r="AA4" s="263" t="s">
        <v>232</v>
      </c>
      <c r="AC4" s="268" t="s">
        <v>233</v>
      </c>
      <c r="AD4" s="268" t="s">
        <v>6</v>
      </c>
      <c r="AE4" s="213"/>
    </row>
    <row r="5" ht="60.75" customHeight="1">
      <c r="A5" s="213"/>
      <c r="B5" s="82"/>
      <c r="D5" s="354" t="s">
        <v>234</v>
      </c>
      <c r="E5" s="355" t="s">
        <v>235</v>
      </c>
      <c r="F5" s="355" t="s">
        <v>236</v>
      </c>
      <c r="G5" s="355" t="s">
        <v>237</v>
      </c>
      <c r="H5" s="355" t="s">
        <v>238</v>
      </c>
      <c r="I5" s="355" t="s">
        <v>239</v>
      </c>
      <c r="J5" s="355" t="s">
        <v>240</v>
      </c>
      <c r="K5" s="355" t="s">
        <v>241</v>
      </c>
      <c r="L5" s="355" t="s">
        <v>242</v>
      </c>
      <c r="M5" s="356" t="s">
        <v>243</v>
      </c>
      <c r="N5" s="357" t="s">
        <v>244</v>
      </c>
      <c r="O5" s="358" t="s">
        <v>245</v>
      </c>
      <c r="P5" s="359"/>
      <c r="Q5" s="360" t="s">
        <v>246</v>
      </c>
      <c r="S5" s="361" t="s">
        <v>247</v>
      </c>
      <c r="T5" s="362" t="s">
        <v>248</v>
      </c>
      <c r="U5" s="362" t="s">
        <v>249</v>
      </c>
      <c r="V5" s="353"/>
      <c r="W5" s="363" t="s">
        <v>200</v>
      </c>
      <c r="X5" s="364" t="s">
        <v>116</v>
      </c>
      <c r="AE5" s="213"/>
    </row>
    <row r="6" ht="112.5" customHeight="1">
      <c r="A6" s="213"/>
      <c r="B6" s="365">
        <v>1.0</v>
      </c>
      <c r="C6" s="366"/>
      <c r="D6" s="367" t="b">
        <v>0</v>
      </c>
      <c r="E6" s="368" t="b">
        <v>0</v>
      </c>
      <c r="F6" s="368" t="b">
        <v>0</v>
      </c>
      <c r="G6" s="368" t="b">
        <v>0</v>
      </c>
      <c r="H6" s="368" t="b">
        <v>0</v>
      </c>
      <c r="I6" s="368" t="b">
        <v>0</v>
      </c>
      <c r="J6" s="368" t="b">
        <v>0</v>
      </c>
      <c r="K6" s="368" t="b">
        <v>0</v>
      </c>
      <c r="L6" s="368" t="b">
        <v>0</v>
      </c>
      <c r="M6" s="369" t="b">
        <v>0</v>
      </c>
      <c r="N6" s="367"/>
      <c r="O6" s="368"/>
      <c r="P6" s="370" t="s">
        <v>250</v>
      </c>
      <c r="Q6" s="369"/>
      <c r="R6" s="368"/>
      <c r="S6" s="367" t="b">
        <v>0</v>
      </c>
      <c r="T6" s="369" t="b">
        <v>0</v>
      </c>
      <c r="U6" s="371"/>
      <c r="V6" s="372"/>
      <c r="W6" s="373"/>
      <c r="X6" s="374"/>
      <c r="Y6" s="368"/>
      <c r="Z6" s="368"/>
      <c r="AA6" s="368"/>
      <c r="AB6" s="200"/>
      <c r="AC6" s="375" t="str">
        <f t="shared" ref="AC6:AC34" si="1">IF(N6 &gt; 0, N6-O6,"")</f>
        <v/>
      </c>
      <c r="AD6" s="376" t="str">
        <f t="shared" ref="AD6:AD34" si="2">IF(N6 = 0, "",
IF(N6 &lt; 10, "1 - Insignificant",
IF(N6 &lt; 20, "2 - Weak",
IF(N6 &lt; 30, "3 - Empowered",
IF(N6 &lt; 40, "4 - Strong",
IF(N6 &lt; 50, "5 - Mighty",
IF(N6 &lt; 60, "6 - Heroic",
IF(N6 &lt; 70, "7 - Legendary",
IF(N6 &lt; 80, "8 - Mythical",
IF(N6 &lt; 90, "9 - Titanic",
IF(N6 &gt; 89, "10 - Godly",)))))))))))</f>
        <v/>
      </c>
      <c r="AE6" s="213"/>
    </row>
    <row r="7" ht="112.5" customHeight="1">
      <c r="A7" s="213"/>
      <c r="B7" s="365">
        <v>2.0</v>
      </c>
      <c r="C7" s="377"/>
      <c r="D7" s="378" t="b">
        <v>0</v>
      </c>
      <c r="E7" s="229" t="b">
        <v>0</v>
      </c>
      <c r="F7" s="229" t="b">
        <v>0</v>
      </c>
      <c r="G7" s="229" t="b">
        <v>0</v>
      </c>
      <c r="H7" s="229" t="b">
        <v>0</v>
      </c>
      <c r="I7" s="229" t="b">
        <v>0</v>
      </c>
      <c r="J7" s="229" t="b">
        <v>0</v>
      </c>
      <c r="K7" s="229" t="b">
        <v>0</v>
      </c>
      <c r="L7" s="229" t="b">
        <v>0</v>
      </c>
      <c r="M7" s="379" t="b">
        <v>0</v>
      </c>
      <c r="N7" s="378"/>
      <c r="O7" s="229"/>
      <c r="P7" s="380" t="s">
        <v>250</v>
      </c>
      <c r="Q7" s="379"/>
      <c r="R7" s="229"/>
      <c r="S7" s="378" t="b">
        <v>0</v>
      </c>
      <c r="T7" s="379" t="b">
        <v>0</v>
      </c>
      <c r="U7" s="381"/>
      <c r="V7" s="382"/>
      <c r="W7" s="383"/>
      <c r="X7" s="384"/>
      <c r="Y7" s="229"/>
      <c r="Z7" s="229"/>
      <c r="AA7" s="229"/>
      <c r="AC7" s="385" t="str">
        <f t="shared" si="1"/>
        <v/>
      </c>
      <c r="AD7" s="386" t="str">
        <f t="shared" si="2"/>
        <v/>
      </c>
      <c r="AE7" s="213"/>
    </row>
    <row r="8" ht="112.5" customHeight="1">
      <c r="A8" s="213"/>
      <c r="B8" s="365">
        <v>3.0</v>
      </c>
      <c r="C8" s="387"/>
      <c r="D8" s="388" t="b">
        <v>0</v>
      </c>
      <c r="E8" s="389" t="b">
        <v>0</v>
      </c>
      <c r="F8" s="389" t="b">
        <v>0</v>
      </c>
      <c r="G8" s="389" t="b">
        <v>0</v>
      </c>
      <c r="H8" s="389" t="b">
        <v>0</v>
      </c>
      <c r="I8" s="389" t="b">
        <v>0</v>
      </c>
      <c r="J8" s="389" t="b">
        <v>0</v>
      </c>
      <c r="K8" s="389" t="b">
        <v>0</v>
      </c>
      <c r="L8" s="389" t="b">
        <v>0</v>
      </c>
      <c r="M8" s="390" t="b">
        <v>0</v>
      </c>
      <c r="N8" s="391"/>
      <c r="O8" s="392"/>
      <c r="P8" s="380" t="s">
        <v>250</v>
      </c>
      <c r="Q8" s="390"/>
      <c r="R8" s="389"/>
      <c r="S8" s="388" t="b">
        <v>0</v>
      </c>
      <c r="T8" s="390" t="b">
        <v>0</v>
      </c>
      <c r="U8" s="393"/>
      <c r="V8" s="394"/>
      <c r="W8" s="373"/>
      <c r="X8" s="374"/>
      <c r="Y8" s="392"/>
      <c r="Z8" s="389"/>
      <c r="AA8" s="389"/>
      <c r="AC8" s="385" t="str">
        <f t="shared" si="1"/>
        <v/>
      </c>
      <c r="AD8" s="386" t="str">
        <f t="shared" si="2"/>
        <v/>
      </c>
      <c r="AE8" s="213"/>
    </row>
    <row r="9" ht="112.5" customHeight="1">
      <c r="A9" s="213"/>
      <c r="B9" s="365">
        <v>4.0</v>
      </c>
      <c r="C9" s="377"/>
      <c r="D9" s="378" t="b">
        <v>0</v>
      </c>
      <c r="E9" s="229" t="b">
        <v>0</v>
      </c>
      <c r="F9" s="229" t="b">
        <v>0</v>
      </c>
      <c r="G9" s="229" t="b">
        <v>0</v>
      </c>
      <c r="H9" s="229" t="b">
        <v>0</v>
      </c>
      <c r="I9" s="229" t="b">
        <v>0</v>
      </c>
      <c r="J9" s="229" t="b">
        <v>0</v>
      </c>
      <c r="K9" s="229" t="b">
        <v>0</v>
      </c>
      <c r="L9" s="229" t="b">
        <v>0</v>
      </c>
      <c r="M9" s="379" t="b">
        <v>0</v>
      </c>
      <c r="N9" s="378"/>
      <c r="O9" s="229"/>
      <c r="P9" s="380" t="s">
        <v>250</v>
      </c>
      <c r="Q9" s="379"/>
      <c r="R9" s="229"/>
      <c r="S9" s="378" t="b">
        <v>0</v>
      </c>
      <c r="T9" s="379" t="b">
        <v>0</v>
      </c>
      <c r="U9" s="381"/>
      <c r="V9" s="382"/>
      <c r="W9" s="383"/>
      <c r="X9" s="384"/>
      <c r="Y9" s="229"/>
      <c r="Z9" s="229"/>
      <c r="AA9" s="229"/>
      <c r="AC9" s="385" t="str">
        <f t="shared" si="1"/>
        <v/>
      </c>
      <c r="AD9" s="386" t="str">
        <f t="shared" si="2"/>
        <v/>
      </c>
      <c r="AE9" s="213"/>
    </row>
    <row r="10" ht="112.5" customHeight="1">
      <c r="A10" s="213"/>
      <c r="B10" s="365">
        <v>5.0</v>
      </c>
      <c r="C10" s="387"/>
      <c r="D10" s="388" t="b">
        <v>0</v>
      </c>
      <c r="E10" s="389" t="b">
        <v>0</v>
      </c>
      <c r="F10" s="389" t="b">
        <v>0</v>
      </c>
      <c r="G10" s="389" t="b">
        <v>0</v>
      </c>
      <c r="H10" s="389" t="b">
        <v>0</v>
      </c>
      <c r="I10" s="389" t="b">
        <v>0</v>
      </c>
      <c r="J10" s="389" t="b">
        <v>0</v>
      </c>
      <c r="K10" s="389" t="b">
        <v>0</v>
      </c>
      <c r="L10" s="389" t="b">
        <v>0</v>
      </c>
      <c r="M10" s="390" t="b">
        <v>0</v>
      </c>
      <c r="N10" s="388"/>
      <c r="O10" s="389"/>
      <c r="P10" s="380" t="s">
        <v>250</v>
      </c>
      <c r="Q10" s="390"/>
      <c r="R10" s="389"/>
      <c r="S10" s="388" t="b">
        <v>0</v>
      </c>
      <c r="T10" s="390" t="b">
        <v>0</v>
      </c>
      <c r="U10" s="393"/>
      <c r="V10" s="394"/>
      <c r="W10" s="373"/>
      <c r="X10" s="374"/>
      <c r="Y10" s="389"/>
      <c r="Z10" s="389"/>
      <c r="AA10" s="389"/>
      <c r="AC10" s="385" t="str">
        <f t="shared" si="1"/>
        <v/>
      </c>
      <c r="AD10" s="386" t="str">
        <f t="shared" si="2"/>
        <v/>
      </c>
      <c r="AE10" s="213"/>
    </row>
    <row r="11" ht="112.5" customHeight="1">
      <c r="A11" s="213"/>
      <c r="B11" s="365">
        <v>6.0</v>
      </c>
      <c r="C11" s="377"/>
      <c r="D11" s="378" t="b">
        <v>0</v>
      </c>
      <c r="E11" s="229" t="b">
        <v>0</v>
      </c>
      <c r="F11" s="229" t="b">
        <v>0</v>
      </c>
      <c r="G11" s="229" t="b">
        <v>0</v>
      </c>
      <c r="H11" s="229" t="b">
        <v>0</v>
      </c>
      <c r="I11" s="229" t="b">
        <v>0</v>
      </c>
      <c r="J11" s="229" t="b">
        <v>0</v>
      </c>
      <c r="K11" s="229" t="b">
        <v>0</v>
      </c>
      <c r="L11" s="229" t="b">
        <v>0</v>
      </c>
      <c r="M11" s="379" t="b">
        <v>0</v>
      </c>
      <c r="N11" s="395"/>
      <c r="O11" s="396"/>
      <c r="P11" s="380" t="s">
        <v>250</v>
      </c>
      <c r="Q11" s="379"/>
      <c r="R11" s="229"/>
      <c r="S11" s="378" t="b">
        <v>0</v>
      </c>
      <c r="T11" s="379" t="b">
        <v>0</v>
      </c>
      <c r="U11" s="381"/>
      <c r="V11" s="382"/>
      <c r="W11" s="383"/>
      <c r="X11" s="384"/>
      <c r="Y11" s="396"/>
      <c r="Z11" s="229"/>
      <c r="AA11" s="229"/>
      <c r="AC11" s="385" t="str">
        <f t="shared" si="1"/>
        <v/>
      </c>
      <c r="AD11" s="386" t="str">
        <f t="shared" si="2"/>
        <v/>
      </c>
      <c r="AE11" s="213"/>
    </row>
    <row r="12" ht="112.5" customHeight="1">
      <c r="A12" s="213"/>
      <c r="B12" s="397">
        <v>7.0</v>
      </c>
      <c r="C12" s="387"/>
      <c r="D12" s="388" t="b">
        <v>0</v>
      </c>
      <c r="E12" s="389" t="b">
        <v>0</v>
      </c>
      <c r="F12" s="389" t="b">
        <v>0</v>
      </c>
      <c r="G12" s="389" t="b">
        <v>0</v>
      </c>
      <c r="H12" s="389" t="b">
        <v>0</v>
      </c>
      <c r="I12" s="389" t="b">
        <v>0</v>
      </c>
      <c r="J12" s="389" t="b">
        <v>0</v>
      </c>
      <c r="K12" s="389" t="b">
        <v>0</v>
      </c>
      <c r="L12" s="389" t="b">
        <v>0</v>
      </c>
      <c r="M12" s="390" t="b">
        <v>0</v>
      </c>
      <c r="N12" s="388"/>
      <c r="O12" s="389"/>
      <c r="P12" s="380" t="s">
        <v>250</v>
      </c>
      <c r="Q12" s="390"/>
      <c r="R12" s="389"/>
      <c r="S12" s="388" t="b">
        <v>0</v>
      </c>
      <c r="T12" s="390" t="b">
        <v>0</v>
      </c>
      <c r="U12" s="393"/>
      <c r="V12" s="394"/>
      <c r="W12" s="373"/>
      <c r="X12" s="374"/>
      <c r="Y12" s="389"/>
      <c r="Z12" s="389"/>
      <c r="AA12" s="389"/>
      <c r="AC12" s="385" t="str">
        <f t="shared" si="1"/>
        <v/>
      </c>
      <c r="AD12" s="386" t="str">
        <f t="shared" si="2"/>
        <v/>
      </c>
      <c r="AE12" s="213"/>
    </row>
    <row r="13" ht="112.5" customHeight="1">
      <c r="A13" s="213"/>
      <c r="B13" s="397">
        <v>8.0</v>
      </c>
      <c r="C13" s="377"/>
      <c r="D13" s="378" t="b">
        <v>0</v>
      </c>
      <c r="E13" s="229" t="b">
        <v>0</v>
      </c>
      <c r="F13" s="229" t="b">
        <v>0</v>
      </c>
      <c r="G13" s="229" t="b">
        <v>0</v>
      </c>
      <c r="H13" s="229" t="b">
        <v>0</v>
      </c>
      <c r="I13" s="229" t="b">
        <v>0</v>
      </c>
      <c r="J13" s="229" t="b">
        <v>0</v>
      </c>
      <c r="K13" s="229" t="b">
        <v>0</v>
      </c>
      <c r="L13" s="229" t="b">
        <v>0</v>
      </c>
      <c r="M13" s="379" t="b">
        <v>0</v>
      </c>
      <c r="N13" s="378"/>
      <c r="O13" s="229"/>
      <c r="P13" s="380" t="s">
        <v>250</v>
      </c>
      <c r="Q13" s="379"/>
      <c r="R13" s="229"/>
      <c r="S13" s="378" t="b">
        <v>0</v>
      </c>
      <c r="T13" s="379" t="b">
        <v>0</v>
      </c>
      <c r="U13" s="381"/>
      <c r="V13" s="382"/>
      <c r="W13" s="383"/>
      <c r="X13" s="384"/>
      <c r="Y13" s="229"/>
      <c r="Z13" s="229"/>
      <c r="AA13" s="229"/>
      <c r="AC13" s="385" t="str">
        <f t="shared" si="1"/>
        <v/>
      </c>
      <c r="AD13" s="386" t="str">
        <f t="shared" si="2"/>
        <v/>
      </c>
      <c r="AE13" s="213"/>
    </row>
    <row r="14" ht="112.5" customHeight="1">
      <c r="A14" s="213"/>
      <c r="B14" s="397">
        <v>9.0</v>
      </c>
      <c r="C14" s="387"/>
      <c r="D14" s="388" t="b">
        <v>0</v>
      </c>
      <c r="E14" s="389" t="b">
        <v>0</v>
      </c>
      <c r="F14" s="389" t="b">
        <v>0</v>
      </c>
      <c r="G14" s="389" t="b">
        <v>0</v>
      </c>
      <c r="H14" s="389" t="b">
        <v>0</v>
      </c>
      <c r="I14" s="389" t="b">
        <v>0</v>
      </c>
      <c r="J14" s="389" t="b">
        <v>0</v>
      </c>
      <c r="K14" s="389" t="b">
        <v>0</v>
      </c>
      <c r="L14" s="389" t="b">
        <v>0</v>
      </c>
      <c r="M14" s="390" t="b">
        <v>0</v>
      </c>
      <c r="N14" s="391"/>
      <c r="O14" s="392"/>
      <c r="P14" s="380" t="s">
        <v>250</v>
      </c>
      <c r="Q14" s="390"/>
      <c r="R14" s="389"/>
      <c r="S14" s="388" t="b">
        <v>0</v>
      </c>
      <c r="T14" s="390" t="b">
        <v>0</v>
      </c>
      <c r="U14" s="393"/>
      <c r="V14" s="394"/>
      <c r="W14" s="373"/>
      <c r="X14" s="374"/>
      <c r="Y14" s="392"/>
      <c r="Z14" s="389"/>
      <c r="AA14" s="389"/>
      <c r="AC14" s="385" t="str">
        <f t="shared" si="1"/>
        <v/>
      </c>
      <c r="AD14" s="386" t="str">
        <f t="shared" si="2"/>
        <v/>
      </c>
      <c r="AE14" s="213"/>
    </row>
    <row r="15" ht="112.5" customHeight="1">
      <c r="A15" s="213"/>
      <c r="B15" s="397">
        <v>10.0</v>
      </c>
      <c r="C15" s="377"/>
      <c r="D15" s="378" t="b">
        <v>0</v>
      </c>
      <c r="E15" s="229" t="b">
        <v>0</v>
      </c>
      <c r="F15" s="229" t="b">
        <v>0</v>
      </c>
      <c r="G15" s="229" t="b">
        <v>0</v>
      </c>
      <c r="H15" s="229" t="b">
        <v>0</v>
      </c>
      <c r="I15" s="229" t="b">
        <v>0</v>
      </c>
      <c r="J15" s="229" t="b">
        <v>0</v>
      </c>
      <c r="K15" s="229" t="b">
        <v>0</v>
      </c>
      <c r="L15" s="229" t="b">
        <v>0</v>
      </c>
      <c r="M15" s="379" t="b">
        <v>0</v>
      </c>
      <c r="N15" s="395"/>
      <c r="O15" s="396"/>
      <c r="P15" s="380" t="s">
        <v>250</v>
      </c>
      <c r="Q15" s="379"/>
      <c r="R15" s="229"/>
      <c r="S15" s="378" t="b">
        <v>0</v>
      </c>
      <c r="T15" s="379" t="b">
        <v>0</v>
      </c>
      <c r="U15" s="381"/>
      <c r="V15" s="382"/>
      <c r="W15" s="383"/>
      <c r="X15" s="384"/>
      <c r="Y15" s="396"/>
      <c r="Z15" s="229"/>
      <c r="AA15" s="229"/>
      <c r="AC15" s="385" t="str">
        <f t="shared" si="1"/>
        <v/>
      </c>
      <c r="AD15" s="386" t="str">
        <f t="shared" si="2"/>
        <v/>
      </c>
      <c r="AE15" s="213"/>
    </row>
    <row r="16" ht="112.5" customHeight="1">
      <c r="A16" s="213"/>
      <c r="B16" s="397">
        <v>11.0</v>
      </c>
      <c r="C16" s="387"/>
      <c r="D16" s="388" t="b">
        <v>0</v>
      </c>
      <c r="E16" s="389" t="b">
        <v>0</v>
      </c>
      <c r="F16" s="389" t="b">
        <v>0</v>
      </c>
      <c r="G16" s="389" t="b">
        <v>0</v>
      </c>
      <c r="H16" s="389" t="b">
        <v>0</v>
      </c>
      <c r="I16" s="389" t="b">
        <v>0</v>
      </c>
      <c r="J16" s="389" t="b">
        <v>0</v>
      </c>
      <c r="K16" s="389" t="b">
        <v>0</v>
      </c>
      <c r="L16" s="389" t="b">
        <v>0</v>
      </c>
      <c r="M16" s="390" t="b">
        <v>0</v>
      </c>
      <c r="N16" s="391"/>
      <c r="O16" s="392"/>
      <c r="P16" s="380" t="s">
        <v>250</v>
      </c>
      <c r="Q16" s="390"/>
      <c r="R16" s="389"/>
      <c r="S16" s="388" t="b">
        <v>0</v>
      </c>
      <c r="T16" s="390" t="b">
        <v>0</v>
      </c>
      <c r="U16" s="393"/>
      <c r="V16" s="394"/>
      <c r="W16" s="373"/>
      <c r="X16" s="374"/>
      <c r="Y16" s="392"/>
      <c r="Z16" s="389"/>
      <c r="AA16" s="389"/>
      <c r="AC16" s="385" t="str">
        <f t="shared" si="1"/>
        <v/>
      </c>
      <c r="AD16" s="386" t="str">
        <f t="shared" si="2"/>
        <v/>
      </c>
      <c r="AE16" s="213"/>
    </row>
    <row r="17" ht="112.5" customHeight="1">
      <c r="A17" s="213"/>
      <c r="B17" s="397">
        <v>12.0</v>
      </c>
      <c r="C17" s="377"/>
      <c r="D17" s="378" t="b">
        <v>0</v>
      </c>
      <c r="E17" s="229" t="b">
        <v>0</v>
      </c>
      <c r="F17" s="229" t="b">
        <v>0</v>
      </c>
      <c r="G17" s="229" t="b">
        <v>0</v>
      </c>
      <c r="H17" s="229" t="b">
        <v>0</v>
      </c>
      <c r="I17" s="229" t="b">
        <v>0</v>
      </c>
      <c r="J17" s="229" t="b">
        <v>0</v>
      </c>
      <c r="K17" s="229" t="b">
        <v>0</v>
      </c>
      <c r="L17" s="229" t="b">
        <v>0</v>
      </c>
      <c r="M17" s="379" t="b">
        <v>0</v>
      </c>
      <c r="N17" s="395"/>
      <c r="O17" s="396"/>
      <c r="P17" s="380" t="s">
        <v>250</v>
      </c>
      <c r="Q17" s="379"/>
      <c r="R17" s="229"/>
      <c r="S17" s="378" t="b">
        <v>0</v>
      </c>
      <c r="T17" s="379" t="b">
        <v>0</v>
      </c>
      <c r="U17" s="381"/>
      <c r="V17" s="382"/>
      <c r="W17" s="383"/>
      <c r="X17" s="384"/>
      <c r="Y17" s="396"/>
      <c r="Z17" s="229"/>
      <c r="AA17" s="229"/>
      <c r="AC17" s="385" t="str">
        <f t="shared" si="1"/>
        <v/>
      </c>
      <c r="AD17" s="386" t="str">
        <f t="shared" si="2"/>
        <v/>
      </c>
      <c r="AE17" s="213"/>
    </row>
    <row r="18" ht="112.5" customHeight="1">
      <c r="A18" s="213"/>
      <c r="B18" s="397">
        <v>13.0</v>
      </c>
      <c r="C18" s="387"/>
      <c r="D18" s="388" t="b">
        <v>0</v>
      </c>
      <c r="E18" s="389" t="b">
        <v>0</v>
      </c>
      <c r="F18" s="389" t="b">
        <v>0</v>
      </c>
      <c r="G18" s="389" t="b">
        <v>0</v>
      </c>
      <c r="H18" s="389" t="b">
        <v>0</v>
      </c>
      <c r="I18" s="389" t="b">
        <v>0</v>
      </c>
      <c r="J18" s="389" t="b">
        <v>0</v>
      </c>
      <c r="K18" s="389" t="b">
        <v>0</v>
      </c>
      <c r="L18" s="389" t="b">
        <v>0</v>
      </c>
      <c r="M18" s="390" t="b">
        <v>0</v>
      </c>
      <c r="N18" s="391"/>
      <c r="O18" s="392"/>
      <c r="P18" s="380" t="s">
        <v>250</v>
      </c>
      <c r="Q18" s="390"/>
      <c r="R18" s="389"/>
      <c r="S18" s="388" t="b">
        <v>0</v>
      </c>
      <c r="T18" s="390" t="b">
        <v>0</v>
      </c>
      <c r="U18" s="393"/>
      <c r="V18" s="394"/>
      <c r="W18" s="373"/>
      <c r="X18" s="374"/>
      <c r="Y18" s="392"/>
      <c r="Z18" s="389"/>
      <c r="AA18" s="389"/>
      <c r="AC18" s="385" t="str">
        <f t="shared" si="1"/>
        <v/>
      </c>
      <c r="AD18" s="386" t="str">
        <f t="shared" si="2"/>
        <v/>
      </c>
      <c r="AE18" s="213"/>
    </row>
    <row r="19" ht="112.5" customHeight="1">
      <c r="A19" s="213"/>
      <c r="B19" s="397">
        <v>14.0</v>
      </c>
      <c r="C19" s="377"/>
      <c r="D19" s="378" t="b">
        <v>0</v>
      </c>
      <c r="E19" s="229" t="b">
        <v>0</v>
      </c>
      <c r="F19" s="229" t="b">
        <v>0</v>
      </c>
      <c r="G19" s="229" t="b">
        <v>0</v>
      </c>
      <c r="H19" s="229" t="b">
        <v>0</v>
      </c>
      <c r="I19" s="229" t="b">
        <v>0</v>
      </c>
      <c r="J19" s="229" t="b">
        <v>0</v>
      </c>
      <c r="K19" s="229" t="b">
        <v>0</v>
      </c>
      <c r="L19" s="229" t="b">
        <v>0</v>
      </c>
      <c r="M19" s="379" t="b">
        <v>0</v>
      </c>
      <c r="N19" s="395"/>
      <c r="O19" s="396"/>
      <c r="P19" s="380" t="s">
        <v>250</v>
      </c>
      <c r="Q19" s="379"/>
      <c r="R19" s="229"/>
      <c r="S19" s="378" t="b">
        <v>0</v>
      </c>
      <c r="T19" s="379" t="b">
        <v>0</v>
      </c>
      <c r="U19" s="381"/>
      <c r="V19" s="382"/>
      <c r="W19" s="383"/>
      <c r="X19" s="384"/>
      <c r="Y19" s="396"/>
      <c r="Z19" s="229"/>
      <c r="AA19" s="229"/>
      <c r="AC19" s="385" t="str">
        <f t="shared" si="1"/>
        <v/>
      </c>
      <c r="AD19" s="386" t="str">
        <f t="shared" si="2"/>
        <v/>
      </c>
      <c r="AE19" s="213"/>
    </row>
    <row r="20" ht="112.5" customHeight="1">
      <c r="A20" s="213"/>
      <c r="B20" s="397">
        <v>15.0</v>
      </c>
      <c r="C20" s="387"/>
      <c r="D20" s="388" t="b">
        <v>0</v>
      </c>
      <c r="E20" s="389" t="b">
        <v>0</v>
      </c>
      <c r="F20" s="389" t="b">
        <v>0</v>
      </c>
      <c r="G20" s="389" t="b">
        <v>0</v>
      </c>
      <c r="H20" s="389" t="b">
        <v>0</v>
      </c>
      <c r="I20" s="389" t="b">
        <v>0</v>
      </c>
      <c r="J20" s="389" t="b">
        <v>0</v>
      </c>
      <c r="K20" s="389" t="b">
        <v>0</v>
      </c>
      <c r="L20" s="389" t="b">
        <v>0</v>
      </c>
      <c r="M20" s="390" t="b">
        <v>0</v>
      </c>
      <c r="N20" s="391"/>
      <c r="O20" s="392"/>
      <c r="P20" s="380" t="s">
        <v>250</v>
      </c>
      <c r="Q20" s="390"/>
      <c r="R20" s="389"/>
      <c r="S20" s="388" t="b">
        <v>0</v>
      </c>
      <c r="T20" s="390" t="b">
        <v>0</v>
      </c>
      <c r="U20" s="393"/>
      <c r="V20" s="394"/>
      <c r="W20" s="373"/>
      <c r="X20" s="374"/>
      <c r="Y20" s="392"/>
      <c r="Z20" s="389"/>
      <c r="AA20" s="389"/>
      <c r="AC20" s="385" t="str">
        <f t="shared" si="1"/>
        <v/>
      </c>
      <c r="AD20" s="386" t="str">
        <f t="shared" si="2"/>
        <v/>
      </c>
      <c r="AE20" s="213"/>
    </row>
    <row r="21" ht="112.5" customHeight="1">
      <c r="A21" s="213"/>
      <c r="B21" s="397">
        <v>16.0</v>
      </c>
      <c r="C21" s="377"/>
      <c r="D21" s="378" t="b">
        <v>0</v>
      </c>
      <c r="E21" s="229" t="b">
        <v>0</v>
      </c>
      <c r="F21" s="229" t="b">
        <v>0</v>
      </c>
      <c r="G21" s="229" t="b">
        <v>0</v>
      </c>
      <c r="H21" s="229" t="b">
        <v>0</v>
      </c>
      <c r="I21" s="229" t="b">
        <v>0</v>
      </c>
      <c r="J21" s="229" t="b">
        <v>0</v>
      </c>
      <c r="K21" s="229" t="b">
        <v>0</v>
      </c>
      <c r="L21" s="229" t="b">
        <v>0</v>
      </c>
      <c r="M21" s="379" t="b">
        <v>0</v>
      </c>
      <c r="N21" s="395"/>
      <c r="O21" s="396"/>
      <c r="P21" s="380" t="s">
        <v>250</v>
      </c>
      <c r="Q21" s="379"/>
      <c r="R21" s="229"/>
      <c r="S21" s="378" t="b">
        <v>0</v>
      </c>
      <c r="T21" s="379" t="b">
        <v>0</v>
      </c>
      <c r="U21" s="381"/>
      <c r="V21" s="382"/>
      <c r="W21" s="383"/>
      <c r="X21" s="384"/>
      <c r="Y21" s="396"/>
      <c r="Z21" s="229"/>
      <c r="AA21" s="229"/>
      <c r="AC21" s="385" t="str">
        <f t="shared" si="1"/>
        <v/>
      </c>
      <c r="AD21" s="386" t="str">
        <f t="shared" si="2"/>
        <v/>
      </c>
      <c r="AE21" s="213"/>
    </row>
    <row r="22" ht="112.5" customHeight="1">
      <c r="A22" s="213"/>
      <c r="B22" s="397">
        <v>17.0</v>
      </c>
      <c r="C22" s="387"/>
      <c r="D22" s="388" t="b">
        <v>0</v>
      </c>
      <c r="E22" s="389" t="b">
        <v>0</v>
      </c>
      <c r="F22" s="389" t="b">
        <v>0</v>
      </c>
      <c r="G22" s="389" t="b">
        <v>0</v>
      </c>
      <c r="H22" s="389" t="b">
        <v>0</v>
      </c>
      <c r="I22" s="389" t="b">
        <v>0</v>
      </c>
      <c r="J22" s="389" t="b">
        <v>0</v>
      </c>
      <c r="K22" s="389" t="b">
        <v>0</v>
      </c>
      <c r="L22" s="389" t="b">
        <v>0</v>
      </c>
      <c r="M22" s="390" t="b">
        <v>0</v>
      </c>
      <c r="N22" s="391"/>
      <c r="O22" s="392"/>
      <c r="P22" s="380" t="s">
        <v>250</v>
      </c>
      <c r="Q22" s="390"/>
      <c r="R22" s="389"/>
      <c r="S22" s="388" t="b">
        <v>0</v>
      </c>
      <c r="T22" s="390" t="b">
        <v>0</v>
      </c>
      <c r="U22" s="393"/>
      <c r="V22" s="394"/>
      <c r="W22" s="373"/>
      <c r="X22" s="374"/>
      <c r="Y22" s="392"/>
      <c r="Z22" s="389"/>
      <c r="AA22" s="389"/>
      <c r="AC22" s="385" t="str">
        <f t="shared" si="1"/>
        <v/>
      </c>
      <c r="AD22" s="386" t="str">
        <f t="shared" si="2"/>
        <v/>
      </c>
      <c r="AE22" s="213"/>
    </row>
    <row r="23" ht="112.5" customHeight="1">
      <c r="A23" s="213"/>
      <c r="B23" s="365">
        <v>18.0</v>
      </c>
      <c r="C23" s="377"/>
      <c r="D23" s="378" t="b">
        <v>0</v>
      </c>
      <c r="E23" s="229" t="b">
        <v>0</v>
      </c>
      <c r="F23" s="229" t="b">
        <v>0</v>
      </c>
      <c r="G23" s="229" t="b">
        <v>0</v>
      </c>
      <c r="H23" s="229" t="b">
        <v>0</v>
      </c>
      <c r="I23" s="229" t="b">
        <v>0</v>
      </c>
      <c r="J23" s="229" t="b">
        <v>0</v>
      </c>
      <c r="K23" s="229" t="b">
        <v>0</v>
      </c>
      <c r="L23" s="229" t="b">
        <v>0</v>
      </c>
      <c r="M23" s="379" t="b">
        <v>0</v>
      </c>
      <c r="N23" s="378"/>
      <c r="O23" s="229"/>
      <c r="P23" s="380" t="s">
        <v>250</v>
      </c>
      <c r="Q23" s="379"/>
      <c r="R23" s="229"/>
      <c r="S23" s="378" t="b">
        <v>0</v>
      </c>
      <c r="T23" s="379" t="b">
        <v>0</v>
      </c>
      <c r="U23" s="381"/>
      <c r="V23" s="382"/>
      <c r="W23" s="383"/>
      <c r="X23" s="384"/>
      <c r="Y23" s="229"/>
      <c r="Z23" s="229"/>
      <c r="AA23" s="229"/>
      <c r="AC23" s="385" t="str">
        <f t="shared" si="1"/>
        <v/>
      </c>
      <c r="AD23" s="386" t="str">
        <f t="shared" si="2"/>
        <v/>
      </c>
      <c r="AE23" s="213"/>
    </row>
    <row r="24" ht="112.5" customHeight="1">
      <c r="A24" s="213"/>
      <c r="B24" s="397">
        <v>19.0</v>
      </c>
      <c r="C24" s="387"/>
      <c r="D24" s="388" t="b">
        <v>0</v>
      </c>
      <c r="E24" s="389" t="b">
        <v>0</v>
      </c>
      <c r="F24" s="389" t="b">
        <v>0</v>
      </c>
      <c r="G24" s="389" t="b">
        <v>0</v>
      </c>
      <c r="H24" s="389" t="b">
        <v>0</v>
      </c>
      <c r="I24" s="389" t="b">
        <v>0</v>
      </c>
      <c r="J24" s="389" t="b">
        <v>0</v>
      </c>
      <c r="K24" s="389" t="b">
        <v>0</v>
      </c>
      <c r="L24" s="389" t="b">
        <v>0</v>
      </c>
      <c r="M24" s="390" t="b">
        <v>0</v>
      </c>
      <c r="N24" s="391"/>
      <c r="O24" s="392"/>
      <c r="P24" s="380" t="s">
        <v>250</v>
      </c>
      <c r="Q24" s="390"/>
      <c r="R24" s="389"/>
      <c r="S24" s="388" t="b">
        <v>0</v>
      </c>
      <c r="T24" s="390" t="b">
        <v>0</v>
      </c>
      <c r="U24" s="393"/>
      <c r="V24" s="394"/>
      <c r="W24" s="373"/>
      <c r="X24" s="374"/>
      <c r="Y24" s="392"/>
      <c r="Z24" s="389"/>
      <c r="AA24" s="389"/>
      <c r="AC24" s="385" t="str">
        <f t="shared" si="1"/>
        <v/>
      </c>
      <c r="AD24" s="386" t="str">
        <f t="shared" si="2"/>
        <v/>
      </c>
      <c r="AE24" s="213"/>
    </row>
    <row r="25" ht="112.5" customHeight="1">
      <c r="A25" s="213"/>
      <c r="B25" s="365">
        <v>20.0</v>
      </c>
      <c r="C25" s="377"/>
      <c r="D25" s="378" t="b">
        <v>0</v>
      </c>
      <c r="E25" s="229" t="b">
        <v>0</v>
      </c>
      <c r="F25" s="229" t="b">
        <v>0</v>
      </c>
      <c r="G25" s="229" t="b">
        <v>0</v>
      </c>
      <c r="H25" s="229" t="b">
        <v>0</v>
      </c>
      <c r="I25" s="229" t="b">
        <v>0</v>
      </c>
      <c r="J25" s="229" t="b">
        <v>0</v>
      </c>
      <c r="K25" s="229" t="b">
        <v>0</v>
      </c>
      <c r="L25" s="229" t="b">
        <v>0</v>
      </c>
      <c r="M25" s="379" t="b">
        <v>0</v>
      </c>
      <c r="N25" s="378"/>
      <c r="O25" s="229"/>
      <c r="P25" s="380" t="s">
        <v>250</v>
      </c>
      <c r="Q25" s="379"/>
      <c r="R25" s="229"/>
      <c r="S25" s="378" t="b">
        <v>0</v>
      </c>
      <c r="T25" s="379" t="b">
        <v>0</v>
      </c>
      <c r="U25" s="381"/>
      <c r="V25" s="382"/>
      <c r="W25" s="383"/>
      <c r="X25" s="384"/>
      <c r="Y25" s="229"/>
      <c r="Z25" s="229"/>
      <c r="AA25" s="229"/>
      <c r="AC25" s="385" t="str">
        <f t="shared" si="1"/>
        <v/>
      </c>
      <c r="AD25" s="386" t="str">
        <f t="shared" si="2"/>
        <v/>
      </c>
      <c r="AE25" s="213"/>
    </row>
    <row r="26" ht="112.5" customHeight="1">
      <c r="A26" s="213"/>
      <c r="B26" s="397">
        <v>21.0</v>
      </c>
      <c r="C26" s="387"/>
      <c r="D26" s="388" t="b">
        <v>0</v>
      </c>
      <c r="E26" s="389" t="b">
        <v>0</v>
      </c>
      <c r="F26" s="389" t="b">
        <v>0</v>
      </c>
      <c r="G26" s="389" t="b">
        <v>0</v>
      </c>
      <c r="H26" s="389" t="b">
        <v>0</v>
      </c>
      <c r="I26" s="389" t="b">
        <v>0</v>
      </c>
      <c r="J26" s="389" t="b">
        <v>0</v>
      </c>
      <c r="K26" s="389" t="b">
        <v>0</v>
      </c>
      <c r="L26" s="389" t="b">
        <v>0</v>
      </c>
      <c r="M26" s="390" t="b">
        <v>0</v>
      </c>
      <c r="N26" s="391"/>
      <c r="O26" s="392"/>
      <c r="P26" s="380" t="s">
        <v>250</v>
      </c>
      <c r="Q26" s="390"/>
      <c r="R26" s="389"/>
      <c r="S26" s="388" t="b">
        <v>0</v>
      </c>
      <c r="T26" s="390" t="b">
        <v>0</v>
      </c>
      <c r="U26" s="393"/>
      <c r="V26" s="394"/>
      <c r="W26" s="373"/>
      <c r="X26" s="374"/>
      <c r="Y26" s="392"/>
      <c r="Z26" s="389"/>
      <c r="AA26" s="389"/>
      <c r="AC26" s="385" t="str">
        <f t="shared" si="1"/>
        <v/>
      </c>
      <c r="AD26" s="386" t="str">
        <f t="shared" si="2"/>
        <v/>
      </c>
      <c r="AE26" s="213"/>
    </row>
    <row r="27" ht="112.5" customHeight="1">
      <c r="A27" s="213"/>
      <c r="B27" s="397">
        <v>22.0</v>
      </c>
      <c r="C27" s="377"/>
      <c r="D27" s="378" t="b">
        <v>0</v>
      </c>
      <c r="E27" s="229" t="b">
        <v>0</v>
      </c>
      <c r="F27" s="229" t="b">
        <v>0</v>
      </c>
      <c r="G27" s="229" t="b">
        <v>0</v>
      </c>
      <c r="H27" s="229" t="b">
        <v>0</v>
      </c>
      <c r="I27" s="229" t="b">
        <v>0</v>
      </c>
      <c r="J27" s="229" t="b">
        <v>0</v>
      </c>
      <c r="K27" s="229" t="b">
        <v>0</v>
      </c>
      <c r="L27" s="229" t="b">
        <v>0</v>
      </c>
      <c r="M27" s="379" t="b">
        <v>0</v>
      </c>
      <c r="N27" s="378"/>
      <c r="O27" s="229"/>
      <c r="P27" s="380" t="s">
        <v>250</v>
      </c>
      <c r="Q27" s="379"/>
      <c r="R27" s="229"/>
      <c r="S27" s="378" t="b">
        <v>0</v>
      </c>
      <c r="T27" s="379" t="b">
        <v>0</v>
      </c>
      <c r="U27" s="381"/>
      <c r="V27" s="382"/>
      <c r="W27" s="383"/>
      <c r="X27" s="384"/>
      <c r="Y27" s="229"/>
      <c r="Z27" s="229"/>
      <c r="AA27" s="229"/>
      <c r="AC27" s="385" t="str">
        <f t="shared" si="1"/>
        <v/>
      </c>
      <c r="AD27" s="386" t="str">
        <f t="shared" si="2"/>
        <v/>
      </c>
      <c r="AE27" s="213"/>
    </row>
    <row r="28" ht="112.5" customHeight="1">
      <c r="A28" s="213"/>
      <c r="B28" s="397">
        <v>23.0</v>
      </c>
      <c r="C28" s="387"/>
      <c r="D28" s="388" t="b">
        <v>0</v>
      </c>
      <c r="E28" s="389" t="b">
        <v>0</v>
      </c>
      <c r="F28" s="389" t="b">
        <v>0</v>
      </c>
      <c r="G28" s="389" t="b">
        <v>0</v>
      </c>
      <c r="H28" s="389" t="b">
        <v>0</v>
      </c>
      <c r="I28" s="389" t="b">
        <v>0</v>
      </c>
      <c r="J28" s="389" t="b">
        <v>0</v>
      </c>
      <c r="K28" s="389" t="b">
        <v>0</v>
      </c>
      <c r="L28" s="389" t="b">
        <v>0</v>
      </c>
      <c r="M28" s="390" t="b">
        <v>0</v>
      </c>
      <c r="N28" s="388"/>
      <c r="O28" s="389"/>
      <c r="P28" s="380" t="s">
        <v>250</v>
      </c>
      <c r="Q28" s="390"/>
      <c r="R28" s="389"/>
      <c r="S28" s="388" t="b">
        <v>0</v>
      </c>
      <c r="T28" s="390" t="b">
        <v>0</v>
      </c>
      <c r="U28" s="393"/>
      <c r="V28" s="394"/>
      <c r="W28" s="373"/>
      <c r="X28" s="374"/>
      <c r="Y28" s="389"/>
      <c r="Z28" s="389"/>
      <c r="AA28" s="389"/>
      <c r="AC28" s="385" t="str">
        <f t="shared" si="1"/>
        <v/>
      </c>
      <c r="AD28" s="386" t="str">
        <f t="shared" si="2"/>
        <v/>
      </c>
      <c r="AE28" s="213"/>
    </row>
    <row r="29" ht="112.5" customHeight="1">
      <c r="A29" s="213"/>
      <c r="B29" s="397">
        <v>24.0</v>
      </c>
      <c r="C29" s="377"/>
      <c r="D29" s="378" t="b">
        <v>0</v>
      </c>
      <c r="E29" s="229" t="b">
        <v>0</v>
      </c>
      <c r="F29" s="229" t="b">
        <v>0</v>
      </c>
      <c r="G29" s="229" t="b">
        <v>0</v>
      </c>
      <c r="H29" s="229" t="b">
        <v>0</v>
      </c>
      <c r="I29" s="229" t="b">
        <v>0</v>
      </c>
      <c r="J29" s="229" t="b">
        <v>0</v>
      </c>
      <c r="K29" s="229" t="b">
        <v>0</v>
      </c>
      <c r="L29" s="229" t="b">
        <v>0</v>
      </c>
      <c r="M29" s="379" t="b">
        <v>0</v>
      </c>
      <c r="N29" s="378"/>
      <c r="O29" s="229"/>
      <c r="P29" s="380" t="s">
        <v>250</v>
      </c>
      <c r="Q29" s="379"/>
      <c r="R29" s="229"/>
      <c r="S29" s="378" t="b">
        <v>0</v>
      </c>
      <c r="T29" s="379" t="b">
        <v>0</v>
      </c>
      <c r="U29" s="381"/>
      <c r="V29" s="382"/>
      <c r="W29" s="383"/>
      <c r="X29" s="384"/>
      <c r="Y29" s="229"/>
      <c r="Z29" s="229"/>
      <c r="AA29" s="229"/>
      <c r="AC29" s="385" t="str">
        <f t="shared" si="1"/>
        <v/>
      </c>
      <c r="AD29" s="386" t="str">
        <f t="shared" si="2"/>
        <v/>
      </c>
      <c r="AE29" s="213"/>
    </row>
    <row r="30" ht="112.5" customHeight="1">
      <c r="A30" s="213"/>
      <c r="B30" s="397">
        <v>25.0</v>
      </c>
      <c r="C30" s="387"/>
      <c r="D30" s="388" t="b">
        <v>0</v>
      </c>
      <c r="E30" s="389" t="b">
        <v>0</v>
      </c>
      <c r="F30" s="389" t="b">
        <v>0</v>
      </c>
      <c r="G30" s="389" t="b">
        <v>0</v>
      </c>
      <c r="H30" s="389" t="b">
        <v>0</v>
      </c>
      <c r="I30" s="389" t="b">
        <v>0</v>
      </c>
      <c r="J30" s="389" t="b">
        <v>0</v>
      </c>
      <c r="K30" s="389" t="b">
        <v>0</v>
      </c>
      <c r="L30" s="389" t="b">
        <v>0</v>
      </c>
      <c r="M30" s="390" t="b">
        <v>0</v>
      </c>
      <c r="N30" s="388"/>
      <c r="O30" s="389"/>
      <c r="P30" s="380" t="s">
        <v>250</v>
      </c>
      <c r="Q30" s="390"/>
      <c r="R30" s="389"/>
      <c r="S30" s="388" t="b">
        <v>0</v>
      </c>
      <c r="T30" s="390" t="b">
        <v>0</v>
      </c>
      <c r="U30" s="393"/>
      <c r="V30" s="394"/>
      <c r="W30" s="373"/>
      <c r="X30" s="374"/>
      <c r="Y30" s="389"/>
      <c r="Z30" s="389"/>
      <c r="AA30" s="389"/>
      <c r="AC30" s="385" t="str">
        <f t="shared" si="1"/>
        <v/>
      </c>
      <c r="AD30" s="386" t="str">
        <f t="shared" si="2"/>
        <v/>
      </c>
      <c r="AE30" s="213"/>
    </row>
    <row r="31" ht="112.5" customHeight="1">
      <c r="A31" s="213"/>
      <c r="B31" s="365">
        <v>26.0</v>
      </c>
      <c r="C31" s="377"/>
      <c r="D31" s="378" t="b">
        <v>0</v>
      </c>
      <c r="E31" s="229" t="b">
        <v>0</v>
      </c>
      <c r="F31" s="229" t="b">
        <v>0</v>
      </c>
      <c r="G31" s="229" t="b">
        <v>0</v>
      </c>
      <c r="H31" s="229" t="b">
        <v>0</v>
      </c>
      <c r="I31" s="229" t="b">
        <v>0</v>
      </c>
      <c r="J31" s="229" t="b">
        <v>0</v>
      </c>
      <c r="K31" s="229" t="b">
        <v>0</v>
      </c>
      <c r="L31" s="229" t="b">
        <v>0</v>
      </c>
      <c r="M31" s="379" t="b">
        <v>0</v>
      </c>
      <c r="N31" s="378"/>
      <c r="O31" s="229"/>
      <c r="P31" s="380" t="s">
        <v>250</v>
      </c>
      <c r="Q31" s="379"/>
      <c r="R31" s="229"/>
      <c r="S31" s="378" t="b">
        <v>0</v>
      </c>
      <c r="T31" s="379" t="b">
        <v>0</v>
      </c>
      <c r="U31" s="381"/>
      <c r="V31" s="382"/>
      <c r="W31" s="383"/>
      <c r="X31" s="384"/>
      <c r="Y31" s="229"/>
      <c r="Z31" s="229"/>
      <c r="AA31" s="229"/>
      <c r="AC31" s="385" t="str">
        <f t="shared" si="1"/>
        <v/>
      </c>
      <c r="AD31" s="386" t="str">
        <f t="shared" si="2"/>
        <v/>
      </c>
      <c r="AE31" s="213"/>
    </row>
    <row r="32" ht="112.5" customHeight="1">
      <c r="A32" s="213"/>
      <c r="B32" s="397">
        <v>27.0</v>
      </c>
      <c r="C32" s="387"/>
      <c r="D32" s="388" t="b">
        <v>0</v>
      </c>
      <c r="E32" s="389" t="b">
        <v>0</v>
      </c>
      <c r="F32" s="389" t="b">
        <v>0</v>
      </c>
      <c r="G32" s="389" t="b">
        <v>0</v>
      </c>
      <c r="H32" s="389" t="b">
        <v>0</v>
      </c>
      <c r="I32" s="389" t="b">
        <v>0</v>
      </c>
      <c r="J32" s="389" t="b">
        <v>0</v>
      </c>
      <c r="K32" s="389" t="b">
        <v>0</v>
      </c>
      <c r="L32" s="389" t="b">
        <v>0</v>
      </c>
      <c r="M32" s="390" t="b">
        <v>0</v>
      </c>
      <c r="N32" s="388"/>
      <c r="O32" s="389"/>
      <c r="P32" s="380" t="s">
        <v>250</v>
      </c>
      <c r="Q32" s="390"/>
      <c r="R32" s="389"/>
      <c r="S32" s="388" t="b">
        <v>0</v>
      </c>
      <c r="T32" s="390" t="b">
        <v>0</v>
      </c>
      <c r="U32" s="393"/>
      <c r="V32" s="394"/>
      <c r="W32" s="373"/>
      <c r="X32" s="374"/>
      <c r="Y32" s="389"/>
      <c r="Z32" s="389"/>
      <c r="AA32" s="389"/>
      <c r="AC32" s="385" t="str">
        <f t="shared" si="1"/>
        <v/>
      </c>
      <c r="AD32" s="386" t="str">
        <f t="shared" si="2"/>
        <v/>
      </c>
      <c r="AE32" s="213"/>
    </row>
    <row r="33" ht="112.5" customHeight="1">
      <c r="A33" s="213"/>
      <c r="B33" s="397">
        <v>28.0</v>
      </c>
      <c r="C33" s="377"/>
      <c r="D33" s="378" t="b">
        <v>0</v>
      </c>
      <c r="E33" s="229" t="b">
        <v>0</v>
      </c>
      <c r="F33" s="229" t="b">
        <v>0</v>
      </c>
      <c r="G33" s="229" t="b">
        <v>0</v>
      </c>
      <c r="H33" s="229" t="b">
        <v>0</v>
      </c>
      <c r="I33" s="229" t="b">
        <v>0</v>
      </c>
      <c r="J33" s="229" t="b">
        <v>0</v>
      </c>
      <c r="K33" s="229" t="b">
        <v>0</v>
      </c>
      <c r="L33" s="229" t="b">
        <v>0</v>
      </c>
      <c r="M33" s="379" t="b">
        <v>0</v>
      </c>
      <c r="N33" s="378"/>
      <c r="O33" s="229"/>
      <c r="P33" s="380" t="s">
        <v>250</v>
      </c>
      <c r="Q33" s="379"/>
      <c r="R33" s="229"/>
      <c r="S33" s="378" t="b">
        <v>0</v>
      </c>
      <c r="T33" s="379" t="b">
        <v>0</v>
      </c>
      <c r="U33" s="381"/>
      <c r="V33" s="382"/>
      <c r="W33" s="383"/>
      <c r="X33" s="384"/>
      <c r="Y33" s="229"/>
      <c r="Z33" s="229"/>
      <c r="AA33" s="229"/>
      <c r="AC33" s="385" t="str">
        <f t="shared" si="1"/>
        <v/>
      </c>
      <c r="AD33" s="386" t="str">
        <f t="shared" si="2"/>
        <v/>
      </c>
      <c r="AE33" s="213"/>
    </row>
    <row r="34" ht="112.5" customHeight="1">
      <c r="A34" s="213"/>
      <c r="B34" s="398">
        <v>29.0</v>
      </c>
      <c r="C34" s="399"/>
      <c r="D34" s="400" t="b">
        <v>0</v>
      </c>
      <c r="E34" s="401" t="b">
        <v>0</v>
      </c>
      <c r="F34" s="401" t="b">
        <v>0</v>
      </c>
      <c r="G34" s="401" t="b">
        <v>0</v>
      </c>
      <c r="H34" s="401" t="b">
        <v>0</v>
      </c>
      <c r="I34" s="401" t="b">
        <v>0</v>
      </c>
      <c r="J34" s="401" t="b">
        <v>0</v>
      </c>
      <c r="K34" s="401" t="b">
        <v>0</v>
      </c>
      <c r="L34" s="401" t="b">
        <v>0</v>
      </c>
      <c r="M34" s="402" t="b">
        <v>0</v>
      </c>
      <c r="N34" s="400"/>
      <c r="O34" s="401"/>
      <c r="P34" s="403" t="s">
        <v>250</v>
      </c>
      <c r="Q34" s="402"/>
      <c r="R34" s="401"/>
      <c r="S34" s="400" t="b">
        <v>0</v>
      </c>
      <c r="T34" s="402" t="b">
        <v>0</v>
      </c>
      <c r="U34" s="404"/>
      <c r="V34" s="405"/>
      <c r="W34" s="406"/>
      <c r="X34" s="407"/>
      <c r="Y34" s="401"/>
      <c r="Z34" s="401"/>
      <c r="AA34" s="401"/>
      <c r="AB34" s="190"/>
      <c r="AC34" s="408" t="str">
        <f t="shared" si="1"/>
        <v/>
      </c>
      <c r="AD34" s="409" t="str">
        <f t="shared" si="2"/>
        <v/>
      </c>
      <c r="AE34" s="213"/>
    </row>
    <row r="35" ht="7.5" customHeight="1">
      <c r="A35" s="213"/>
      <c r="B35" s="340"/>
    </row>
  </sheetData>
  <mergeCells count="48">
    <mergeCell ref="AA18:AB18"/>
    <mergeCell ref="AA19:AB19"/>
    <mergeCell ref="AA20:AB20"/>
    <mergeCell ref="AA21:AB21"/>
    <mergeCell ref="AA22:AB22"/>
    <mergeCell ref="AA23:AB23"/>
    <mergeCell ref="AA24:AB24"/>
    <mergeCell ref="AA32:AB32"/>
    <mergeCell ref="AA33:AB33"/>
    <mergeCell ref="AA34:AB34"/>
    <mergeCell ref="B35:AE35"/>
    <mergeCell ref="AA25:AB25"/>
    <mergeCell ref="AA26:AB26"/>
    <mergeCell ref="AA27:AB27"/>
    <mergeCell ref="AA28:AB28"/>
    <mergeCell ref="AA29:AB29"/>
    <mergeCell ref="AA30:AB30"/>
    <mergeCell ref="AA31:AB31"/>
    <mergeCell ref="D4:M4"/>
    <mergeCell ref="N4:Q4"/>
    <mergeCell ref="R4:R5"/>
    <mergeCell ref="S4:V4"/>
    <mergeCell ref="U5:V5"/>
    <mergeCell ref="W4:X4"/>
    <mergeCell ref="Y4:Y5"/>
    <mergeCell ref="AC4:AC5"/>
    <mergeCell ref="AD4:AD5"/>
    <mergeCell ref="B1:AD1"/>
    <mergeCell ref="B2:B3"/>
    <mergeCell ref="D2:I2"/>
    <mergeCell ref="J2:AD3"/>
    <mergeCell ref="D3:I3"/>
    <mergeCell ref="B4:B5"/>
    <mergeCell ref="C4:C5"/>
    <mergeCell ref="Z4:Z5"/>
    <mergeCell ref="AA4:AB5"/>
    <mergeCell ref="AA6:AB6"/>
    <mergeCell ref="AA7:AB7"/>
    <mergeCell ref="AA8:AB8"/>
    <mergeCell ref="AA9:AB9"/>
    <mergeCell ref="AA10:AB10"/>
    <mergeCell ref="AA11:AB11"/>
    <mergeCell ref="AA12:AB12"/>
    <mergeCell ref="AA13:AB13"/>
    <mergeCell ref="AA14:AB14"/>
    <mergeCell ref="AA15:AB15"/>
    <mergeCell ref="AA16:AB16"/>
    <mergeCell ref="AA17:AB17"/>
  </mergeCells>
  <dataValidations>
    <dataValidation type="list" allowBlank="1" showErrorMessage="1" sqref="X6:X34">
      <formula1>"Constant,Instant,Short (Rounds):,Medium (Hours):,Long (Days):,Epic (Years):,Semi-Permanent,Permanent"</formula1>
    </dataValidation>
    <dataValidation type="list" allowBlank="1" showErrorMessage="1" sqref="Q6:Q34">
      <formula1>"None,Toughness,Nimbleness,Virility,Wit,Ingenuity,Conviction"</formula1>
    </dataValidation>
    <dataValidation type="list" allowBlank="1" showErrorMessage="1" sqref="R6:R34">
      <formula1>"Natural,Spontaneous"</formula1>
    </dataValidation>
    <dataValidation type="list" allowBlank="1" showErrorMessage="1" sqref="V6:V34">
      <formula1>"None,Turns,Days"</formula1>
    </dataValidation>
    <dataValidation type="list" allowBlank="1" showErrorMessage="1" sqref="Z6:Z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13"/>
      <c r="B1" s="410" t="s">
        <v>251</v>
      </c>
      <c r="H1" s="213"/>
    </row>
    <row r="2" ht="31.5" customHeight="1">
      <c r="B2" s="263" t="s">
        <v>116</v>
      </c>
      <c r="C2" s="263" t="s">
        <v>192</v>
      </c>
      <c r="D2" s="263" t="s">
        <v>25</v>
      </c>
      <c r="E2" s="263" t="s">
        <v>232</v>
      </c>
      <c r="F2" s="263" t="s">
        <v>252</v>
      </c>
      <c r="G2" s="263" t="s">
        <v>253</v>
      </c>
    </row>
    <row r="3" ht="75.0" customHeight="1">
      <c r="A3" s="213"/>
      <c r="B3" s="411"/>
      <c r="C3" s="412"/>
      <c r="D3" s="412"/>
      <c r="E3" s="288" t="b">
        <f t="shared" ref="E3:E52" si="1">IF(D3 = "Level I", vlookup(C3,indirect(B3&amp;"!A:C"),2,false),
IF(D3 = "Level II", vlookup(C3,indirect(B3&amp;"!A:E"),3,false),
IF(D3 = "Level III", vlookup(C3,indirect(B3&amp;"!A:G"),4,false))))</f>
        <v>0</v>
      </c>
      <c r="F3" s="412"/>
      <c r="G3" s="413" t="b">
        <f t="shared" ref="G3:G52" si="2">IF(C3 &lt;&gt; "",vlookup(C3,indirect(B3&amp;"!A:H"),5,false))</f>
        <v>0</v>
      </c>
      <c r="H3" s="213"/>
    </row>
    <row r="4" ht="75.0" customHeight="1">
      <c r="B4" s="414"/>
      <c r="C4" s="415"/>
      <c r="D4" s="415"/>
      <c r="E4" s="304" t="b">
        <f t="shared" si="1"/>
        <v>0</v>
      </c>
      <c r="F4" s="415"/>
      <c r="G4" s="416" t="b">
        <f t="shared" si="2"/>
        <v>0</v>
      </c>
    </row>
    <row r="5" ht="75.0" customHeight="1">
      <c r="B5" s="414"/>
      <c r="C5" s="415"/>
      <c r="D5" s="415"/>
      <c r="E5" s="304" t="b">
        <f t="shared" si="1"/>
        <v>0</v>
      </c>
      <c r="F5" s="415"/>
      <c r="G5" s="416" t="b">
        <f t="shared" si="2"/>
        <v>0</v>
      </c>
    </row>
    <row r="6" ht="75.0" customHeight="1">
      <c r="B6" s="414"/>
      <c r="C6" s="415"/>
      <c r="D6" s="415"/>
      <c r="E6" s="304" t="b">
        <f t="shared" si="1"/>
        <v>0</v>
      </c>
      <c r="F6" s="415"/>
      <c r="G6" s="416" t="b">
        <f t="shared" si="2"/>
        <v>0</v>
      </c>
    </row>
    <row r="7" ht="75.0" customHeight="1">
      <c r="B7" s="414"/>
      <c r="C7" s="415"/>
      <c r="D7" s="415"/>
      <c r="E7" s="304" t="b">
        <f t="shared" si="1"/>
        <v>0</v>
      </c>
      <c r="F7" s="415"/>
      <c r="G7" s="416" t="b">
        <f t="shared" si="2"/>
        <v>0</v>
      </c>
    </row>
    <row r="8" ht="75.0" customHeight="1">
      <c r="B8" s="414"/>
      <c r="C8" s="415"/>
      <c r="D8" s="415"/>
      <c r="E8" s="304" t="b">
        <f t="shared" si="1"/>
        <v>0</v>
      </c>
      <c r="F8" s="415"/>
      <c r="G8" s="416" t="b">
        <f t="shared" si="2"/>
        <v>0</v>
      </c>
    </row>
    <row r="9" ht="75.0" customHeight="1">
      <c r="B9" s="414"/>
      <c r="C9" s="415"/>
      <c r="D9" s="415"/>
      <c r="E9" s="304" t="b">
        <f t="shared" si="1"/>
        <v>0</v>
      </c>
      <c r="F9" s="415"/>
      <c r="G9" s="416" t="b">
        <f t="shared" si="2"/>
        <v>0</v>
      </c>
    </row>
    <row r="10" ht="75.0" customHeight="1">
      <c r="B10" s="414"/>
      <c r="C10" s="415"/>
      <c r="D10" s="415"/>
      <c r="E10" s="304" t="b">
        <f t="shared" si="1"/>
        <v>0</v>
      </c>
      <c r="F10" s="415"/>
      <c r="G10" s="416" t="b">
        <f t="shared" si="2"/>
        <v>0</v>
      </c>
    </row>
    <row r="11" ht="75.0" customHeight="1">
      <c r="B11" s="414"/>
      <c r="C11" s="415"/>
      <c r="D11" s="415"/>
      <c r="E11" s="304" t="b">
        <f t="shared" si="1"/>
        <v>0</v>
      </c>
      <c r="F11" s="415"/>
      <c r="G11" s="416" t="b">
        <f t="shared" si="2"/>
        <v>0</v>
      </c>
    </row>
    <row r="12" ht="75.0" customHeight="1">
      <c r="B12" s="414"/>
      <c r="C12" s="415"/>
      <c r="D12" s="415"/>
      <c r="E12" s="304" t="b">
        <f t="shared" si="1"/>
        <v>0</v>
      </c>
      <c r="F12" s="415"/>
      <c r="G12" s="416" t="b">
        <f t="shared" si="2"/>
        <v>0</v>
      </c>
    </row>
    <row r="13" ht="75.0" customHeight="1">
      <c r="B13" s="414"/>
      <c r="C13" s="415"/>
      <c r="D13" s="415"/>
      <c r="E13" s="304" t="b">
        <f t="shared" si="1"/>
        <v>0</v>
      </c>
      <c r="F13" s="415"/>
      <c r="G13" s="416" t="b">
        <f t="shared" si="2"/>
        <v>0</v>
      </c>
    </row>
    <row r="14" ht="75.0" customHeight="1">
      <c r="B14" s="414"/>
      <c r="C14" s="415"/>
      <c r="D14" s="415"/>
      <c r="E14" s="304" t="b">
        <f t="shared" si="1"/>
        <v>0</v>
      </c>
      <c r="F14" s="415"/>
      <c r="G14" s="416" t="b">
        <f t="shared" si="2"/>
        <v>0</v>
      </c>
    </row>
    <row r="15" ht="75.0" customHeight="1">
      <c r="B15" s="414"/>
      <c r="C15" s="415"/>
      <c r="D15" s="415"/>
      <c r="E15" s="304" t="b">
        <f t="shared" si="1"/>
        <v>0</v>
      </c>
      <c r="F15" s="415"/>
      <c r="G15" s="416" t="b">
        <f t="shared" si="2"/>
        <v>0</v>
      </c>
    </row>
    <row r="16" ht="75.0" customHeight="1">
      <c r="B16" s="414"/>
      <c r="C16" s="415"/>
      <c r="D16" s="415"/>
      <c r="E16" s="304" t="b">
        <f t="shared" si="1"/>
        <v>0</v>
      </c>
      <c r="F16" s="415"/>
      <c r="G16" s="416" t="b">
        <f t="shared" si="2"/>
        <v>0</v>
      </c>
    </row>
    <row r="17" ht="75.0" customHeight="1">
      <c r="B17" s="414"/>
      <c r="C17" s="415"/>
      <c r="D17" s="415"/>
      <c r="E17" s="304" t="b">
        <f t="shared" si="1"/>
        <v>0</v>
      </c>
      <c r="F17" s="415"/>
      <c r="G17" s="416" t="b">
        <f t="shared" si="2"/>
        <v>0</v>
      </c>
    </row>
    <row r="18" ht="75.0" customHeight="1">
      <c r="B18" s="414"/>
      <c r="C18" s="415"/>
      <c r="D18" s="415"/>
      <c r="E18" s="304" t="b">
        <f t="shared" si="1"/>
        <v>0</v>
      </c>
      <c r="F18" s="415"/>
      <c r="G18" s="416" t="b">
        <f t="shared" si="2"/>
        <v>0</v>
      </c>
    </row>
    <row r="19" ht="75.0" customHeight="1">
      <c r="B19" s="414"/>
      <c r="C19" s="415"/>
      <c r="D19" s="415"/>
      <c r="E19" s="304" t="b">
        <f t="shared" si="1"/>
        <v>0</v>
      </c>
      <c r="F19" s="415"/>
      <c r="G19" s="416" t="b">
        <f t="shared" si="2"/>
        <v>0</v>
      </c>
    </row>
    <row r="20" ht="75.0" customHeight="1">
      <c r="B20" s="414"/>
      <c r="C20" s="415"/>
      <c r="D20" s="415"/>
      <c r="E20" s="304" t="b">
        <f t="shared" si="1"/>
        <v>0</v>
      </c>
      <c r="F20" s="415"/>
      <c r="G20" s="416" t="b">
        <f t="shared" si="2"/>
        <v>0</v>
      </c>
    </row>
    <row r="21" ht="75.0" customHeight="1">
      <c r="B21" s="414"/>
      <c r="C21" s="415"/>
      <c r="D21" s="415"/>
      <c r="E21" s="304" t="b">
        <f t="shared" si="1"/>
        <v>0</v>
      </c>
      <c r="F21" s="415"/>
      <c r="G21" s="416" t="b">
        <f t="shared" si="2"/>
        <v>0</v>
      </c>
    </row>
    <row r="22" ht="75.0" customHeight="1">
      <c r="B22" s="414"/>
      <c r="C22" s="415"/>
      <c r="D22" s="415"/>
      <c r="E22" s="304" t="b">
        <f t="shared" si="1"/>
        <v>0</v>
      </c>
      <c r="F22" s="415"/>
      <c r="G22" s="416" t="b">
        <f t="shared" si="2"/>
        <v>0</v>
      </c>
    </row>
    <row r="23" ht="75.0" customHeight="1">
      <c r="B23" s="414"/>
      <c r="C23" s="415"/>
      <c r="D23" s="415"/>
      <c r="E23" s="304" t="b">
        <f t="shared" si="1"/>
        <v>0</v>
      </c>
      <c r="F23" s="415"/>
      <c r="G23" s="416" t="b">
        <f t="shared" si="2"/>
        <v>0</v>
      </c>
    </row>
    <row r="24" ht="75.0" customHeight="1">
      <c r="B24" s="414"/>
      <c r="C24" s="415"/>
      <c r="D24" s="415"/>
      <c r="E24" s="304" t="b">
        <f t="shared" si="1"/>
        <v>0</v>
      </c>
      <c r="F24" s="415"/>
      <c r="G24" s="416" t="b">
        <f t="shared" si="2"/>
        <v>0</v>
      </c>
    </row>
    <row r="25" ht="75.0" customHeight="1">
      <c r="B25" s="414"/>
      <c r="C25" s="415"/>
      <c r="D25" s="415"/>
      <c r="E25" s="304" t="b">
        <f t="shared" si="1"/>
        <v>0</v>
      </c>
      <c r="F25" s="415"/>
      <c r="G25" s="416" t="b">
        <f t="shared" si="2"/>
        <v>0</v>
      </c>
    </row>
    <row r="26" ht="75.0" customHeight="1">
      <c r="B26" s="414"/>
      <c r="C26" s="415"/>
      <c r="D26" s="415"/>
      <c r="E26" s="304" t="b">
        <f t="shared" si="1"/>
        <v>0</v>
      </c>
      <c r="F26" s="415"/>
      <c r="G26" s="416" t="b">
        <f t="shared" si="2"/>
        <v>0</v>
      </c>
    </row>
    <row r="27" ht="75.0" customHeight="1">
      <c r="B27" s="414"/>
      <c r="C27" s="415"/>
      <c r="D27" s="415"/>
      <c r="E27" s="304" t="b">
        <f t="shared" si="1"/>
        <v>0</v>
      </c>
      <c r="F27" s="415"/>
      <c r="G27" s="416" t="b">
        <f t="shared" si="2"/>
        <v>0</v>
      </c>
    </row>
    <row r="28" ht="75.0" customHeight="1">
      <c r="B28" s="414"/>
      <c r="C28" s="415"/>
      <c r="D28" s="415"/>
      <c r="E28" s="304" t="b">
        <f t="shared" si="1"/>
        <v>0</v>
      </c>
      <c r="F28" s="415"/>
      <c r="G28" s="416" t="b">
        <f t="shared" si="2"/>
        <v>0</v>
      </c>
    </row>
    <row r="29" ht="75.0" customHeight="1">
      <c r="B29" s="414"/>
      <c r="C29" s="415"/>
      <c r="D29" s="415"/>
      <c r="E29" s="304" t="b">
        <f t="shared" si="1"/>
        <v>0</v>
      </c>
      <c r="F29" s="415"/>
      <c r="G29" s="416" t="b">
        <f t="shared" si="2"/>
        <v>0</v>
      </c>
    </row>
    <row r="30" ht="75.0" customHeight="1">
      <c r="B30" s="414"/>
      <c r="C30" s="415"/>
      <c r="D30" s="415"/>
      <c r="E30" s="304" t="b">
        <f t="shared" si="1"/>
        <v>0</v>
      </c>
      <c r="F30" s="415"/>
      <c r="G30" s="416" t="b">
        <f t="shared" si="2"/>
        <v>0</v>
      </c>
    </row>
    <row r="31" ht="75.0" customHeight="1">
      <c r="B31" s="414"/>
      <c r="C31" s="415"/>
      <c r="D31" s="415"/>
      <c r="E31" s="304" t="b">
        <f t="shared" si="1"/>
        <v>0</v>
      </c>
      <c r="F31" s="415"/>
      <c r="G31" s="416" t="b">
        <f t="shared" si="2"/>
        <v>0</v>
      </c>
    </row>
    <row r="32" ht="75.0" customHeight="1">
      <c r="B32" s="414"/>
      <c r="C32" s="415"/>
      <c r="D32" s="415"/>
      <c r="E32" s="304" t="b">
        <f t="shared" si="1"/>
        <v>0</v>
      </c>
      <c r="F32" s="415"/>
      <c r="G32" s="416" t="b">
        <f t="shared" si="2"/>
        <v>0</v>
      </c>
    </row>
    <row r="33" ht="75.0" customHeight="1">
      <c r="B33" s="414"/>
      <c r="C33" s="415"/>
      <c r="D33" s="415"/>
      <c r="E33" s="304" t="b">
        <f t="shared" si="1"/>
        <v>0</v>
      </c>
      <c r="F33" s="415"/>
      <c r="G33" s="416" t="b">
        <f t="shared" si="2"/>
        <v>0</v>
      </c>
    </row>
    <row r="34" ht="75.0" customHeight="1">
      <c r="B34" s="414"/>
      <c r="C34" s="415"/>
      <c r="D34" s="415"/>
      <c r="E34" s="304" t="b">
        <f t="shared" si="1"/>
        <v>0</v>
      </c>
      <c r="F34" s="415"/>
      <c r="G34" s="416" t="b">
        <f t="shared" si="2"/>
        <v>0</v>
      </c>
    </row>
    <row r="35" ht="75.0" customHeight="1">
      <c r="B35" s="414"/>
      <c r="C35" s="415"/>
      <c r="D35" s="415"/>
      <c r="E35" s="304" t="b">
        <f t="shared" si="1"/>
        <v>0</v>
      </c>
      <c r="F35" s="415"/>
      <c r="G35" s="416" t="b">
        <f t="shared" si="2"/>
        <v>0</v>
      </c>
    </row>
    <row r="36" ht="75.0" customHeight="1">
      <c r="B36" s="414"/>
      <c r="C36" s="415"/>
      <c r="D36" s="415"/>
      <c r="E36" s="304" t="b">
        <f t="shared" si="1"/>
        <v>0</v>
      </c>
      <c r="F36" s="415"/>
      <c r="G36" s="416" t="b">
        <f t="shared" si="2"/>
        <v>0</v>
      </c>
    </row>
    <row r="37" ht="75.0" customHeight="1">
      <c r="B37" s="414"/>
      <c r="C37" s="415"/>
      <c r="D37" s="415"/>
      <c r="E37" s="304" t="b">
        <f t="shared" si="1"/>
        <v>0</v>
      </c>
      <c r="F37" s="415"/>
      <c r="G37" s="416" t="b">
        <f t="shared" si="2"/>
        <v>0</v>
      </c>
    </row>
    <row r="38" ht="75.0" customHeight="1">
      <c r="B38" s="414"/>
      <c r="C38" s="415"/>
      <c r="D38" s="415"/>
      <c r="E38" s="304" t="b">
        <f t="shared" si="1"/>
        <v>0</v>
      </c>
      <c r="F38" s="415"/>
      <c r="G38" s="416" t="b">
        <f t="shared" si="2"/>
        <v>0</v>
      </c>
    </row>
    <row r="39" ht="75.0" customHeight="1">
      <c r="B39" s="414"/>
      <c r="C39" s="415"/>
      <c r="D39" s="415"/>
      <c r="E39" s="304" t="b">
        <f t="shared" si="1"/>
        <v>0</v>
      </c>
      <c r="F39" s="415"/>
      <c r="G39" s="416" t="b">
        <f t="shared" si="2"/>
        <v>0</v>
      </c>
    </row>
    <row r="40" ht="75.0" customHeight="1">
      <c r="B40" s="414"/>
      <c r="C40" s="415"/>
      <c r="D40" s="415"/>
      <c r="E40" s="304" t="b">
        <f t="shared" si="1"/>
        <v>0</v>
      </c>
      <c r="F40" s="415"/>
      <c r="G40" s="416" t="b">
        <f t="shared" si="2"/>
        <v>0</v>
      </c>
    </row>
    <row r="41" ht="75.0" customHeight="1">
      <c r="B41" s="414"/>
      <c r="C41" s="415"/>
      <c r="D41" s="415"/>
      <c r="E41" s="304" t="b">
        <f t="shared" si="1"/>
        <v>0</v>
      </c>
      <c r="F41" s="415"/>
      <c r="G41" s="416" t="b">
        <f t="shared" si="2"/>
        <v>0</v>
      </c>
    </row>
    <row r="42" ht="75.0" customHeight="1">
      <c r="B42" s="414"/>
      <c r="C42" s="415"/>
      <c r="D42" s="415"/>
      <c r="E42" s="304" t="b">
        <f t="shared" si="1"/>
        <v>0</v>
      </c>
      <c r="F42" s="415"/>
      <c r="G42" s="416" t="b">
        <f t="shared" si="2"/>
        <v>0</v>
      </c>
    </row>
    <row r="43" ht="75.0" customHeight="1">
      <c r="B43" s="414"/>
      <c r="C43" s="415"/>
      <c r="D43" s="415"/>
      <c r="E43" s="304" t="b">
        <f t="shared" si="1"/>
        <v>0</v>
      </c>
      <c r="F43" s="415"/>
      <c r="G43" s="416" t="b">
        <f t="shared" si="2"/>
        <v>0</v>
      </c>
    </row>
    <row r="44" ht="75.0" customHeight="1">
      <c r="B44" s="414"/>
      <c r="C44" s="415"/>
      <c r="D44" s="415"/>
      <c r="E44" s="304" t="b">
        <f t="shared" si="1"/>
        <v>0</v>
      </c>
      <c r="F44" s="415"/>
      <c r="G44" s="416" t="b">
        <f t="shared" si="2"/>
        <v>0</v>
      </c>
    </row>
    <row r="45" ht="75.0" customHeight="1">
      <c r="B45" s="414"/>
      <c r="C45" s="415"/>
      <c r="D45" s="415"/>
      <c r="E45" s="304" t="b">
        <f t="shared" si="1"/>
        <v>0</v>
      </c>
      <c r="F45" s="415"/>
      <c r="G45" s="416" t="b">
        <f t="shared" si="2"/>
        <v>0</v>
      </c>
    </row>
    <row r="46" ht="75.0" customHeight="1">
      <c r="B46" s="414"/>
      <c r="C46" s="415"/>
      <c r="D46" s="415"/>
      <c r="E46" s="304" t="b">
        <f t="shared" si="1"/>
        <v>0</v>
      </c>
      <c r="F46" s="415"/>
      <c r="G46" s="416" t="b">
        <f t="shared" si="2"/>
        <v>0</v>
      </c>
    </row>
    <row r="47" ht="75.0" customHeight="1">
      <c r="B47" s="414"/>
      <c r="C47" s="415"/>
      <c r="D47" s="415"/>
      <c r="E47" s="304" t="b">
        <f t="shared" si="1"/>
        <v>0</v>
      </c>
      <c r="F47" s="415"/>
      <c r="G47" s="416" t="b">
        <f t="shared" si="2"/>
        <v>0</v>
      </c>
    </row>
    <row r="48" ht="75.0" customHeight="1">
      <c r="B48" s="414"/>
      <c r="C48" s="415"/>
      <c r="D48" s="415"/>
      <c r="E48" s="304" t="b">
        <f t="shared" si="1"/>
        <v>0</v>
      </c>
      <c r="F48" s="415"/>
      <c r="G48" s="416" t="b">
        <f t="shared" si="2"/>
        <v>0</v>
      </c>
    </row>
    <row r="49" ht="75.0" customHeight="1">
      <c r="B49" s="414"/>
      <c r="C49" s="415"/>
      <c r="D49" s="415"/>
      <c r="E49" s="304" t="b">
        <f t="shared" si="1"/>
        <v>0</v>
      </c>
      <c r="F49" s="415"/>
      <c r="G49" s="416" t="b">
        <f t="shared" si="2"/>
        <v>0</v>
      </c>
    </row>
    <row r="50" ht="75.0" customHeight="1">
      <c r="B50" s="414"/>
      <c r="C50" s="415"/>
      <c r="D50" s="415"/>
      <c r="E50" s="304" t="b">
        <f t="shared" si="1"/>
        <v>0</v>
      </c>
      <c r="F50" s="415"/>
      <c r="G50" s="416" t="b">
        <f t="shared" si="2"/>
        <v>0</v>
      </c>
    </row>
    <row r="51" ht="75.0" customHeight="1">
      <c r="B51" s="414"/>
      <c r="C51" s="415"/>
      <c r="D51" s="415"/>
      <c r="E51" s="304" t="b">
        <f t="shared" si="1"/>
        <v>0</v>
      </c>
      <c r="F51" s="415"/>
      <c r="G51" s="416" t="b">
        <f t="shared" si="2"/>
        <v>0</v>
      </c>
    </row>
    <row r="52" ht="75.0" customHeight="1">
      <c r="B52" s="417"/>
      <c r="C52" s="418"/>
      <c r="D52" s="418"/>
      <c r="E52" s="331" t="b">
        <f t="shared" si="1"/>
        <v>0</v>
      </c>
      <c r="F52" s="418"/>
      <c r="G52" s="419" t="b">
        <f t="shared" si="2"/>
        <v>0</v>
      </c>
    </row>
    <row r="53" ht="7.5" customHeight="1">
      <c r="A53" s="213"/>
      <c r="B53" s="340"/>
      <c r="H53" s="213"/>
    </row>
  </sheetData>
  <mergeCells count="6">
    <mergeCell ref="A1:A2"/>
    <mergeCell ref="B1:G1"/>
    <mergeCell ref="H1:H2"/>
    <mergeCell ref="A3:A52"/>
    <mergeCell ref="H3:H52"/>
    <mergeCell ref="B53:G53"/>
  </mergeCells>
  <conditionalFormatting sqref="C3:C52">
    <cfRule type="expression" dxfId="10" priority="1">
      <formula>(B3) = ""</formula>
    </cfRule>
  </conditionalFormatting>
  <conditionalFormatting sqref="D3:D52">
    <cfRule type="expression" dxfId="10" priority="2">
      <formula>(C3) = ""</formula>
    </cfRule>
  </conditionalFormatting>
  <conditionalFormatting sqref="E3:F52">
    <cfRule type="expression" dxfId="10" priority="3">
      <formula>(D3) = ""</formula>
    </cfRule>
  </conditionalFormatting>
  <conditionalFormatting sqref="G3:G52">
    <cfRule type="expression" dxfId="10" priority="4">
      <formula>(D3) = ""</formula>
    </cfRule>
  </conditionalFormatting>
  <conditionalFormatting sqref="B3:G52">
    <cfRule type="expression" dxfId="28" priority="5">
      <formula>MOD(INT((ROW(#REF!)-1)/2),2)=0</formula>
    </cfRule>
  </conditionalFormatting>
  <conditionalFormatting sqref="F3:F52">
    <cfRule type="expression" dxfId="10" priority="6">
      <formula>NOT(REGEXMATCH($C3,"(X)"))</formula>
    </cfRule>
  </conditionalFormatting>
  <conditionalFormatting sqref="B4:B52">
    <cfRule type="expression" dxfId="10"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20"/>
      <c r="B1" s="410" t="s">
        <v>254</v>
      </c>
      <c r="M1" s="421"/>
    </row>
    <row r="2" ht="16.5" customHeight="1">
      <c r="A2" s="420"/>
      <c r="B2" s="422" t="s">
        <v>255</v>
      </c>
      <c r="C2" s="423"/>
      <c r="D2" s="424"/>
      <c r="E2" s="424"/>
      <c r="F2" s="424"/>
      <c r="G2" s="424"/>
      <c r="H2" s="424"/>
      <c r="I2" s="424"/>
      <c r="J2" s="424"/>
      <c r="K2" s="424"/>
      <c r="L2" s="424"/>
      <c r="M2" s="420"/>
    </row>
    <row r="3" ht="16.5" customHeight="1">
      <c r="A3" s="420"/>
      <c r="B3" s="422" t="s">
        <v>256</v>
      </c>
      <c r="C3" s="425"/>
      <c r="D3" s="425"/>
      <c r="E3" s="425"/>
      <c r="F3" s="425"/>
      <c r="G3" s="425"/>
      <c r="H3" s="425"/>
      <c r="I3" s="425"/>
      <c r="J3" s="425"/>
      <c r="K3" s="425"/>
      <c r="L3" s="425"/>
      <c r="M3" s="420"/>
    </row>
    <row r="4" ht="16.5" customHeight="1">
      <c r="A4" s="420"/>
      <c r="B4" s="426" t="s">
        <v>257</v>
      </c>
      <c r="C4" s="427"/>
      <c r="D4" s="427"/>
      <c r="E4" s="427"/>
      <c r="F4" s="427"/>
      <c r="G4" s="427"/>
      <c r="H4" s="427"/>
      <c r="I4" s="427"/>
      <c r="J4" s="427"/>
      <c r="K4" s="427"/>
      <c r="L4" s="427"/>
      <c r="M4" s="420"/>
    </row>
    <row r="5" ht="16.5" customHeight="1">
      <c r="A5" s="420"/>
      <c r="B5" s="428" t="s">
        <v>258</v>
      </c>
      <c r="C5" s="425"/>
      <c r="D5" s="425"/>
      <c r="E5" s="425"/>
      <c r="F5" s="425"/>
      <c r="G5" s="425"/>
      <c r="H5" s="425"/>
      <c r="I5" s="425"/>
      <c r="J5" s="425"/>
      <c r="K5" s="425"/>
      <c r="L5" s="425"/>
      <c r="M5" s="420"/>
    </row>
    <row r="6" ht="37.5" customHeight="1">
      <c r="A6" s="420"/>
      <c r="B6" s="429"/>
      <c r="C6" s="200"/>
      <c r="D6" s="200"/>
      <c r="E6" s="200"/>
      <c r="F6" s="200"/>
      <c r="G6" s="200"/>
      <c r="H6" s="200"/>
      <c r="I6" s="200"/>
      <c r="J6" s="200"/>
      <c r="K6" s="200"/>
      <c r="L6" s="201"/>
      <c r="M6" s="420"/>
    </row>
    <row r="7" ht="37.5" customHeight="1">
      <c r="A7" s="420"/>
      <c r="B7" s="430"/>
      <c r="L7" s="431"/>
      <c r="M7" s="420"/>
    </row>
    <row r="8" ht="37.5" customHeight="1">
      <c r="A8" s="420"/>
      <c r="B8" s="432"/>
      <c r="L8" s="433"/>
      <c r="M8" s="420"/>
    </row>
    <row r="9" ht="37.5" customHeight="1">
      <c r="A9" s="420"/>
      <c r="B9" s="430"/>
      <c r="L9" s="431"/>
      <c r="M9" s="420"/>
    </row>
    <row r="10" ht="37.5" customHeight="1">
      <c r="A10" s="420"/>
      <c r="B10" s="432"/>
      <c r="L10" s="433"/>
      <c r="M10" s="420"/>
    </row>
    <row r="11" ht="37.5" customHeight="1">
      <c r="A11" s="420"/>
      <c r="B11" s="430"/>
      <c r="L11" s="431"/>
      <c r="M11" s="420"/>
    </row>
    <row r="12" ht="37.5" customHeight="1">
      <c r="A12" s="420"/>
      <c r="B12" s="432"/>
      <c r="L12" s="433"/>
      <c r="M12" s="420"/>
    </row>
    <row r="13" ht="37.5" customHeight="1">
      <c r="A13" s="420"/>
      <c r="B13" s="430"/>
      <c r="L13" s="431"/>
      <c r="M13" s="420"/>
    </row>
    <row r="14" ht="37.5" customHeight="1">
      <c r="A14" s="420"/>
      <c r="B14" s="432"/>
      <c r="L14" s="433"/>
      <c r="M14" s="420"/>
    </row>
    <row r="15" ht="37.5" customHeight="1">
      <c r="A15" s="420"/>
      <c r="B15" s="430"/>
      <c r="L15" s="431"/>
      <c r="M15" s="420"/>
    </row>
    <row r="16" ht="37.5" customHeight="1">
      <c r="A16" s="420"/>
      <c r="B16" s="432"/>
      <c r="L16" s="433"/>
      <c r="M16" s="420"/>
    </row>
    <row r="17" ht="37.5" customHeight="1">
      <c r="A17" s="420"/>
      <c r="B17" s="430"/>
      <c r="L17" s="431"/>
      <c r="M17" s="420"/>
    </row>
    <row r="18" ht="37.5" customHeight="1">
      <c r="A18" s="420"/>
      <c r="B18" s="432"/>
      <c r="L18" s="433"/>
      <c r="M18" s="420"/>
    </row>
    <row r="19" ht="37.5" customHeight="1">
      <c r="A19" s="420"/>
      <c r="B19" s="430"/>
      <c r="L19" s="431"/>
      <c r="M19" s="420"/>
    </row>
    <row r="20" ht="37.5" customHeight="1">
      <c r="A20" s="420"/>
      <c r="B20" s="432"/>
      <c r="L20" s="433"/>
      <c r="M20" s="420"/>
    </row>
    <row r="21" ht="37.5" customHeight="1">
      <c r="A21" s="420"/>
      <c r="B21" s="430"/>
      <c r="L21" s="431"/>
      <c r="M21" s="420"/>
    </row>
    <row r="22" ht="37.5" customHeight="1">
      <c r="A22" s="420"/>
      <c r="B22" s="432"/>
      <c r="L22" s="433"/>
      <c r="M22" s="420"/>
    </row>
    <row r="23" ht="37.5" customHeight="1">
      <c r="A23" s="420"/>
      <c r="B23" s="430"/>
      <c r="L23" s="431"/>
      <c r="M23" s="420"/>
    </row>
    <row r="24" ht="37.5" customHeight="1">
      <c r="A24" s="420"/>
      <c r="B24" s="432"/>
      <c r="L24" s="433"/>
      <c r="M24" s="420"/>
    </row>
    <row r="25" ht="37.5" customHeight="1">
      <c r="A25" s="420"/>
      <c r="B25" s="430"/>
      <c r="L25" s="431"/>
      <c r="M25" s="420"/>
    </row>
    <row r="26" ht="37.5" customHeight="1">
      <c r="A26" s="420"/>
      <c r="B26" s="432"/>
      <c r="L26" s="433"/>
      <c r="M26" s="420"/>
    </row>
    <row r="27" ht="37.5" customHeight="1">
      <c r="A27" s="420"/>
      <c r="B27" s="430"/>
      <c r="L27" s="431"/>
      <c r="M27" s="420"/>
    </row>
    <row r="28" ht="37.5" customHeight="1">
      <c r="A28" s="420"/>
      <c r="B28" s="432"/>
      <c r="L28" s="433"/>
      <c r="M28" s="420"/>
    </row>
    <row r="29" ht="37.5" customHeight="1">
      <c r="A29" s="420"/>
      <c r="B29" s="430"/>
      <c r="L29" s="431"/>
      <c r="M29" s="420"/>
    </row>
    <row r="30" ht="37.5" customHeight="1">
      <c r="A30" s="420"/>
      <c r="B30" s="432"/>
      <c r="L30" s="433"/>
      <c r="M30" s="420"/>
    </row>
    <row r="31" ht="37.5" customHeight="1">
      <c r="A31" s="420"/>
      <c r="B31" s="430"/>
      <c r="L31" s="431"/>
      <c r="M31" s="420"/>
    </row>
    <row r="32" ht="37.5" customHeight="1">
      <c r="A32" s="420"/>
      <c r="B32" s="432"/>
      <c r="L32" s="433"/>
      <c r="M32" s="420"/>
    </row>
    <row r="33" ht="37.5" customHeight="1">
      <c r="A33" s="420"/>
      <c r="B33" s="430"/>
      <c r="L33" s="431"/>
      <c r="M33" s="420"/>
    </row>
    <row r="34" ht="37.5" customHeight="1">
      <c r="A34" s="420"/>
      <c r="B34" s="432"/>
      <c r="L34" s="433"/>
      <c r="M34" s="420"/>
    </row>
    <row r="35" ht="37.5" customHeight="1">
      <c r="A35" s="420"/>
      <c r="B35" s="430"/>
      <c r="L35" s="431"/>
      <c r="M35" s="420"/>
    </row>
    <row r="36" ht="37.5" customHeight="1">
      <c r="A36" s="420"/>
      <c r="B36" s="432"/>
      <c r="L36" s="433"/>
      <c r="M36" s="420"/>
    </row>
    <row r="37" ht="37.5" customHeight="1">
      <c r="A37" s="420"/>
      <c r="B37" s="430"/>
      <c r="L37" s="431"/>
      <c r="M37" s="420"/>
    </row>
    <row r="38" ht="37.5" customHeight="1">
      <c r="A38" s="420"/>
      <c r="B38" s="432"/>
      <c r="L38" s="433"/>
      <c r="M38" s="420"/>
    </row>
    <row r="39" ht="37.5" customHeight="1">
      <c r="A39" s="420"/>
      <c r="B39" s="430"/>
      <c r="L39" s="431"/>
      <c r="M39" s="420"/>
    </row>
    <row r="40" ht="37.5" customHeight="1">
      <c r="A40" s="420"/>
      <c r="B40" s="432"/>
      <c r="L40" s="433"/>
      <c r="M40" s="420"/>
    </row>
    <row r="41" ht="37.5" customHeight="1">
      <c r="A41" s="420"/>
      <c r="B41" s="430"/>
      <c r="L41" s="431"/>
      <c r="M41" s="420"/>
    </row>
    <row r="42" ht="37.5" customHeight="1">
      <c r="A42" s="420"/>
      <c r="B42" s="432"/>
      <c r="L42" s="433"/>
      <c r="M42" s="420"/>
    </row>
    <row r="43" ht="37.5" customHeight="1">
      <c r="A43" s="420"/>
      <c r="B43" s="430"/>
      <c r="L43" s="431"/>
      <c r="M43" s="420"/>
    </row>
    <row r="44" ht="37.5" customHeight="1">
      <c r="A44" s="420"/>
      <c r="B44" s="432"/>
      <c r="L44" s="433"/>
      <c r="M44" s="420"/>
    </row>
    <row r="45" ht="37.5" customHeight="1">
      <c r="A45" s="420"/>
      <c r="B45" s="430"/>
      <c r="L45" s="431"/>
      <c r="M45" s="420"/>
    </row>
    <row r="46" ht="37.5" customHeight="1">
      <c r="A46" s="420"/>
      <c r="B46" s="432"/>
      <c r="L46" s="433"/>
      <c r="M46" s="420"/>
    </row>
    <row r="47" ht="37.5" customHeight="1">
      <c r="A47" s="420"/>
      <c r="B47" s="430"/>
      <c r="L47" s="431"/>
      <c r="M47" s="420"/>
    </row>
    <row r="48" ht="37.5" customHeight="1">
      <c r="A48" s="420"/>
      <c r="B48" s="432"/>
      <c r="L48" s="433"/>
      <c r="M48" s="420"/>
    </row>
    <row r="49" ht="37.5" customHeight="1">
      <c r="A49" s="420"/>
      <c r="B49" s="430"/>
      <c r="L49" s="431"/>
      <c r="M49" s="420"/>
    </row>
    <row r="50" ht="37.5" customHeight="1">
      <c r="A50" s="420"/>
      <c r="B50" s="434"/>
      <c r="C50" s="190"/>
      <c r="D50" s="190"/>
      <c r="E50" s="190"/>
      <c r="F50" s="190"/>
      <c r="G50" s="190"/>
      <c r="H50" s="190"/>
      <c r="I50" s="190"/>
      <c r="J50" s="190"/>
      <c r="K50" s="190"/>
      <c r="L50" s="435"/>
      <c r="M50" s="420"/>
    </row>
    <row r="51" ht="7.5" customHeight="1">
      <c r="A51" s="420"/>
      <c r="B51" s="436"/>
      <c r="C51" s="436"/>
      <c r="D51" s="436"/>
      <c r="E51" s="436"/>
      <c r="F51" s="436"/>
      <c r="G51" s="436"/>
      <c r="H51" s="436"/>
      <c r="I51" s="436"/>
      <c r="J51" s="436"/>
      <c r="K51" s="436"/>
      <c r="L51" s="436"/>
      <c r="M51" s="420"/>
    </row>
  </sheetData>
  <mergeCells count="46">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7:L47"/>
    <mergeCell ref="B48:L48"/>
    <mergeCell ref="B49:L49"/>
    <mergeCell ref="B50:L50"/>
    <mergeCell ref="B40:L40"/>
    <mergeCell ref="B41:L41"/>
    <mergeCell ref="B42:L42"/>
    <mergeCell ref="B43:L43"/>
    <mergeCell ref="B44:L44"/>
    <mergeCell ref="B45:L45"/>
    <mergeCell ref="B46:L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37"/>
      <c r="B1" s="437"/>
      <c r="E1" s="438"/>
    </row>
    <row r="2" ht="30.0" customHeight="1">
      <c r="B2" s="439" t="s">
        <v>259</v>
      </c>
      <c r="C2" s="440"/>
      <c r="D2" s="441" t="s">
        <v>260</v>
      </c>
    </row>
    <row r="3" ht="30.0" customHeight="1">
      <c r="B3" s="439" t="s">
        <v>261</v>
      </c>
      <c r="C3" s="442"/>
      <c r="D3" s="443" t="b">
        <v>0</v>
      </c>
    </row>
    <row r="4" ht="30.0" customHeight="1">
      <c r="B4" s="439" t="s">
        <v>262</v>
      </c>
      <c r="C4" s="442"/>
      <c r="D4" s="443" t="b">
        <v>0</v>
      </c>
    </row>
    <row r="5" ht="30.0" customHeight="1">
      <c r="B5" s="444" t="s">
        <v>263</v>
      </c>
      <c r="C5" s="445"/>
      <c r="D5" s="446"/>
    </row>
    <row r="6" ht="7.5" customHeight="1">
      <c r="B6" s="213"/>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7" t="str">
        <f t="array" ref="A1:AZ1">TRANSPOSE(indirect(Exploits!B3&amp;"!A:A"))</f>
        <v>Fast Learner</v>
      </c>
      <c r="B1" t="s">
        <v>264</v>
      </c>
      <c r="C1" t="s">
        <v>264</v>
      </c>
      <c r="D1" t="s">
        <v>264</v>
      </c>
      <c r="E1" t="s">
        <v>264</v>
      </c>
      <c r="F1" t="s">
        <v>264</v>
      </c>
      <c r="G1" t="s">
        <v>264</v>
      </c>
      <c r="H1" t="s">
        <v>264</v>
      </c>
      <c r="I1" t="s">
        <v>264</v>
      </c>
      <c r="J1" t="s">
        <v>264</v>
      </c>
      <c r="K1" t="s">
        <v>264</v>
      </c>
      <c r="L1" t="s">
        <v>264</v>
      </c>
      <c r="M1" t="s">
        <v>264</v>
      </c>
      <c r="N1" t="s">
        <v>264</v>
      </c>
      <c r="O1" t="s">
        <v>264</v>
      </c>
      <c r="P1" t="s">
        <v>264</v>
      </c>
      <c r="Q1" t="s">
        <v>264</v>
      </c>
      <c r="R1" t="s">
        <v>264</v>
      </c>
      <c r="S1" t="s">
        <v>264</v>
      </c>
      <c r="T1" t="s">
        <v>264</v>
      </c>
      <c r="U1" t="s">
        <v>264</v>
      </c>
      <c r="V1" t="s">
        <v>264</v>
      </c>
      <c r="W1" t="s">
        <v>264</v>
      </c>
      <c r="X1" t="s">
        <v>264</v>
      </c>
      <c r="Y1" t="s">
        <v>264</v>
      </c>
      <c r="Z1" t="s">
        <v>264</v>
      </c>
      <c r="AA1" t="s">
        <v>264</v>
      </c>
      <c r="AB1" t="s">
        <v>264</v>
      </c>
      <c r="AC1" t="s">
        <v>264</v>
      </c>
      <c r="AD1" t="s">
        <v>264</v>
      </c>
      <c r="AE1" t="s">
        <v>264</v>
      </c>
      <c r="AF1" t="s">
        <v>264</v>
      </c>
      <c r="AG1" t="s">
        <v>264</v>
      </c>
      <c r="AH1" t="s">
        <v>264</v>
      </c>
      <c r="AI1" t="s">
        <v>264</v>
      </c>
      <c r="AJ1" t="s">
        <v>264</v>
      </c>
      <c r="AK1" t="s">
        <v>264</v>
      </c>
      <c r="AL1" t="s">
        <v>264</v>
      </c>
      <c r="AM1" t="s">
        <v>264</v>
      </c>
      <c r="AN1" t="s">
        <v>264</v>
      </c>
      <c r="AO1" t="s">
        <v>264</v>
      </c>
      <c r="AP1" t="s">
        <v>264</v>
      </c>
      <c r="AQ1" t="s">
        <v>264</v>
      </c>
      <c r="AR1" t="s">
        <v>264</v>
      </c>
      <c r="AS1" t="s">
        <v>264</v>
      </c>
      <c r="AT1" t="s">
        <v>264</v>
      </c>
      <c r="AU1" t="s">
        <v>264</v>
      </c>
      <c r="AV1" t="s">
        <v>264</v>
      </c>
      <c r="AW1" t="s">
        <v>264</v>
      </c>
      <c r="AX1" t="s">
        <v>264</v>
      </c>
      <c r="AY1" t="s">
        <v>264</v>
      </c>
      <c r="AZ1" t="s">
        <v>264</v>
      </c>
    </row>
    <row r="2">
      <c r="A2" s="447" t="str">
        <f t="array" ref="A2:AZ2">TRANSPOSE(indirect(Exploits!B4&amp;"!A:A"))</f>
        <v>Fast Learner</v>
      </c>
      <c r="B2" t="s">
        <v>264</v>
      </c>
      <c r="C2" t="s">
        <v>264</v>
      </c>
      <c r="D2" t="s">
        <v>264</v>
      </c>
      <c r="E2" t="s">
        <v>264</v>
      </c>
      <c r="F2" t="s">
        <v>264</v>
      </c>
      <c r="G2" t="s">
        <v>264</v>
      </c>
      <c r="H2" t="s">
        <v>264</v>
      </c>
      <c r="I2" t="s">
        <v>264</v>
      </c>
      <c r="J2" t="s">
        <v>264</v>
      </c>
      <c r="K2" t="s">
        <v>264</v>
      </c>
      <c r="L2" t="s">
        <v>264</v>
      </c>
      <c r="M2" t="s">
        <v>264</v>
      </c>
      <c r="N2" t="s">
        <v>264</v>
      </c>
      <c r="O2" t="s">
        <v>264</v>
      </c>
      <c r="P2" t="s">
        <v>264</v>
      </c>
      <c r="Q2" t="s">
        <v>264</v>
      </c>
      <c r="R2" t="s">
        <v>264</v>
      </c>
      <c r="S2" t="s">
        <v>264</v>
      </c>
      <c r="T2" t="s">
        <v>264</v>
      </c>
      <c r="U2" t="s">
        <v>264</v>
      </c>
      <c r="V2" t="s">
        <v>264</v>
      </c>
      <c r="W2" t="s">
        <v>264</v>
      </c>
      <c r="X2" t="s">
        <v>264</v>
      </c>
      <c r="Y2" t="s">
        <v>264</v>
      </c>
      <c r="Z2" t="s">
        <v>264</v>
      </c>
      <c r="AA2" t="s">
        <v>264</v>
      </c>
      <c r="AB2" t="s">
        <v>264</v>
      </c>
      <c r="AC2" t="s">
        <v>264</v>
      </c>
      <c r="AD2" t="s">
        <v>264</v>
      </c>
      <c r="AE2" t="s">
        <v>264</v>
      </c>
      <c r="AF2" t="s">
        <v>264</v>
      </c>
      <c r="AG2" t="s">
        <v>264</v>
      </c>
      <c r="AH2" t="s">
        <v>264</v>
      </c>
      <c r="AI2" t="s">
        <v>264</v>
      </c>
      <c r="AJ2" t="s">
        <v>264</v>
      </c>
      <c r="AK2" t="s">
        <v>264</v>
      </c>
      <c r="AL2" t="s">
        <v>264</v>
      </c>
      <c r="AM2" t="s">
        <v>264</v>
      </c>
      <c r="AN2" t="s">
        <v>264</v>
      </c>
      <c r="AO2" t="s">
        <v>264</v>
      </c>
      <c r="AP2" t="s">
        <v>264</v>
      </c>
      <c r="AQ2" t="s">
        <v>264</v>
      </c>
      <c r="AR2" t="s">
        <v>264</v>
      </c>
      <c r="AS2" t="s">
        <v>264</v>
      </c>
      <c r="AT2" t="s">
        <v>264</v>
      </c>
      <c r="AU2" t="s">
        <v>264</v>
      </c>
      <c r="AV2" t="s">
        <v>264</v>
      </c>
      <c r="AW2" t="s">
        <v>264</v>
      </c>
      <c r="AX2" t="s">
        <v>264</v>
      </c>
      <c r="AY2" t="s">
        <v>264</v>
      </c>
      <c r="AZ2" t="s">
        <v>264</v>
      </c>
    </row>
    <row r="3">
      <c r="A3" s="447" t="str">
        <f t="array" ref="A3:AZ3">TRANSPOSE(indirect(Exploits!B5&amp;"!A:A"))</f>
        <v>Fast Learner</v>
      </c>
      <c r="B3" t="s">
        <v>264</v>
      </c>
      <c r="C3" t="s">
        <v>264</v>
      </c>
      <c r="D3" t="s">
        <v>264</v>
      </c>
      <c r="E3" t="s">
        <v>264</v>
      </c>
      <c r="F3" t="s">
        <v>264</v>
      </c>
      <c r="G3" t="s">
        <v>264</v>
      </c>
      <c r="H3" t="s">
        <v>264</v>
      </c>
      <c r="I3" t="s">
        <v>264</v>
      </c>
      <c r="J3" t="s">
        <v>264</v>
      </c>
      <c r="K3" t="s">
        <v>264</v>
      </c>
      <c r="L3" t="s">
        <v>264</v>
      </c>
      <c r="M3" t="s">
        <v>264</v>
      </c>
      <c r="N3" t="s">
        <v>264</v>
      </c>
      <c r="O3" t="s">
        <v>264</v>
      </c>
      <c r="P3" t="s">
        <v>264</v>
      </c>
      <c r="Q3" t="s">
        <v>264</v>
      </c>
      <c r="R3" t="s">
        <v>264</v>
      </c>
      <c r="S3" t="s">
        <v>264</v>
      </c>
      <c r="T3" t="s">
        <v>264</v>
      </c>
      <c r="U3" t="s">
        <v>264</v>
      </c>
      <c r="V3" t="s">
        <v>264</v>
      </c>
      <c r="W3" t="s">
        <v>264</v>
      </c>
      <c r="X3" t="s">
        <v>264</v>
      </c>
      <c r="Y3" t="s">
        <v>264</v>
      </c>
      <c r="Z3" t="s">
        <v>264</v>
      </c>
      <c r="AA3" t="s">
        <v>264</v>
      </c>
      <c r="AB3" t="s">
        <v>264</v>
      </c>
      <c r="AC3" t="s">
        <v>264</v>
      </c>
      <c r="AD3" t="s">
        <v>264</v>
      </c>
      <c r="AE3" t="s">
        <v>264</v>
      </c>
      <c r="AF3" t="s">
        <v>264</v>
      </c>
      <c r="AG3" t="s">
        <v>264</v>
      </c>
      <c r="AH3" t="s">
        <v>264</v>
      </c>
      <c r="AI3" t="s">
        <v>264</v>
      </c>
      <c r="AJ3" t="s">
        <v>264</v>
      </c>
      <c r="AK3" t="s">
        <v>264</v>
      </c>
      <c r="AL3" t="s">
        <v>264</v>
      </c>
      <c r="AM3" t="s">
        <v>264</v>
      </c>
      <c r="AN3" t="s">
        <v>264</v>
      </c>
      <c r="AO3" t="s">
        <v>264</v>
      </c>
      <c r="AP3" t="s">
        <v>264</v>
      </c>
      <c r="AQ3" t="s">
        <v>264</v>
      </c>
      <c r="AR3" t="s">
        <v>264</v>
      </c>
      <c r="AS3" t="s">
        <v>264</v>
      </c>
      <c r="AT3" t="s">
        <v>264</v>
      </c>
      <c r="AU3" t="s">
        <v>264</v>
      </c>
      <c r="AV3" t="s">
        <v>264</v>
      </c>
      <c r="AW3" t="s">
        <v>264</v>
      </c>
      <c r="AX3" t="s">
        <v>264</v>
      </c>
      <c r="AY3" t="s">
        <v>264</v>
      </c>
      <c r="AZ3" t="s">
        <v>264</v>
      </c>
    </row>
    <row r="4">
      <c r="A4" s="447" t="str">
        <f t="array" ref="A4:AZ4">TRANSPOSE(indirect(Exploits!B6&amp;"!A:A"))</f>
        <v>Fast Learner</v>
      </c>
      <c r="B4" t="s">
        <v>264</v>
      </c>
      <c r="C4" t="s">
        <v>264</v>
      </c>
      <c r="D4" t="s">
        <v>264</v>
      </c>
      <c r="E4" t="s">
        <v>264</v>
      </c>
      <c r="F4" t="s">
        <v>264</v>
      </c>
      <c r="G4" t="s">
        <v>264</v>
      </c>
      <c r="H4" t="s">
        <v>264</v>
      </c>
      <c r="I4" t="s">
        <v>264</v>
      </c>
      <c r="J4" t="s">
        <v>264</v>
      </c>
      <c r="K4" t="s">
        <v>264</v>
      </c>
      <c r="L4" t="s">
        <v>264</v>
      </c>
      <c r="M4" t="s">
        <v>264</v>
      </c>
      <c r="N4" t="s">
        <v>264</v>
      </c>
      <c r="O4" t="s">
        <v>264</v>
      </c>
      <c r="P4" t="s">
        <v>264</v>
      </c>
      <c r="Q4" t="s">
        <v>264</v>
      </c>
      <c r="R4" t="s">
        <v>264</v>
      </c>
      <c r="S4" t="s">
        <v>264</v>
      </c>
      <c r="T4" t="s">
        <v>264</v>
      </c>
      <c r="U4" t="s">
        <v>264</v>
      </c>
      <c r="V4" t="s">
        <v>264</v>
      </c>
      <c r="W4" t="s">
        <v>264</v>
      </c>
      <c r="X4" t="s">
        <v>264</v>
      </c>
      <c r="Y4" t="s">
        <v>264</v>
      </c>
      <c r="Z4" t="s">
        <v>264</v>
      </c>
      <c r="AA4" t="s">
        <v>264</v>
      </c>
      <c r="AB4" t="s">
        <v>264</v>
      </c>
      <c r="AC4" t="s">
        <v>264</v>
      </c>
      <c r="AD4" t="s">
        <v>264</v>
      </c>
      <c r="AE4" t="s">
        <v>264</v>
      </c>
      <c r="AF4" t="s">
        <v>264</v>
      </c>
      <c r="AG4" t="s">
        <v>264</v>
      </c>
      <c r="AH4" t="s">
        <v>264</v>
      </c>
      <c r="AI4" t="s">
        <v>264</v>
      </c>
      <c r="AJ4" t="s">
        <v>264</v>
      </c>
      <c r="AK4" t="s">
        <v>264</v>
      </c>
      <c r="AL4" t="s">
        <v>264</v>
      </c>
      <c r="AM4" t="s">
        <v>264</v>
      </c>
      <c r="AN4" t="s">
        <v>264</v>
      </c>
      <c r="AO4" t="s">
        <v>264</v>
      </c>
      <c r="AP4" t="s">
        <v>264</v>
      </c>
      <c r="AQ4" t="s">
        <v>264</v>
      </c>
      <c r="AR4" t="s">
        <v>264</v>
      </c>
      <c r="AS4" t="s">
        <v>264</v>
      </c>
      <c r="AT4" t="s">
        <v>264</v>
      </c>
      <c r="AU4" t="s">
        <v>264</v>
      </c>
      <c r="AV4" t="s">
        <v>264</v>
      </c>
      <c r="AW4" t="s">
        <v>264</v>
      </c>
      <c r="AX4" t="s">
        <v>264</v>
      </c>
      <c r="AY4" t="s">
        <v>264</v>
      </c>
      <c r="AZ4" t="s">
        <v>264</v>
      </c>
    </row>
    <row r="5">
      <c r="A5" s="447" t="str">
        <f t="array" ref="A5:AZ5">TRANSPOSE(indirect(Exploits!B7&amp;"!A:A"))</f>
        <v>Fast Learner</v>
      </c>
      <c r="B5" t="s">
        <v>264</v>
      </c>
      <c r="C5" t="s">
        <v>264</v>
      </c>
      <c r="D5" t="s">
        <v>264</v>
      </c>
      <c r="E5" t="s">
        <v>264</v>
      </c>
      <c r="F5" t="s">
        <v>264</v>
      </c>
      <c r="G5" t="s">
        <v>264</v>
      </c>
      <c r="H5" t="s">
        <v>264</v>
      </c>
      <c r="I5" t="s">
        <v>264</v>
      </c>
      <c r="J5" t="s">
        <v>264</v>
      </c>
      <c r="K5" t="s">
        <v>264</v>
      </c>
      <c r="L5" t="s">
        <v>264</v>
      </c>
      <c r="M5" t="s">
        <v>264</v>
      </c>
      <c r="N5" t="s">
        <v>264</v>
      </c>
      <c r="O5" t="s">
        <v>264</v>
      </c>
      <c r="P5" t="s">
        <v>264</v>
      </c>
      <c r="Q5" t="s">
        <v>264</v>
      </c>
      <c r="R5" t="s">
        <v>264</v>
      </c>
      <c r="S5" t="s">
        <v>264</v>
      </c>
      <c r="T5" t="s">
        <v>264</v>
      </c>
      <c r="U5" t="s">
        <v>264</v>
      </c>
      <c r="V5" t="s">
        <v>264</v>
      </c>
      <c r="W5" t="s">
        <v>264</v>
      </c>
      <c r="X5" t="s">
        <v>264</v>
      </c>
      <c r="Y5" t="s">
        <v>264</v>
      </c>
      <c r="Z5" t="s">
        <v>264</v>
      </c>
      <c r="AA5" t="s">
        <v>264</v>
      </c>
      <c r="AB5" t="s">
        <v>264</v>
      </c>
      <c r="AC5" t="s">
        <v>264</v>
      </c>
      <c r="AD5" t="s">
        <v>264</v>
      </c>
      <c r="AE5" t="s">
        <v>264</v>
      </c>
      <c r="AF5" t="s">
        <v>264</v>
      </c>
      <c r="AG5" t="s">
        <v>264</v>
      </c>
      <c r="AH5" t="s">
        <v>264</v>
      </c>
      <c r="AI5" t="s">
        <v>264</v>
      </c>
      <c r="AJ5" t="s">
        <v>264</v>
      </c>
      <c r="AK5" t="s">
        <v>264</v>
      </c>
      <c r="AL5" t="s">
        <v>264</v>
      </c>
      <c r="AM5" t="s">
        <v>264</v>
      </c>
      <c r="AN5" t="s">
        <v>264</v>
      </c>
      <c r="AO5" t="s">
        <v>264</v>
      </c>
      <c r="AP5" t="s">
        <v>264</v>
      </c>
      <c r="AQ5" t="s">
        <v>264</v>
      </c>
      <c r="AR5" t="s">
        <v>264</v>
      </c>
      <c r="AS5" t="s">
        <v>264</v>
      </c>
      <c r="AT5" t="s">
        <v>264</v>
      </c>
      <c r="AU5" t="s">
        <v>264</v>
      </c>
      <c r="AV5" t="s">
        <v>264</v>
      </c>
      <c r="AW5" t="s">
        <v>264</v>
      </c>
      <c r="AX5" t="s">
        <v>264</v>
      </c>
      <c r="AY5" t="s">
        <v>264</v>
      </c>
      <c r="AZ5" t="s">
        <v>264</v>
      </c>
    </row>
    <row r="6">
      <c r="A6" s="447" t="str">
        <f t="array" ref="A6:AZ6">TRANSPOSE(indirect(Exploits!B8&amp;"!A:A"))</f>
        <v>Fast Learner</v>
      </c>
      <c r="B6" t="s">
        <v>264</v>
      </c>
      <c r="C6" t="s">
        <v>264</v>
      </c>
      <c r="D6" t="s">
        <v>264</v>
      </c>
      <c r="E6" t="s">
        <v>264</v>
      </c>
      <c r="F6" t="s">
        <v>264</v>
      </c>
      <c r="G6" t="s">
        <v>264</v>
      </c>
      <c r="H6" t="s">
        <v>264</v>
      </c>
      <c r="I6" t="s">
        <v>264</v>
      </c>
      <c r="J6" t="s">
        <v>264</v>
      </c>
      <c r="K6" t="s">
        <v>264</v>
      </c>
      <c r="L6" t="s">
        <v>264</v>
      </c>
      <c r="M6" t="s">
        <v>264</v>
      </c>
      <c r="N6" t="s">
        <v>264</v>
      </c>
      <c r="O6" t="s">
        <v>264</v>
      </c>
      <c r="P6" t="s">
        <v>264</v>
      </c>
      <c r="Q6" t="s">
        <v>264</v>
      </c>
      <c r="R6" t="s">
        <v>264</v>
      </c>
      <c r="S6" t="s">
        <v>264</v>
      </c>
      <c r="T6" t="s">
        <v>264</v>
      </c>
      <c r="U6" t="s">
        <v>264</v>
      </c>
      <c r="V6" t="s">
        <v>264</v>
      </c>
      <c r="W6" t="s">
        <v>264</v>
      </c>
      <c r="X6" t="s">
        <v>264</v>
      </c>
      <c r="Y6" t="s">
        <v>264</v>
      </c>
      <c r="Z6" t="s">
        <v>264</v>
      </c>
      <c r="AA6" t="s">
        <v>264</v>
      </c>
      <c r="AB6" t="s">
        <v>264</v>
      </c>
      <c r="AC6" t="s">
        <v>264</v>
      </c>
      <c r="AD6" t="s">
        <v>264</v>
      </c>
      <c r="AE6" t="s">
        <v>264</v>
      </c>
      <c r="AF6" t="s">
        <v>264</v>
      </c>
      <c r="AG6" t="s">
        <v>264</v>
      </c>
      <c r="AH6" t="s">
        <v>264</v>
      </c>
      <c r="AI6" t="s">
        <v>264</v>
      </c>
      <c r="AJ6" t="s">
        <v>264</v>
      </c>
      <c r="AK6" t="s">
        <v>264</v>
      </c>
      <c r="AL6" t="s">
        <v>264</v>
      </c>
      <c r="AM6" t="s">
        <v>264</v>
      </c>
      <c r="AN6" t="s">
        <v>264</v>
      </c>
      <c r="AO6" t="s">
        <v>264</v>
      </c>
      <c r="AP6" t="s">
        <v>264</v>
      </c>
      <c r="AQ6" t="s">
        <v>264</v>
      </c>
      <c r="AR6" t="s">
        <v>264</v>
      </c>
      <c r="AS6" t="s">
        <v>264</v>
      </c>
      <c r="AT6" t="s">
        <v>264</v>
      </c>
      <c r="AU6" t="s">
        <v>264</v>
      </c>
      <c r="AV6" t="s">
        <v>264</v>
      </c>
      <c r="AW6" t="s">
        <v>264</v>
      </c>
      <c r="AX6" t="s">
        <v>264</v>
      </c>
      <c r="AY6" t="s">
        <v>264</v>
      </c>
      <c r="AZ6" t="s">
        <v>264</v>
      </c>
    </row>
    <row r="7">
      <c r="A7" s="447" t="str">
        <f t="array" ref="A7:AZ7">TRANSPOSE(indirect(Exploits!B9&amp;"!A:A"))</f>
        <v>Fast Learner</v>
      </c>
      <c r="B7" t="s">
        <v>264</v>
      </c>
      <c r="C7" t="s">
        <v>264</v>
      </c>
      <c r="D7" t="s">
        <v>264</v>
      </c>
      <c r="E7" t="s">
        <v>264</v>
      </c>
      <c r="F7" t="s">
        <v>264</v>
      </c>
      <c r="G7" t="s">
        <v>264</v>
      </c>
      <c r="H7" t="s">
        <v>264</v>
      </c>
      <c r="I7" t="s">
        <v>264</v>
      </c>
      <c r="J7" t="s">
        <v>264</v>
      </c>
      <c r="K7" t="s">
        <v>264</v>
      </c>
      <c r="L7" t="s">
        <v>264</v>
      </c>
      <c r="M7" t="s">
        <v>264</v>
      </c>
      <c r="N7" t="s">
        <v>264</v>
      </c>
      <c r="O7" t="s">
        <v>264</v>
      </c>
      <c r="P7" t="s">
        <v>264</v>
      </c>
      <c r="Q7" t="s">
        <v>264</v>
      </c>
      <c r="R7" t="s">
        <v>264</v>
      </c>
      <c r="S7" t="s">
        <v>264</v>
      </c>
      <c r="T7" t="s">
        <v>264</v>
      </c>
      <c r="U7" t="s">
        <v>264</v>
      </c>
      <c r="V7" t="s">
        <v>264</v>
      </c>
      <c r="W7" t="s">
        <v>264</v>
      </c>
      <c r="X7" t="s">
        <v>264</v>
      </c>
      <c r="Y7" t="s">
        <v>264</v>
      </c>
      <c r="Z7" t="s">
        <v>264</v>
      </c>
      <c r="AA7" t="s">
        <v>264</v>
      </c>
      <c r="AB7" t="s">
        <v>264</v>
      </c>
      <c r="AC7" t="s">
        <v>264</v>
      </c>
      <c r="AD7" t="s">
        <v>264</v>
      </c>
      <c r="AE7" t="s">
        <v>264</v>
      </c>
      <c r="AF7" t="s">
        <v>264</v>
      </c>
      <c r="AG7" t="s">
        <v>264</v>
      </c>
      <c r="AH7" t="s">
        <v>264</v>
      </c>
      <c r="AI7" t="s">
        <v>264</v>
      </c>
      <c r="AJ7" t="s">
        <v>264</v>
      </c>
      <c r="AK7" t="s">
        <v>264</v>
      </c>
      <c r="AL7" t="s">
        <v>264</v>
      </c>
      <c r="AM7" t="s">
        <v>264</v>
      </c>
      <c r="AN7" t="s">
        <v>264</v>
      </c>
      <c r="AO7" t="s">
        <v>264</v>
      </c>
      <c r="AP7" t="s">
        <v>264</v>
      </c>
      <c r="AQ7" t="s">
        <v>264</v>
      </c>
      <c r="AR7" t="s">
        <v>264</v>
      </c>
      <c r="AS7" t="s">
        <v>264</v>
      </c>
      <c r="AT7" t="s">
        <v>264</v>
      </c>
      <c r="AU7" t="s">
        <v>264</v>
      </c>
      <c r="AV7" t="s">
        <v>264</v>
      </c>
      <c r="AW7" t="s">
        <v>264</v>
      </c>
      <c r="AX7" t="s">
        <v>264</v>
      </c>
      <c r="AY7" t="s">
        <v>264</v>
      </c>
      <c r="AZ7" t="s">
        <v>264</v>
      </c>
    </row>
    <row r="8">
      <c r="A8" s="447" t="str">
        <f t="array" ref="A8:AZ8">TRANSPOSE(indirect(Exploits!B10&amp;"!A:A"))</f>
        <v>Fast Learner</v>
      </c>
      <c r="B8" t="s">
        <v>264</v>
      </c>
      <c r="C8" t="s">
        <v>264</v>
      </c>
      <c r="D8" t="s">
        <v>264</v>
      </c>
      <c r="E8" t="s">
        <v>264</v>
      </c>
      <c r="F8" t="s">
        <v>264</v>
      </c>
      <c r="G8" t="s">
        <v>264</v>
      </c>
      <c r="H8" t="s">
        <v>264</v>
      </c>
      <c r="I8" t="s">
        <v>264</v>
      </c>
      <c r="J8" t="s">
        <v>264</v>
      </c>
      <c r="K8" t="s">
        <v>264</v>
      </c>
      <c r="L8" t="s">
        <v>264</v>
      </c>
      <c r="M8" t="s">
        <v>264</v>
      </c>
      <c r="N8" t="s">
        <v>264</v>
      </c>
      <c r="O8" t="s">
        <v>264</v>
      </c>
      <c r="P8" t="s">
        <v>264</v>
      </c>
      <c r="Q8" t="s">
        <v>264</v>
      </c>
      <c r="R8" t="s">
        <v>264</v>
      </c>
      <c r="S8" t="s">
        <v>264</v>
      </c>
      <c r="T8" t="s">
        <v>264</v>
      </c>
      <c r="U8" t="s">
        <v>264</v>
      </c>
      <c r="V8" t="s">
        <v>264</v>
      </c>
      <c r="W8" t="s">
        <v>264</v>
      </c>
      <c r="X8" t="s">
        <v>264</v>
      </c>
      <c r="Y8" t="s">
        <v>264</v>
      </c>
      <c r="Z8" t="s">
        <v>264</v>
      </c>
      <c r="AA8" t="s">
        <v>264</v>
      </c>
      <c r="AB8" t="s">
        <v>264</v>
      </c>
      <c r="AC8" t="s">
        <v>264</v>
      </c>
      <c r="AD8" t="s">
        <v>264</v>
      </c>
      <c r="AE8" t="s">
        <v>264</v>
      </c>
      <c r="AF8" t="s">
        <v>264</v>
      </c>
      <c r="AG8" t="s">
        <v>264</v>
      </c>
      <c r="AH8" t="s">
        <v>264</v>
      </c>
      <c r="AI8" t="s">
        <v>264</v>
      </c>
      <c r="AJ8" t="s">
        <v>264</v>
      </c>
      <c r="AK8" t="s">
        <v>264</v>
      </c>
      <c r="AL8" t="s">
        <v>264</v>
      </c>
      <c r="AM8" t="s">
        <v>264</v>
      </c>
      <c r="AN8" t="s">
        <v>264</v>
      </c>
      <c r="AO8" t="s">
        <v>264</v>
      </c>
      <c r="AP8" t="s">
        <v>264</v>
      </c>
      <c r="AQ8" t="s">
        <v>264</v>
      </c>
      <c r="AR8" t="s">
        <v>264</v>
      </c>
      <c r="AS8" t="s">
        <v>264</v>
      </c>
      <c r="AT8" t="s">
        <v>264</v>
      </c>
      <c r="AU8" t="s">
        <v>264</v>
      </c>
      <c r="AV8" t="s">
        <v>264</v>
      </c>
      <c r="AW8" t="s">
        <v>264</v>
      </c>
      <c r="AX8" t="s">
        <v>264</v>
      </c>
      <c r="AY8" t="s">
        <v>264</v>
      </c>
      <c r="AZ8" t="s">
        <v>264</v>
      </c>
    </row>
    <row r="9">
      <c r="A9" s="447" t="str">
        <f t="array" ref="A9:AZ9">TRANSPOSE(indirect(Exploits!B11&amp;"!A:A"))</f>
        <v>Fast Learner</v>
      </c>
      <c r="B9" t="s">
        <v>264</v>
      </c>
      <c r="C9" t="s">
        <v>264</v>
      </c>
      <c r="D9" t="s">
        <v>264</v>
      </c>
      <c r="E9" t="s">
        <v>264</v>
      </c>
      <c r="F9" t="s">
        <v>264</v>
      </c>
      <c r="G9" t="s">
        <v>264</v>
      </c>
      <c r="H9" t="s">
        <v>264</v>
      </c>
      <c r="I9" t="s">
        <v>264</v>
      </c>
      <c r="J9" t="s">
        <v>264</v>
      </c>
      <c r="K9" t="s">
        <v>264</v>
      </c>
      <c r="L9" t="s">
        <v>264</v>
      </c>
      <c r="M9" t="s">
        <v>264</v>
      </c>
      <c r="N9" t="s">
        <v>264</v>
      </c>
      <c r="O9" t="s">
        <v>264</v>
      </c>
      <c r="P9" t="s">
        <v>264</v>
      </c>
      <c r="Q9" t="s">
        <v>264</v>
      </c>
      <c r="R9" t="s">
        <v>264</v>
      </c>
      <c r="S9" t="s">
        <v>264</v>
      </c>
      <c r="T9" t="s">
        <v>264</v>
      </c>
      <c r="U9" t="s">
        <v>264</v>
      </c>
      <c r="V9" t="s">
        <v>264</v>
      </c>
      <c r="W9" t="s">
        <v>264</v>
      </c>
      <c r="X9" t="s">
        <v>264</v>
      </c>
      <c r="Y9" t="s">
        <v>264</v>
      </c>
      <c r="Z9" t="s">
        <v>264</v>
      </c>
      <c r="AA9" t="s">
        <v>264</v>
      </c>
      <c r="AB9" t="s">
        <v>264</v>
      </c>
      <c r="AC9" t="s">
        <v>264</v>
      </c>
      <c r="AD9" t="s">
        <v>264</v>
      </c>
      <c r="AE9" t="s">
        <v>264</v>
      </c>
      <c r="AF9" t="s">
        <v>264</v>
      </c>
      <c r="AG9" t="s">
        <v>264</v>
      </c>
      <c r="AH9" t="s">
        <v>264</v>
      </c>
      <c r="AI9" t="s">
        <v>264</v>
      </c>
      <c r="AJ9" t="s">
        <v>264</v>
      </c>
      <c r="AK9" t="s">
        <v>264</v>
      </c>
      <c r="AL9" t="s">
        <v>264</v>
      </c>
      <c r="AM9" t="s">
        <v>264</v>
      </c>
      <c r="AN9" t="s">
        <v>264</v>
      </c>
      <c r="AO9" t="s">
        <v>264</v>
      </c>
      <c r="AP9" t="s">
        <v>264</v>
      </c>
      <c r="AQ9" t="s">
        <v>264</v>
      </c>
      <c r="AR9" t="s">
        <v>264</v>
      </c>
      <c r="AS9" t="s">
        <v>264</v>
      </c>
      <c r="AT9" t="s">
        <v>264</v>
      </c>
      <c r="AU9" t="s">
        <v>264</v>
      </c>
      <c r="AV9" t="s">
        <v>264</v>
      </c>
      <c r="AW9" t="s">
        <v>264</v>
      </c>
      <c r="AX9" t="s">
        <v>264</v>
      </c>
      <c r="AY9" t="s">
        <v>264</v>
      </c>
      <c r="AZ9" t="s">
        <v>264</v>
      </c>
    </row>
    <row r="10">
      <c r="A10" s="447" t="str">
        <f t="array" ref="A10:AZ10">TRANSPOSE(indirect(Exploits!B12&amp;"!A:A"))</f>
        <v>Fast Learner</v>
      </c>
      <c r="B10" t="s">
        <v>264</v>
      </c>
      <c r="C10" t="s">
        <v>264</v>
      </c>
      <c r="D10" t="s">
        <v>264</v>
      </c>
      <c r="E10" t="s">
        <v>264</v>
      </c>
      <c r="F10" t="s">
        <v>264</v>
      </c>
      <c r="G10" t="s">
        <v>264</v>
      </c>
      <c r="H10" t="s">
        <v>264</v>
      </c>
      <c r="I10" t="s">
        <v>264</v>
      </c>
      <c r="J10" t="s">
        <v>264</v>
      </c>
      <c r="K10" t="s">
        <v>264</v>
      </c>
      <c r="L10" t="s">
        <v>264</v>
      </c>
      <c r="M10" t="s">
        <v>264</v>
      </c>
      <c r="N10" t="s">
        <v>264</v>
      </c>
      <c r="O10" t="s">
        <v>264</v>
      </c>
      <c r="P10" t="s">
        <v>264</v>
      </c>
      <c r="Q10" t="s">
        <v>264</v>
      </c>
      <c r="R10" t="s">
        <v>264</v>
      </c>
      <c r="S10" t="s">
        <v>264</v>
      </c>
      <c r="T10" t="s">
        <v>264</v>
      </c>
      <c r="U10" t="s">
        <v>264</v>
      </c>
      <c r="V10" t="s">
        <v>264</v>
      </c>
      <c r="W10" t="s">
        <v>264</v>
      </c>
      <c r="X10" t="s">
        <v>264</v>
      </c>
      <c r="Y10" t="s">
        <v>264</v>
      </c>
      <c r="Z10" t="s">
        <v>264</v>
      </c>
      <c r="AA10" t="s">
        <v>264</v>
      </c>
      <c r="AB10" t="s">
        <v>264</v>
      </c>
      <c r="AC10" t="s">
        <v>264</v>
      </c>
      <c r="AD10" t="s">
        <v>264</v>
      </c>
      <c r="AE10" t="s">
        <v>264</v>
      </c>
      <c r="AF10" t="s">
        <v>264</v>
      </c>
      <c r="AG10" t="s">
        <v>264</v>
      </c>
      <c r="AH10" t="s">
        <v>264</v>
      </c>
      <c r="AI10" t="s">
        <v>264</v>
      </c>
      <c r="AJ10" t="s">
        <v>264</v>
      </c>
      <c r="AK10" t="s">
        <v>264</v>
      </c>
      <c r="AL10" t="s">
        <v>264</v>
      </c>
      <c r="AM10" t="s">
        <v>264</v>
      </c>
      <c r="AN10" t="s">
        <v>264</v>
      </c>
      <c r="AO10" t="s">
        <v>264</v>
      </c>
      <c r="AP10" t="s">
        <v>264</v>
      </c>
      <c r="AQ10" t="s">
        <v>264</v>
      </c>
      <c r="AR10" t="s">
        <v>264</v>
      </c>
      <c r="AS10" t="s">
        <v>264</v>
      </c>
      <c r="AT10" t="s">
        <v>264</v>
      </c>
      <c r="AU10" t="s">
        <v>264</v>
      </c>
      <c r="AV10" t="s">
        <v>264</v>
      </c>
      <c r="AW10" t="s">
        <v>264</v>
      </c>
      <c r="AX10" t="s">
        <v>264</v>
      </c>
      <c r="AY10" t="s">
        <v>264</v>
      </c>
      <c r="AZ10" t="s">
        <v>264</v>
      </c>
    </row>
    <row r="11">
      <c r="A11" s="447" t="str">
        <f t="array" ref="A11:AZ11">TRANSPOSE(indirect(Exploits!B13&amp;"!A:A"))</f>
        <v>Fast Learner</v>
      </c>
      <c r="B11" t="s">
        <v>264</v>
      </c>
      <c r="C11" t="s">
        <v>264</v>
      </c>
      <c r="D11" t="s">
        <v>264</v>
      </c>
      <c r="E11" t="s">
        <v>264</v>
      </c>
      <c r="F11" t="s">
        <v>264</v>
      </c>
      <c r="G11" t="s">
        <v>264</v>
      </c>
      <c r="H11" t="s">
        <v>264</v>
      </c>
      <c r="I11" t="s">
        <v>264</v>
      </c>
      <c r="J11" t="s">
        <v>264</v>
      </c>
      <c r="K11" t="s">
        <v>264</v>
      </c>
      <c r="L11" t="s">
        <v>264</v>
      </c>
      <c r="M11" t="s">
        <v>264</v>
      </c>
      <c r="N11" t="s">
        <v>264</v>
      </c>
      <c r="O11" t="s">
        <v>264</v>
      </c>
      <c r="P11" t="s">
        <v>264</v>
      </c>
      <c r="Q11" t="s">
        <v>264</v>
      </c>
      <c r="R11" t="s">
        <v>264</v>
      </c>
      <c r="S11" t="s">
        <v>264</v>
      </c>
      <c r="T11" t="s">
        <v>264</v>
      </c>
      <c r="U11" t="s">
        <v>264</v>
      </c>
      <c r="V11" t="s">
        <v>264</v>
      </c>
      <c r="W11" t="s">
        <v>264</v>
      </c>
      <c r="X11" t="s">
        <v>264</v>
      </c>
      <c r="Y11" t="s">
        <v>264</v>
      </c>
      <c r="Z11" t="s">
        <v>264</v>
      </c>
      <c r="AA11" t="s">
        <v>264</v>
      </c>
      <c r="AB11" t="s">
        <v>264</v>
      </c>
      <c r="AC11" t="s">
        <v>264</v>
      </c>
      <c r="AD11" t="s">
        <v>264</v>
      </c>
      <c r="AE11" t="s">
        <v>264</v>
      </c>
      <c r="AF11" t="s">
        <v>264</v>
      </c>
      <c r="AG11" t="s">
        <v>264</v>
      </c>
      <c r="AH11" t="s">
        <v>264</v>
      </c>
      <c r="AI11" t="s">
        <v>264</v>
      </c>
      <c r="AJ11" t="s">
        <v>264</v>
      </c>
      <c r="AK11" t="s">
        <v>264</v>
      </c>
      <c r="AL11" t="s">
        <v>264</v>
      </c>
      <c r="AM11" t="s">
        <v>264</v>
      </c>
      <c r="AN11" t="s">
        <v>264</v>
      </c>
      <c r="AO11" t="s">
        <v>264</v>
      </c>
      <c r="AP11" t="s">
        <v>264</v>
      </c>
      <c r="AQ11" t="s">
        <v>264</v>
      </c>
      <c r="AR11" t="s">
        <v>264</v>
      </c>
      <c r="AS11" t="s">
        <v>264</v>
      </c>
      <c r="AT11" t="s">
        <v>264</v>
      </c>
      <c r="AU11" t="s">
        <v>264</v>
      </c>
      <c r="AV11" t="s">
        <v>264</v>
      </c>
      <c r="AW11" t="s">
        <v>264</v>
      </c>
      <c r="AX11" t="s">
        <v>264</v>
      </c>
      <c r="AY11" t="s">
        <v>264</v>
      </c>
      <c r="AZ11" t="s">
        <v>264</v>
      </c>
    </row>
    <row r="12">
      <c r="A12" s="447" t="str">
        <f t="array" ref="A12:AZ12">TRANSPOSE(indirect(Exploits!B14&amp;"!A:A"))</f>
        <v>Fast Learner</v>
      </c>
      <c r="B12" t="s">
        <v>264</v>
      </c>
      <c r="C12" t="s">
        <v>264</v>
      </c>
      <c r="D12" t="s">
        <v>264</v>
      </c>
      <c r="E12" t="s">
        <v>264</v>
      </c>
      <c r="F12" t="s">
        <v>264</v>
      </c>
      <c r="G12" t="s">
        <v>264</v>
      </c>
      <c r="H12" t="s">
        <v>264</v>
      </c>
      <c r="I12" t="s">
        <v>264</v>
      </c>
      <c r="J12" t="s">
        <v>264</v>
      </c>
      <c r="K12" t="s">
        <v>264</v>
      </c>
      <c r="L12" t="s">
        <v>264</v>
      </c>
      <c r="M12" t="s">
        <v>264</v>
      </c>
      <c r="N12" t="s">
        <v>264</v>
      </c>
      <c r="O12" t="s">
        <v>264</v>
      </c>
      <c r="P12" t="s">
        <v>264</v>
      </c>
      <c r="Q12" t="s">
        <v>264</v>
      </c>
      <c r="R12" t="s">
        <v>264</v>
      </c>
      <c r="S12" t="s">
        <v>264</v>
      </c>
      <c r="T12" t="s">
        <v>264</v>
      </c>
      <c r="U12" t="s">
        <v>264</v>
      </c>
      <c r="V12" t="s">
        <v>264</v>
      </c>
      <c r="W12" t="s">
        <v>264</v>
      </c>
      <c r="X12" t="s">
        <v>264</v>
      </c>
      <c r="Y12" t="s">
        <v>264</v>
      </c>
      <c r="Z12" t="s">
        <v>264</v>
      </c>
      <c r="AA12" t="s">
        <v>264</v>
      </c>
      <c r="AB12" t="s">
        <v>264</v>
      </c>
      <c r="AC12" t="s">
        <v>264</v>
      </c>
      <c r="AD12" t="s">
        <v>264</v>
      </c>
      <c r="AE12" t="s">
        <v>264</v>
      </c>
      <c r="AF12" t="s">
        <v>264</v>
      </c>
      <c r="AG12" t="s">
        <v>264</v>
      </c>
      <c r="AH12" t="s">
        <v>264</v>
      </c>
      <c r="AI12" t="s">
        <v>264</v>
      </c>
      <c r="AJ12" t="s">
        <v>264</v>
      </c>
      <c r="AK12" t="s">
        <v>264</v>
      </c>
      <c r="AL12" t="s">
        <v>264</v>
      </c>
      <c r="AM12" t="s">
        <v>264</v>
      </c>
      <c r="AN12" t="s">
        <v>264</v>
      </c>
      <c r="AO12" t="s">
        <v>264</v>
      </c>
      <c r="AP12" t="s">
        <v>264</v>
      </c>
      <c r="AQ12" t="s">
        <v>264</v>
      </c>
      <c r="AR12" t="s">
        <v>264</v>
      </c>
      <c r="AS12" t="s">
        <v>264</v>
      </c>
      <c r="AT12" t="s">
        <v>264</v>
      </c>
      <c r="AU12" t="s">
        <v>264</v>
      </c>
      <c r="AV12" t="s">
        <v>264</v>
      </c>
      <c r="AW12" t="s">
        <v>264</v>
      </c>
      <c r="AX12" t="s">
        <v>264</v>
      </c>
      <c r="AY12" t="s">
        <v>264</v>
      </c>
      <c r="AZ12" t="s">
        <v>264</v>
      </c>
    </row>
    <row r="13">
      <c r="A13" s="447" t="str">
        <f t="array" ref="A13:AZ13">TRANSPOSE(indirect(Exploits!B15&amp;"!A:A"))</f>
        <v>Fast Learner</v>
      </c>
      <c r="B13" t="s">
        <v>264</v>
      </c>
      <c r="C13" t="s">
        <v>264</v>
      </c>
      <c r="D13" t="s">
        <v>264</v>
      </c>
      <c r="E13" t="s">
        <v>264</v>
      </c>
      <c r="F13" t="s">
        <v>264</v>
      </c>
      <c r="G13" t="s">
        <v>264</v>
      </c>
      <c r="H13" t="s">
        <v>264</v>
      </c>
      <c r="I13" t="s">
        <v>264</v>
      </c>
      <c r="J13" t="s">
        <v>264</v>
      </c>
      <c r="K13" t="s">
        <v>264</v>
      </c>
      <c r="L13" t="s">
        <v>264</v>
      </c>
      <c r="M13" t="s">
        <v>264</v>
      </c>
      <c r="N13" t="s">
        <v>264</v>
      </c>
      <c r="O13" t="s">
        <v>264</v>
      </c>
      <c r="P13" t="s">
        <v>264</v>
      </c>
      <c r="Q13" t="s">
        <v>264</v>
      </c>
      <c r="R13" t="s">
        <v>264</v>
      </c>
      <c r="S13" t="s">
        <v>264</v>
      </c>
      <c r="T13" t="s">
        <v>264</v>
      </c>
      <c r="U13" t="s">
        <v>264</v>
      </c>
      <c r="V13" t="s">
        <v>264</v>
      </c>
      <c r="W13" t="s">
        <v>264</v>
      </c>
      <c r="X13" t="s">
        <v>264</v>
      </c>
      <c r="Y13" t="s">
        <v>264</v>
      </c>
      <c r="Z13" t="s">
        <v>264</v>
      </c>
      <c r="AA13" t="s">
        <v>264</v>
      </c>
      <c r="AB13" t="s">
        <v>264</v>
      </c>
      <c r="AC13" t="s">
        <v>264</v>
      </c>
      <c r="AD13" t="s">
        <v>264</v>
      </c>
      <c r="AE13" t="s">
        <v>264</v>
      </c>
      <c r="AF13" t="s">
        <v>264</v>
      </c>
      <c r="AG13" t="s">
        <v>264</v>
      </c>
      <c r="AH13" t="s">
        <v>264</v>
      </c>
      <c r="AI13" t="s">
        <v>264</v>
      </c>
      <c r="AJ13" t="s">
        <v>264</v>
      </c>
      <c r="AK13" t="s">
        <v>264</v>
      </c>
      <c r="AL13" t="s">
        <v>264</v>
      </c>
      <c r="AM13" t="s">
        <v>264</v>
      </c>
      <c r="AN13" t="s">
        <v>264</v>
      </c>
      <c r="AO13" t="s">
        <v>264</v>
      </c>
      <c r="AP13" t="s">
        <v>264</v>
      </c>
      <c r="AQ13" t="s">
        <v>264</v>
      </c>
      <c r="AR13" t="s">
        <v>264</v>
      </c>
      <c r="AS13" t="s">
        <v>264</v>
      </c>
      <c r="AT13" t="s">
        <v>264</v>
      </c>
      <c r="AU13" t="s">
        <v>264</v>
      </c>
      <c r="AV13" t="s">
        <v>264</v>
      </c>
      <c r="AW13" t="s">
        <v>264</v>
      </c>
      <c r="AX13" t="s">
        <v>264</v>
      </c>
      <c r="AY13" t="s">
        <v>264</v>
      </c>
      <c r="AZ13" t="s">
        <v>264</v>
      </c>
    </row>
    <row r="14">
      <c r="A14" s="447" t="str">
        <f t="array" ref="A14:AZ14">TRANSPOSE(indirect(Exploits!B16&amp;"!A:A"))</f>
        <v>Fast Learner</v>
      </c>
      <c r="B14" t="s">
        <v>264</v>
      </c>
      <c r="C14" t="s">
        <v>264</v>
      </c>
      <c r="D14" t="s">
        <v>264</v>
      </c>
      <c r="E14" t="s">
        <v>264</v>
      </c>
      <c r="F14" t="s">
        <v>264</v>
      </c>
      <c r="G14" t="s">
        <v>264</v>
      </c>
      <c r="H14" t="s">
        <v>264</v>
      </c>
      <c r="I14" t="s">
        <v>264</v>
      </c>
      <c r="J14" t="s">
        <v>264</v>
      </c>
      <c r="K14" t="s">
        <v>264</v>
      </c>
      <c r="L14" t="s">
        <v>264</v>
      </c>
      <c r="M14" t="s">
        <v>264</v>
      </c>
      <c r="N14" t="s">
        <v>264</v>
      </c>
      <c r="O14" t="s">
        <v>264</v>
      </c>
      <c r="P14" t="s">
        <v>264</v>
      </c>
      <c r="Q14" t="s">
        <v>264</v>
      </c>
      <c r="R14" t="s">
        <v>264</v>
      </c>
      <c r="S14" t="s">
        <v>264</v>
      </c>
      <c r="T14" t="s">
        <v>264</v>
      </c>
      <c r="U14" t="s">
        <v>264</v>
      </c>
      <c r="V14" t="s">
        <v>264</v>
      </c>
      <c r="W14" t="s">
        <v>264</v>
      </c>
      <c r="X14" t="s">
        <v>264</v>
      </c>
      <c r="Y14" t="s">
        <v>264</v>
      </c>
      <c r="Z14" t="s">
        <v>264</v>
      </c>
      <c r="AA14" t="s">
        <v>264</v>
      </c>
      <c r="AB14" t="s">
        <v>264</v>
      </c>
      <c r="AC14" t="s">
        <v>264</v>
      </c>
      <c r="AD14" t="s">
        <v>264</v>
      </c>
      <c r="AE14" t="s">
        <v>264</v>
      </c>
      <c r="AF14" t="s">
        <v>264</v>
      </c>
      <c r="AG14" t="s">
        <v>264</v>
      </c>
      <c r="AH14" t="s">
        <v>264</v>
      </c>
      <c r="AI14" t="s">
        <v>264</v>
      </c>
      <c r="AJ14" t="s">
        <v>264</v>
      </c>
      <c r="AK14" t="s">
        <v>264</v>
      </c>
      <c r="AL14" t="s">
        <v>264</v>
      </c>
      <c r="AM14" t="s">
        <v>264</v>
      </c>
      <c r="AN14" t="s">
        <v>264</v>
      </c>
      <c r="AO14" t="s">
        <v>264</v>
      </c>
      <c r="AP14" t="s">
        <v>264</v>
      </c>
      <c r="AQ14" t="s">
        <v>264</v>
      </c>
      <c r="AR14" t="s">
        <v>264</v>
      </c>
      <c r="AS14" t="s">
        <v>264</v>
      </c>
      <c r="AT14" t="s">
        <v>264</v>
      </c>
      <c r="AU14" t="s">
        <v>264</v>
      </c>
      <c r="AV14" t="s">
        <v>264</v>
      </c>
      <c r="AW14" t="s">
        <v>264</v>
      </c>
      <c r="AX14" t="s">
        <v>264</v>
      </c>
      <c r="AY14" t="s">
        <v>264</v>
      </c>
      <c r="AZ14" t="s">
        <v>264</v>
      </c>
    </row>
    <row r="15">
      <c r="A15" s="447" t="str">
        <f t="array" ref="A15:AZ15">TRANSPOSE(indirect(Exploits!B17&amp;"!A:A"))</f>
        <v>Fast Learner</v>
      </c>
      <c r="B15" t="s">
        <v>264</v>
      </c>
      <c r="C15" t="s">
        <v>264</v>
      </c>
      <c r="D15" t="s">
        <v>264</v>
      </c>
      <c r="E15" t="s">
        <v>264</v>
      </c>
      <c r="F15" t="s">
        <v>264</v>
      </c>
      <c r="G15" t="s">
        <v>264</v>
      </c>
      <c r="H15" t="s">
        <v>264</v>
      </c>
      <c r="I15" t="s">
        <v>264</v>
      </c>
      <c r="J15" t="s">
        <v>264</v>
      </c>
      <c r="K15" t="s">
        <v>264</v>
      </c>
      <c r="L15" t="s">
        <v>264</v>
      </c>
      <c r="M15" t="s">
        <v>264</v>
      </c>
      <c r="N15" t="s">
        <v>264</v>
      </c>
      <c r="O15" t="s">
        <v>264</v>
      </c>
      <c r="P15" t="s">
        <v>264</v>
      </c>
      <c r="Q15" t="s">
        <v>264</v>
      </c>
      <c r="R15" t="s">
        <v>264</v>
      </c>
      <c r="S15" t="s">
        <v>264</v>
      </c>
      <c r="T15" t="s">
        <v>264</v>
      </c>
      <c r="U15" t="s">
        <v>264</v>
      </c>
      <c r="V15" t="s">
        <v>264</v>
      </c>
      <c r="W15" t="s">
        <v>264</v>
      </c>
      <c r="X15" t="s">
        <v>264</v>
      </c>
      <c r="Y15" t="s">
        <v>264</v>
      </c>
      <c r="Z15" t="s">
        <v>264</v>
      </c>
      <c r="AA15" t="s">
        <v>264</v>
      </c>
      <c r="AB15" t="s">
        <v>264</v>
      </c>
      <c r="AC15" t="s">
        <v>264</v>
      </c>
      <c r="AD15" t="s">
        <v>264</v>
      </c>
      <c r="AE15" t="s">
        <v>264</v>
      </c>
      <c r="AF15" t="s">
        <v>264</v>
      </c>
      <c r="AG15" t="s">
        <v>264</v>
      </c>
      <c r="AH15" t="s">
        <v>264</v>
      </c>
      <c r="AI15" t="s">
        <v>264</v>
      </c>
      <c r="AJ15" t="s">
        <v>264</v>
      </c>
      <c r="AK15" t="s">
        <v>264</v>
      </c>
      <c r="AL15" t="s">
        <v>264</v>
      </c>
      <c r="AM15" t="s">
        <v>264</v>
      </c>
      <c r="AN15" t="s">
        <v>264</v>
      </c>
      <c r="AO15" t="s">
        <v>264</v>
      </c>
      <c r="AP15" t="s">
        <v>264</v>
      </c>
      <c r="AQ15" t="s">
        <v>264</v>
      </c>
      <c r="AR15" t="s">
        <v>264</v>
      </c>
      <c r="AS15" t="s">
        <v>264</v>
      </c>
      <c r="AT15" t="s">
        <v>264</v>
      </c>
      <c r="AU15" t="s">
        <v>264</v>
      </c>
      <c r="AV15" t="s">
        <v>264</v>
      </c>
      <c r="AW15" t="s">
        <v>264</v>
      </c>
      <c r="AX15" t="s">
        <v>264</v>
      </c>
      <c r="AY15" t="s">
        <v>264</v>
      </c>
      <c r="AZ15" t="s">
        <v>264</v>
      </c>
    </row>
    <row r="16">
      <c r="A16" s="447" t="str">
        <f t="array" ref="A16:AZ16">TRANSPOSE(indirect(Exploits!B18&amp;"!A:A"))</f>
        <v>Fast Learner</v>
      </c>
      <c r="B16" t="s">
        <v>264</v>
      </c>
      <c r="C16" t="s">
        <v>264</v>
      </c>
      <c r="D16" t="s">
        <v>264</v>
      </c>
      <c r="E16" t="s">
        <v>264</v>
      </c>
      <c r="F16" t="s">
        <v>264</v>
      </c>
      <c r="G16" t="s">
        <v>264</v>
      </c>
      <c r="H16" t="s">
        <v>264</v>
      </c>
      <c r="I16" t="s">
        <v>264</v>
      </c>
      <c r="J16" t="s">
        <v>264</v>
      </c>
      <c r="K16" t="s">
        <v>264</v>
      </c>
      <c r="L16" t="s">
        <v>264</v>
      </c>
      <c r="M16" t="s">
        <v>264</v>
      </c>
      <c r="N16" t="s">
        <v>264</v>
      </c>
      <c r="O16" t="s">
        <v>264</v>
      </c>
      <c r="P16" t="s">
        <v>264</v>
      </c>
      <c r="Q16" t="s">
        <v>264</v>
      </c>
      <c r="R16" t="s">
        <v>264</v>
      </c>
      <c r="S16" t="s">
        <v>264</v>
      </c>
      <c r="T16" t="s">
        <v>264</v>
      </c>
      <c r="U16" t="s">
        <v>264</v>
      </c>
      <c r="V16" t="s">
        <v>264</v>
      </c>
      <c r="W16" t="s">
        <v>264</v>
      </c>
      <c r="X16" t="s">
        <v>264</v>
      </c>
      <c r="Y16" t="s">
        <v>264</v>
      </c>
      <c r="Z16" t="s">
        <v>264</v>
      </c>
      <c r="AA16" t="s">
        <v>264</v>
      </c>
      <c r="AB16" t="s">
        <v>264</v>
      </c>
      <c r="AC16" t="s">
        <v>264</v>
      </c>
      <c r="AD16" t="s">
        <v>264</v>
      </c>
      <c r="AE16" t="s">
        <v>264</v>
      </c>
      <c r="AF16" t="s">
        <v>264</v>
      </c>
      <c r="AG16" t="s">
        <v>264</v>
      </c>
      <c r="AH16" t="s">
        <v>264</v>
      </c>
      <c r="AI16" t="s">
        <v>264</v>
      </c>
      <c r="AJ16" t="s">
        <v>264</v>
      </c>
      <c r="AK16" t="s">
        <v>264</v>
      </c>
      <c r="AL16" t="s">
        <v>264</v>
      </c>
      <c r="AM16" t="s">
        <v>264</v>
      </c>
      <c r="AN16" t="s">
        <v>264</v>
      </c>
      <c r="AO16" t="s">
        <v>264</v>
      </c>
      <c r="AP16" t="s">
        <v>264</v>
      </c>
      <c r="AQ16" t="s">
        <v>264</v>
      </c>
      <c r="AR16" t="s">
        <v>264</v>
      </c>
      <c r="AS16" t="s">
        <v>264</v>
      </c>
      <c r="AT16" t="s">
        <v>264</v>
      </c>
      <c r="AU16" t="s">
        <v>264</v>
      </c>
      <c r="AV16" t="s">
        <v>264</v>
      </c>
      <c r="AW16" t="s">
        <v>264</v>
      </c>
      <c r="AX16" t="s">
        <v>264</v>
      </c>
      <c r="AY16" t="s">
        <v>264</v>
      </c>
      <c r="AZ16" t="s">
        <v>264</v>
      </c>
    </row>
    <row r="17">
      <c r="A17" s="447" t="str">
        <f t="array" ref="A17:AZ17">TRANSPOSE(indirect(Exploits!B19&amp;"!A:A"))</f>
        <v>Fast Learner</v>
      </c>
      <c r="B17" t="s">
        <v>264</v>
      </c>
      <c r="C17" t="s">
        <v>264</v>
      </c>
      <c r="D17" t="s">
        <v>264</v>
      </c>
      <c r="E17" t="s">
        <v>264</v>
      </c>
      <c r="F17" t="s">
        <v>264</v>
      </c>
      <c r="G17" t="s">
        <v>264</v>
      </c>
      <c r="H17" t="s">
        <v>264</v>
      </c>
      <c r="I17" t="s">
        <v>264</v>
      </c>
      <c r="J17" t="s">
        <v>264</v>
      </c>
      <c r="K17" t="s">
        <v>264</v>
      </c>
      <c r="L17" t="s">
        <v>264</v>
      </c>
      <c r="M17" t="s">
        <v>264</v>
      </c>
      <c r="N17" t="s">
        <v>264</v>
      </c>
      <c r="O17" t="s">
        <v>264</v>
      </c>
      <c r="P17" t="s">
        <v>264</v>
      </c>
      <c r="Q17" t="s">
        <v>264</v>
      </c>
      <c r="R17" t="s">
        <v>264</v>
      </c>
      <c r="S17" t="s">
        <v>264</v>
      </c>
      <c r="T17" t="s">
        <v>264</v>
      </c>
      <c r="U17" t="s">
        <v>264</v>
      </c>
      <c r="V17" t="s">
        <v>264</v>
      </c>
      <c r="W17" t="s">
        <v>264</v>
      </c>
      <c r="X17" t="s">
        <v>264</v>
      </c>
      <c r="Y17" t="s">
        <v>264</v>
      </c>
      <c r="Z17" t="s">
        <v>264</v>
      </c>
      <c r="AA17" t="s">
        <v>264</v>
      </c>
      <c r="AB17" t="s">
        <v>264</v>
      </c>
      <c r="AC17" t="s">
        <v>264</v>
      </c>
      <c r="AD17" t="s">
        <v>264</v>
      </c>
      <c r="AE17" t="s">
        <v>264</v>
      </c>
      <c r="AF17" t="s">
        <v>264</v>
      </c>
      <c r="AG17" t="s">
        <v>264</v>
      </c>
      <c r="AH17" t="s">
        <v>264</v>
      </c>
      <c r="AI17" t="s">
        <v>264</v>
      </c>
      <c r="AJ17" t="s">
        <v>264</v>
      </c>
      <c r="AK17" t="s">
        <v>264</v>
      </c>
      <c r="AL17" t="s">
        <v>264</v>
      </c>
      <c r="AM17" t="s">
        <v>264</v>
      </c>
      <c r="AN17" t="s">
        <v>264</v>
      </c>
      <c r="AO17" t="s">
        <v>264</v>
      </c>
      <c r="AP17" t="s">
        <v>264</v>
      </c>
      <c r="AQ17" t="s">
        <v>264</v>
      </c>
      <c r="AR17" t="s">
        <v>264</v>
      </c>
      <c r="AS17" t="s">
        <v>264</v>
      </c>
      <c r="AT17" t="s">
        <v>264</v>
      </c>
      <c r="AU17" t="s">
        <v>264</v>
      </c>
      <c r="AV17" t="s">
        <v>264</v>
      </c>
      <c r="AW17" t="s">
        <v>264</v>
      </c>
      <c r="AX17" t="s">
        <v>264</v>
      </c>
      <c r="AY17" t="s">
        <v>264</v>
      </c>
      <c r="AZ17" t="s">
        <v>264</v>
      </c>
    </row>
    <row r="18">
      <c r="A18" s="447" t="str">
        <f t="array" ref="A18:AZ18">TRANSPOSE(indirect(Exploits!B20&amp;"!A:A"))</f>
        <v>Fast Learner</v>
      </c>
      <c r="B18" t="s">
        <v>264</v>
      </c>
      <c r="C18" t="s">
        <v>264</v>
      </c>
      <c r="D18" t="s">
        <v>264</v>
      </c>
      <c r="E18" t="s">
        <v>264</v>
      </c>
      <c r="F18" t="s">
        <v>264</v>
      </c>
      <c r="G18" t="s">
        <v>264</v>
      </c>
      <c r="H18" t="s">
        <v>264</v>
      </c>
      <c r="I18" t="s">
        <v>264</v>
      </c>
      <c r="J18" t="s">
        <v>264</v>
      </c>
      <c r="K18" t="s">
        <v>264</v>
      </c>
      <c r="L18" t="s">
        <v>264</v>
      </c>
      <c r="M18" t="s">
        <v>264</v>
      </c>
      <c r="N18" t="s">
        <v>264</v>
      </c>
      <c r="O18" t="s">
        <v>264</v>
      </c>
      <c r="P18" t="s">
        <v>264</v>
      </c>
      <c r="Q18" t="s">
        <v>264</v>
      </c>
      <c r="R18" t="s">
        <v>264</v>
      </c>
      <c r="S18" t="s">
        <v>264</v>
      </c>
      <c r="T18" t="s">
        <v>264</v>
      </c>
      <c r="U18" t="s">
        <v>264</v>
      </c>
      <c r="V18" t="s">
        <v>264</v>
      </c>
      <c r="W18" t="s">
        <v>264</v>
      </c>
      <c r="X18" t="s">
        <v>264</v>
      </c>
      <c r="Y18" t="s">
        <v>264</v>
      </c>
      <c r="Z18" t="s">
        <v>264</v>
      </c>
      <c r="AA18" t="s">
        <v>264</v>
      </c>
      <c r="AB18" t="s">
        <v>264</v>
      </c>
      <c r="AC18" t="s">
        <v>264</v>
      </c>
      <c r="AD18" t="s">
        <v>264</v>
      </c>
      <c r="AE18" t="s">
        <v>264</v>
      </c>
      <c r="AF18" t="s">
        <v>264</v>
      </c>
      <c r="AG18" t="s">
        <v>264</v>
      </c>
      <c r="AH18" t="s">
        <v>264</v>
      </c>
      <c r="AI18" t="s">
        <v>264</v>
      </c>
      <c r="AJ18" t="s">
        <v>264</v>
      </c>
      <c r="AK18" t="s">
        <v>264</v>
      </c>
      <c r="AL18" t="s">
        <v>264</v>
      </c>
      <c r="AM18" t="s">
        <v>264</v>
      </c>
      <c r="AN18" t="s">
        <v>264</v>
      </c>
      <c r="AO18" t="s">
        <v>264</v>
      </c>
      <c r="AP18" t="s">
        <v>264</v>
      </c>
      <c r="AQ18" t="s">
        <v>264</v>
      </c>
      <c r="AR18" t="s">
        <v>264</v>
      </c>
      <c r="AS18" t="s">
        <v>264</v>
      </c>
      <c r="AT18" t="s">
        <v>264</v>
      </c>
      <c r="AU18" t="s">
        <v>264</v>
      </c>
      <c r="AV18" t="s">
        <v>264</v>
      </c>
      <c r="AW18" t="s">
        <v>264</v>
      </c>
      <c r="AX18" t="s">
        <v>264</v>
      </c>
      <c r="AY18" t="s">
        <v>264</v>
      </c>
      <c r="AZ18" t="s">
        <v>264</v>
      </c>
    </row>
    <row r="19">
      <c r="A19" s="447" t="str">
        <f t="array" ref="A19:AZ19">TRANSPOSE(indirect(Exploits!B21&amp;"!A:A"))</f>
        <v>Fast Learner</v>
      </c>
      <c r="B19" t="s">
        <v>264</v>
      </c>
      <c r="C19" t="s">
        <v>264</v>
      </c>
      <c r="D19" t="s">
        <v>264</v>
      </c>
      <c r="E19" t="s">
        <v>264</v>
      </c>
      <c r="F19" t="s">
        <v>264</v>
      </c>
      <c r="G19" t="s">
        <v>264</v>
      </c>
      <c r="H19" t="s">
        <v>264</v>
      </c>
      <c r="I19" t="s">
        <v>264</v>
      </c>
      <c r="J19" t="s">
        <v>264</v>
      </c>
      <c r="K19" t="s">
        <v>264</v>
      </c>
      <c r="L19" t="s">
        <v>264</v>
      </c>
      <c r="M19" t="s">
        <v>264</v>
      </c>
      <c r="N19" t="s">
        <v>264</v>
      </c>
      <c r="O19" t="s">
        <v>264</v>
      </c>
      <c r="P19" t="s">
        <v>264</v>
      </c>
      <c r="Q19" t="s">
        <v>264</v>
      </c>
      <c r="R19" t="s">
        <v>264</v>
      </c>
      <c r="S19" t="s">
        <v>264</v>
      </c>
      <c r="T19" t="s">
        <v>264</v>
      </c>
      <c r="U19" t="s">
        <v>264</v>
      </c>
      <c r="V19" t="s">
        <v>264</v>
      </c>
      <c r="W19" t="s">
        <v>264</v>
      </c>
      <c r="X19" t="s">
        <v>264</v>
      </c>
      <c r="Y19" t="s">
        <v>264</v>
      </c>
      <c r="Z19" t="s">
        <v>264</v>
      </c>
      <c r="AA19" t="s">
        <v>264</v>
      </c>
      <c r="AB19" t="s">
        <v>264</v>
      </c>
      <c r="AC19" t="s">
        <v>264</v>
      </c>
      <c r="AD19" t="s">
        <v>264</v>
      </c>
      <c r="AE19" t="s">
        <v>264</v>
      </c>
      <c r="AF19" t="s">
        <v>264</v>
      </c>
      <c r="AG19" t="s">
        <v>264</v>
      </c>
      <c r="AH19" t="s">
        <v>264</v>
      </c>
      <c r="AI19" t="s">
        <v>264</v>
      </c>
      <c r="AJ19" t="s">
        <v>264</v>
      </c>
      <c r="AK19" t="s">
        <v>264</v>
      </c>
      <c r="AL19" t="s">
        <v>264</v>
      </c>
      <c r="AM19" t="s">
        <v>264</v>
      </c>
      <c r="AN19" t="s">
        <v>264</v>
      </c>
      <c r="AO19" t="s">
        <v>264</v>
      </c>
      <c r="AP19" t="s">
        <v>264</v>
      </c>
      <c r="AQ19" t="s">
        <v>264</v>
      </c>
      <c r="AR19" t="s">
        <v>264</v>
      </c>
      <c r="AS19" t="s">
        <v>264</v>
      </c>
      <c r="AT19" t="s">
        <v>264</v>
      </c>
      <c r="AU19" t="s">
        <v>264</v>
      </c>
      <c r="AV19" t="s">
        <v>264</v>
      </c>
      <c r="AW19" t="s">
        <v>264</v>
      </c>
      <c r="AX19" t="s">
        <v>264</v>
      </c>
      <c r="AY19" t="s">
        <v>264</v>
      </c>
      <c r="AZ19" t="s">
        <v>264</v>
      </c>
    </row>
    <row r="20">
      <c r="A20" s="447" t="str">
        <f t="array" ref="A20:AZ20">TRANSPOSE(indirect(Exploits!B22&amp;"!A:A"))</f>
        <v>Fast Learner</v>
      </c>
      <c r="B20" t="s">
        <v>264</v>
      </c>
      <c r="C20" t="s">
        <v>264</v>
      </c>
      <c r="D20" t="s">
        <v>264</v>
      </c>
      <c r="E20" t="s">
        <v>264</v>
      </c>
      <c r="F20" t="s">
        <v>264</v>
      </c>
      <c r="G20" t="s">
        <v>264</v>
      </c>
      <c r="H20" t="s">
        <v>264</v>
      </c>
      <c r="I20" t="s">
        <v>264</v>
      </c>
      <c r="J20" t="s">
        <v>264</v>
      </c>
      <c r="K20" t="s">
        <v>264</v>
      </c>
      <c r="L20" t="s">
        <v>264</v>
      </c>
      <c r="M20" t="s">
        <v>264</v>
      </c>
      <c r="N20" t="s">
        <v>264</v>
      </c>
      <c r="O20" t="s">
        <v>264</v>
      </c>
      <c r="P20" t="s">
        <v>264</v>
      </c>
      <c r="Q20" t="s">
        <v>264</v>
      </c>
      <c r="R20" t="s">
        <v>264</v>
      </c>
      <c r="S20" t="s">
        <v>264</v>
      </c>
      <c r="T20" t="s">
        <v>264</v>
      </c>
      <c r="U20" t="s">
        <v>264</v>
      </c>
      <c r="V20" t="s">
        <v>264</v>
      </c>
      <c r="W20" t="s">
        <v>264</v>
      </c>
      <c r="X20" t="s">
        <v>264</v>
      </c>
      <c r="Y20" t="s">
        <v>264</v>
      </c>
      <c r="Z20" t="s">
        <v>264</v>
      </c>
      <c r="AA20" t="s">
        <v>264</v>
      </c>
      <c r="AB20" t="s">
        <v>264</v>
      </c>
      <c r="AC20" t="s">
        <v>264</v>
      </c>
      <c r="AD20" t="s">
        <v>264</v>
      </c>
      <c r="AE20" t="s">
        <v>264</v>
      </c>
      <c r="AF20" t="s">
        <v>264</v>
      </c>
      <c r="AG20" t="s">
        <v>264</v>
      </c>
      <c r="AH20" t="s">
        <v>264</v>
      </c>
      <c r="AI20" t="s">
        <v>264</v>
      </c>
      <c r="AJ20" t="s">
        <v>264</v>
      </c>
      <c r="AK20" t="s">
        <v>264</v>
      </c>
      <c r="AL20" t="s">
        <v>264</v>
      </c>
      <c r="AM20" t="s">
        <v>264</v>
      </c>
      <c r="AN20" t="s">
        <v>264</v>
      </c>
      <c r="AO20" t="s">
        <v>264</v>
      </c>
      <c r="AP20" t="s">
        <v>264</v>
      </c>
      <c r="AQ20" t="s">
        <v>264</v>
      </c>
      <c r="AR20" t="s">
        <v>264</v>
      </c>
      <c r="AS20" t="s">
        <v>264</v>
      </c>
      <c r="AT20" t="s">
        <v>264</v>
      </c>
      <c r="AU20" t="s">
        <v>264</v>
      </c>
      <c r="AV20" t="s">
        <v>264</v>
      </c>
      <c r="AW20" t="s">
        <v>264</v>
      </c>
      <c r="AX20" t="s">
        <v>264</v>
      </c>
      <c r="AY20" t="s">
        <v>264</v>
      </c>
      <c r="AZ20" t="s">
        <v>264</v>
      </c>
    </row>
    <row r="21">
      <c r="A21" s="447" t="str">
        <f t="array" ref="A21:AZ21">TRANSPOSE(indirect(Exploits!B23&amp;"!A:A"))</f>
        <v>Fast Learner</v>
      </c>
      <c r="B21" t="s">
        <v>264</v>
      </c>
      <c r="C21" t="s">
        <v>264</v>
      </c>
      <c r="D21" t="s">
        <v>264</v>
      </c>
      <c r="E21" t="s">
        <v>264</v>
      </c>
      <c r="F21" t="s">
        <v>264</v>
      </c>
      <c r="G21" t="s">
        <v>264</v>
      </c>
      <c r="H21" t="s">
        <v>264</v>
      </c>
      <c r="I21" t="s">
        <v>264</v>
      </c>
      <c r="J21" t="s">
        <v>264</v>
      </c>
      <c r="K21" t="s">
        <v>264</v>
      </c>
      <c r="L21" t="s">
        <v>264</v>
      </c>
      <c r="M21" t="s">
        <v>264</v>
      </c>
      <c r="N21" t="s">
        <v>264</v>
      </c>
      <c r="O21" t="s">
        <v>264</v>
      </c>
      <c r="P21" t="s">
        <v>264</v>
      </c>
      <c r="Q21" t="s">
        <v>264</v>
      </c>
      <c r="R21" t="s">
        <v>264</v>
      </c>
      <c r="S21" t="s">
        <v>264</v>
      </c>
      <c r="T21" t="s">
        <v>264</v>
      </c>
      <c r="U21" t="s">
        <v>264</v>
      </c>
      <c r="V21" t="s">
        <v>264</v>
      </c>
      <c r="W21" t="s">
        <v>264</v>
      </c>
      <c r="X21" t="s">
        <v>264</v>
      </c>
      <c r="Y21" t="s">
        <v>264</v>
      </c>
      <c r="Z21" t="s">
        <v>264</v>
      </c>
      <c r="AA21" t="s">
        <v>264</v>
      </c>
      <c r="AB21" t="s">
        <v>264</v>
      </c>
      <c r="AC21" t="s">
        <v>264</v>
      </c>
      <c r="AD21" t="s">
        <v>264</v>
      </c>
      <c r="AE21" t="s">
        <v>264</v>
      </c>
      <c r="AF21" t="s">
        <v>264</v>
      </c>
      <c r="AG21" t="s">
        <v>264</v>
      </c>
      <c r="AH21" t="s">
        <v>264</v>
      </c>
      <c r="AI21" t="s">
        <v>264</v>
      </c>
      <c r="AJ21" t="s">
        <v>264</v>
      </c>
      <c r="AK21" t="s">
        <v>264</v>
      </c>
      <c r="AL21" t="s">
        <v>264</v>
      </c>
      <c r="AM21" t="s">
        <v>264</v>
      </c>
      <c r="AN21" t="s">
        <v>264</v>
      </c>
      <c r="AO21" t="s">
        <v>264</v>
      </c>
      <c r="AP21" t="s">
        <v>264</v>
      </c>
      <c r="AQ21" t="s">
        <v>264</v>
      </c>
      <c r="AR21" t="s">
        <v>264</v>
      </c>
      <c r="AS21" t="s">
        <v>264</v>
      </c>
      <c r="AT21" t="s">
        <v>264</v>
      </c>
      <c r="AU21" t="s">
        <v>264</v>
      </c>
      <c r="AV21" t="s">
        <v>264</v>
      </c>
      <c r="AW21" t="s">
        <v>264</v>
      </c>
      <c r="AX21" t="s">
        <v>264</v>
      </c>
      <c r="AY21" t="s">
        <v>264</v>
      </c>
      <c r="AZ21" t="s">
        <v>264</v>
      </c>
    </row>
    <row r="22">
      <c r="A22" s="447" t="str">
        <f t="array" ref="A22:AZ22">TRANSPOSE(indirect(Exploits!B24&amp;"!A:A"))</f>
        <v>Fast Learner</v>
      </c>
      <c r="B22" t="s">
        <v>264</v>
      </c>
      <c r="C22" t="s">
        <v>264</v>
      </c>
      <c r="D22" t="s">
        <v>264</v>
      </c>
      <c r="E22" t="s">
        <v>264</v>
      </c>
      <c r="F22" t="s">
        <v>264</v>
      </c>
      <c r="G22" t="s">
        <v>264</v>
      </c>
      <c r="H22" t="s">
        <v>264</v>
      </c>
      <c r="I22" t="s">
        <v>264</v>
      </c>
      <c r="J22" t="s">
        <v>264</v>
      </c>
      <c r="K22" t="s">
        <v>264</v>
      </c>
      <c r="L22" t="s">
        <v>264</v>
      </c>
      <c r="M22" t="s">
        <v>264</v>
      </c>
      <c r="N22" t="s">
        <v>264</v>
      </c>
      <c r="O22" t="s">
        <v>264</v>
      </c>
      <c r="P22" t="s">
        <v>264</v>
      </c>
      <c r="Q22" t="s">
        <v>264</v>
      </c>
      <c r="R22" t="s">
        <v>264</v>
      </c>
      <c r="S22" t="s">
        <v>264</v>
      </c>
      <c r="T22" t="s">
        <v>264</v>
      </c>
      <c r="U22" t="s">
        <v>264</v>
      </c>
      <c r="V22" t="s">
        <v>264</v>
      </c>
      <c r="W22" t="s">
        <v>264</v>
      </c>
      <c r="X22" t="s">
        <v>264</v>
      </c>
      <c r="Y22" t="s">
        <v>264</v>
      </c>
      <c r="Z22" t="s">
        <v>264</v>
      </c>
      <c r="AA22" t="s">
        <v>264</v>
      </c>
      <c r="AB22" t="s">
        <v>264</v>
      </c>
      <c r="AC22" t="s">
        <v>264</v>
      </c>
      <c r="AD22" t="s">
        <v>264</v>
      </c>
      <c r="AE22" t="s">
        <v>264</v>
      </c>
      <c r="AF22" t="s">
        <v>264</v>
      </c>
      <c r="AG22" t="s">
        <v>264</v>
      </c>
      <c r="AH22" t="s">
        <v>264</v>
      </c>
      <c r="AI22" t="s">
        <v>264</v>
      </c>
      <c r="AJ22" t="s">
        <v>264</v>
      </c>
      <c r="AK22" t="s">
        <v>264</v>
      </c>
      <c r="AL22" t="s">
        <v>264</v>
      </c>
      <c r="AM22" t="s">
        <v>264</v>
      </c>
      <c r="AN22" t="s">
        <v>264</v>
      </c>
      <c r="AO22" t="s">
        <v>264</v>
      </c>
      <c r="AP22" t="s">
        <v>264</v>
      </c>
      <c r="AQ22" t="s">
        <v>264</v>
      </c>
      <c r="AR22" t="s">
        <v>264</v>
      </c>
      <c r="AS22" t="s">
        <v>264</v>
      </c>
      <c r="AT22" t="s">
        <v>264</v>
      </c>
      <c r="AU22" t="s">
        <v>264</v>
      </c>
      <c r="AV22" t="s">
        <v>264</v>
      </c>
      <c r="AW22" t="s">
        <v>264</v>
      </c>
      <c r="AX22" t="s">
        <v>264</v>
      </c>
      <c r="AY22" t="s">
        <v>264</v>
      </c>
      <c r="AZ22" t="s">
        <v>264</v>
      </c>
    </row>
    <row r="23">
      <c r="A23" s="447" t="str">
        <f t="array" ref="A23:AZ23">TRANSPOSE(indirect(Exploits!B25&amp;"!A:A"))</f>
        <v>Fast Learner</v>
      </c>
      <c r="B23" t="s">
        <v>264</v>
      </c>
      <c r="C23" t="s">
        <v>264</v>
      </c>
      <c r="D23" t="s">
        <v>264</v>
      </c>
      <c r="E23" t="s">
        <v>264</v>
      </c>
      <c r="F23" t="s">
        <v>264</v>
      </c>
      <c r="G23" t="s">
        <v>264</v>
      </c>
      <c r="H23" t="s">
        <v>264</v>
      </c>
      <c r="I23" t="s">
        <v>264</v>
      </c>
      <c r="J23" t="s">
        <v>264</v>
      </c>
      <c r="K23" t="s">
        <v>264</v>
      </c>
      <c r="L23" t="s">
        <v>264</v>
      </c>
      <c r="M23" t="s">
        <v>264</v>
      </c>
      <c r="N23" t="s">
        <v>264</v>
      </c>
      <c r="O23" t="s">
        <v>264</v>
      </c>
      <c r="P23" t="s">
        <v>264</v>
      </c>
      <c r="Q23" t="s">
        <v>264</v>
      </c>
      <c r="R23" t="s">
        <v>264</v>
      </c>
      <c r="S23" t="s">
        <v>264</v>
      </c>
      <c r="T23" t="s">
        <v>264</v>
      </c>
      <c r="U23" t="s">
        <v>264</v>
      </c>
      <c r="V23" t="s">
        <v>264</v>
      </c>
      <c r="W23" t="s">
        <v>264</v>
      </c>
      <c r="X23" t="s">
        <v>264</v>
      </c>
      <c r="Y23" t="s">
        <v>264</v>
      </c>
      <c r="Z23" t="s">
        <v>264</v>
      </c>
      <c r="AA23" t="s">
        <v>264</v>
      </c>
      <c r="AB23" t="s">
        <v>264</v>
      </c>
      <c r="AC23" t="s">
        <v>264</v>
      </c>
      <c r="AD23" t="s">
        <v>264</v>
      </c>
      <c r="AE23" t="s">
        <v>264</v>
      </c>
      <c r="AF23" t="s">
        <v>264</v>
      </c>
      <c r="AG23" t="s">
        <v>264</v>
      </c>
      <c r="AH23" t="s">
        <v>264</v>
      </c>
      <c r="AI23" t="s">
        <v>264</v>
      </c>
      <c r="AJ23" t="s">
        <v>264</v>
      </c>
      <c r="AK23" t="s">
        <v>264</v>
      </c>
      <c r="AL23" t="s">
        <v>264</v>
      </c>
      <c r="AM23" t="s">
        <v>264</v>
      </c>
      <c r="AN23" t="s">
        <v>264</v>
      </c>
      <c r="AO23" t="s">
        <v>264</v>
      </c>
      <c r="AP23" t="s">
        <v>264</v>
      </c>
      <c r="AQ23" t="s">
        <v>264</v>
      </c>
      <c r="AR23" t="s">
        <v>264</v>
      </c>
      <c r="AS23" t="s">
        <v>264</v>
      </c>
      <c r="AT23" t="s">
        <v>264</v>
      </c>
      <c r="AU23" t="s">
        <v>264</v>
      </c>
      <c r="AV23" t="s">
        <v>264</v>
      </c>
      <c r="AW23" t="s">
        <v>264</v>
      </c>
      <c r="AX23" t="s">
        <v>264</v>
      </c>
      <c r="AY23" t="s">
        <v>264</v>
      </c>
      <c r="AZ23" t="s">
        <v>264</v>
      </c>
    </row>
    <row r="24">
      <c r="A24" s="447" t="str">
        <f t="array" ref="A24:AZ24">TRANSPOSE(indirect(Exploits!B26&amp;"!A:A"))</f>
        <v>Fast Learner</v>
      </c>
      <c r="B24" t="s">
        <v>264</v>
      </c>
      <c r="C24" t="s">
        <v>264</v>
      </c>
      <c r="D24" t="s">
        <v>264</v>
      </c>
      <c r="E24" t="s">
        <v>264</v>
      </c>
      <c r="F24" t="s">
        <v>264</v>
      </c>
      <c r="G24" t="s">
        <v>264</v>
      </c>
      <c r="H24" t="s">
        <v>264</v>
      </c>
      <c r="I24" t="s">
        <v>264</v>
      </c>
      <c r="J24" t="s">
        <v>264</v>
      </c>
      <c r="K24" t="s">
        <v>264</v>
      </c>
      <c r="L24" t="s">
        <v>264</v>
      </c>
      <c r="M24" t="s">
        <v>264</v>
      </c>
      <c r="N24" t="s">
        <v>264</v>
      </c>
      <c r="O24" t="s">
        <v>264</v>
      </c>
      <c r="P24" t="s">
        <v>264</v>
      </c>
      <c r="Q24" t="s">
        <v>264</v>
      </c>
      <c r="R24" t="s">
        <v>264</v>
      </c>
      <c r="S24" t="s">
        <v>264</v>
      </c>
      <c r="T24" t="s">
        <v>264</v>
      </c>
      <c r="U24" t="s">
        <v>264</v>
      </c>
      <c r="V24" t="s">
        <v>264</v>
      </c>
      <c r="W24" t="s">
        <v>264</v>
      </c>
      <c r="X24" t="s">
        <v>264</v>
      </c>
      <c r="Y24" t="s">
        <v>264</v>
      </c>
      <c r="Z24" t="s">
        <v>264</v>
      </c>
      <c r="AA24" t="s">
        <v>264</v>
      </c>
      <c r="AB24" t="s">
        <v>264</v>
      </c>
      <c r="AC24" t="s">
        <v>264</v>
      </c>
      <c r="AD24" t="s">
        <v>264</v>
      </c>
      <c r="AE24" t="s">
        <v>264</v>
      </c>
      <c r="AF24" t="s">
        <v>264</v>
      </c>
      <c r="AG24" t="s">
        <v>264</v>
      </c>
      <c r="AH24" t="s">
        <v>264</v>
      </c>
      <c r="AI24" t="s">
        <v>264</v>
      </c>
      <c r="AJ24" t="s">
        <v>264</v>
      </c>
      <c r="AK24" t="s">
        <v>264</v>
      </c>
      <c r="AL24" t="s">
        <v>264</v>
      </c>
      <c r="AM24" t="s">
        <v>264</v>
      </c>
      <c r="AN24" t="s">
        <v>264</v>
      </c>
      <c r="AO24" t="s">
        <v>264</v>
      </c>
      <c r="AP24" t="s">
        <v>264</v>
      </c>
      <c r="AQ24" t="s">
        <v>264</v>
      </c>
      <c r="AR24" t="s">
        <v>264</v>
      </c>
      <c r="AS24" t="s">
        <v>264</v>
      </c>
      <c r="AT24" t="s">
        <v>264</v>
      </c>
      <c r="AU24" t="s">
        <v>264</v>
      </c>
      <c r="AV24" t="s">
        <v>264</v>
      </c>
      <c r="AW24" t="s">
        <v>264</v>
      </c>
      <c r="AX24" t="s">
        <v>264</v>
      </c>
      <c r="AY24" t="s">
        <v>264</v>
      </c>
      <c r="AZ24" t="s">
        <v>264</v>
      </c>
    </row>
    <row r="25">
      <c r="A25" s="447" t="str">
        <f t="array" ref="A25:AZ25">TRANSPOSE(indirect(Exploits!B27&amp;"!A:A"))</f>
        <v>Fast Learner</v>
      </c>
      <c r="B25" t="s">
        <v>264</v>
      </c>
      <c r="C25" t="s">
        <v>264</v>
      </c>
      <c r="D25" t="s">
        <v>264</v>
      </c>
      <c r="E25" t="s">
        <v>264</v>
      </c>
      <c r="F25" t="s">
        <v>264</v>
      </c>
      <c r="G25" t="s">
        <v>264</v>
      </c>
      <c r="H25" t="s">
        <v>264</v>
      </c>
      <c r="I25" t="s">
        <v>264</v>
      </c>
      <c r="J25" t="s">
        <v>264</v>
      </c>
      <c r="K25" t="s">
        <v>264</v>
      </c>
      <c r="L25" t="s">
        <v>264</v>
      </c>
      <c r="M25" t="s">
        <v>264</v>
      </c>
      <c r="N25" t="s">
        <v>264</v>
      </c>
      <c r="O25" t="s">
        <v>264</v>
      </c>
      <c r="P25" t="s">
        <v>264</v>
      </c>
      <c r="Q25" t="s">
        <v>264</v>
      </c>
      <c r="R25" t="s">
        <v>264</v>
      </c>
      <c r="S25" t="s">
        <v>264</v>
      </c>
      <c r="T25" t="s">
        <v>264</v>
      </c>
      <c r="U25" t="s">
        <v>264</v>
      </c>
      <c r="V25" t="s">
        <v>264</v>
      </c>
      <c r="W25" t="s">
        <v>264</v>
      </c>
      <c r="X25" t="s">
        <v>264</v>
      </c>
      <c r="Y25" t="s">
        <v>264</v>
      </c>
      <c r="Z25" t="s">
        <v>264</v>
      </c>
      <c r="AA25" t="s">
        <v>264</v>
      </c>
      <c r="AB25" t="s">
        <v>264</v>
      </c>
      <c r="AC25" t="s">
        <v>264</v>
      </c>
      <c r="AD25" t="s">
        <v>264</v>
      </c>
      <c r="AE25" t="s">
        <v>264</v>
      </c>
      <c r="AF25" t="s">
        <v>264</v>
      </c>
      <c r="AG25" t="s">
        <v>264</v>
      </c>
      <c r="AH25" t="s">
        <v>264</v>
      </c>
      <c r="AI25" t="s">
        <v>264</v>
      </c>
      <c r="AJ25" t="s">
        <v>264</v>
      </c>
      <c r="AK25" t="s">
        <v>264</v>
      </c>
      <c r="AL25" t="s">
        <v>264</v>
      </c>
      <c r="AM25" t="s">
        <v>264</v>
      </c>
      <c r="AN25" t="s">
        <v>264</v>
      </c>
      <c r="AO25" t="s">
        <v>264</v>
      </c>
      <c r="AP25" t="s">
        <v>264</v>
      </c>
      <c r="AQ25" t="s">
        <v>264</v>
      </c>
      <c r="AR25" t="s">
        <v>264</v>
      </c>
      <c r="AS25" t="s">
        <v>264</v>
      </c>
      <c r="AT25" t="s">
        <v>264</v>
      </c>
      <c r="AU25" t="s">
        <v>264</v>
      </c>
      <c r="AV25" t="s">
        <v>264</v>
      </c>
      <c r="AW25" t="s">
        <v>264</v>
      </c>
      <c r="AX25" t="s">
        <v>264</v>
      </c>
      <c r="AY25" t="s">
        <v>264</v>
      </c>
      <c r="AZ25" t="s">
        <v>264</v>
      </c>
    </row>
    <row r="26">
      <c r="A26" s="447" t="str">
        <f t="array" ref="A26:AZ26">TRANSPOSE(indirect(Exploits!B28&amp;"!A:A"))</f>
        <v>Fast Learner</v>
      </c>
      <c r="B26" t="s">
        <v>264</v>
      </c>
      <c r="C26" t="s">
        <v>264</v>
      </c>
      <c r="D26" t="s">
        <v>264</v>
      </c>
      <c r="E26" t="s">
        <v>264</v>
      </c>
      <c r="F26" t="s">
        <v>264</v>
      </c>
      <c r="G26" t="s">
        <v>264</v>
      </c>
      <c r="H26" t="s">
        <v>264</v>
      </c>
      <c r="I26" t="s">
        <v>264</v>
      </c>
      <c r="J26" t="s">
        <v>264</v>
      </c>
      <c r="K26" t="s">
        <v>264</v>
      </c>
      <c r="L26" t="s">
        <v>264</v>
      </c>
      <c r="M26" t="s">
        <v>264</v>
      </c>
      <c r="N26" t="s">
        <v>264</v>
      </c>
      <c r="O26" t="s">
        <v>264</v>
      </c>
      <c r="P26" t="s">
        <v>264</v>
      </c>
      <c r="Q26" t="s">
        <v>264</v>
      </c>
      <c r="R26" t="s">
        <v>264</v>
      </c>
      <c r="S26" t="s">
        <v>264</v>
      </c>
      <c r="T26" t="s">
        <v>264</v>
      </c>
      <c r="U26" t="s">
        <v>264</v>
      </c>
      <c r="V26" t="s">
        <v>264</v>
      </c>
      <c r="W26" t="s">
        <v>264</v>
      </c>
      <c r="X26" t="s">
        <v>264</v>
      </c>
      <c r="Y26" t="s">
        <v>264</v>
      </c>
      <c r="Z26" t="s">
        <v>264</v>
      </c>
      <c r="AA26" t="s">
        <v>264</v>
      </c>
      <c r="AB26" t="s">
        <v>264</v>
      </c>
      <c r="AC26" t="s">
        <v>264</v>
      </c>
      <c r="AD26" t="s">
        <v>264</v>
      </c>
      <c r="AE26" t="s">
        <v>264</v>
      </c>
      <c r="AF26" t="s">
        <v>264</v>
      </c>
      <c r="AG26" t="s">
        <v>264</v>
      </c>
      <c r="AH26" t="s">
        <v>264</v>
      </c>
      <c r="AI26" t="s">
        <v>264</v>
      </c>
      <c r="AJ26" t="s">
        <v>264</v>
      </c>
      <c r="AK26" t="s">
        <v>264</v>
      </c>
      <c r="AL26" t="s">
        <v>264</v>
      </c>
      <c r="AM26" t="s">
        <v>264</v>
      </c>
      <c r="AN26" t="s">
        <v>264</v>
      </c>
      <c r="AO26" t="s">
        <v>264</v>
      </c>
      <c r="AP26" t="s">
        <v>264</v>
      </c>
      <c r="AQ26" t="s">
        <v>264</v>
      </c>
      <c r="AR26" t="s">
        <v>264</v>
      </c>
      <c r="AS26" t="s">
        <v>264</v>
      </c>
      <c r="AT26" t="s">
        <v>264</v>
      </c>
      <c r="AU26" t="s">
        <v>264</v>
      </c>
      <c r="AV26" t="s">
        <v>264</v>
      </c>
      <c r="AW26" t="s">
        <v>264</v>
      </c>
      <c r="AX26" t="s">
        <v>264</v>
      </c>
      <c r="AY26" t="s">
        <v>264</v>
      </c>
      <c r="AZ26" t="s">
        <v>264</v>
      </c>
    </row>
    <row r="27">
      <c r="A27" s="447" t="str">
        <f t="array" ref="A27:AZ27">TRANSPOSE(indirect(Exploits!B29&amp;"!A:A"))</f>
        <v>Fast Learner</v>
      </c>
      <c r="B27" t="s">
        <v>264</v>
      </c>
      <c r="C27" t="s">
        <v>264</v>
      </c>
      <c r="D27" t="s">
        <v>264</v>
      </c>
      <c r="E27" t="s">
        <v>264</v>
      </c>
      <c r="F27" t="s">
        <v>264</v>
      </c>
      <c r="G27" t="s">
        <v>264</v>
      </c>
      <c r="H27" t="s">
        <v>264</v>
      </c>
      <c r="I27" t="s">
        <v>264</v>
      </c>
      <c r="J27" t="s">
        <v>264</v>
      </c>
      <c r="K27" t="s">
        <v>264</v>
      </c>
      <c r="L27" t="s">
        <v>264</v>
      </c>
      <c r="M27" t="s">
        <v>264</v>
      </c>
      <c r="N27" t="s">
        <v>264</v>
      </c>
      <c r="O27" t="s">
        <v>264</v>
      </c>
      <c r="P27" t="s">
        <v>264</v>
      </c>
      <c r="Q27" t="s">
        <v>264</v>
      </c>
      <c r="R27" t="s">
        <v>264</v>
      </c>
      <c r="S27" t="s">
        <v>264</v>
      </c>
      <c r="T27" t="s">
        <v>264</v>
      </c>
      <c r="U27" t="s">
        <v>264</v>
      </c>
      <c r="V27" t="s">
        <v>264</v>
      </c>
      <c r="W27" t="s">
        <v>264</v>
      </c>
      <c r="X27" t="s">
        <v>264</v>
      </c>
      <c r="Y27" t="s">
        <v>264</v>
      </c>
      <c r="Z27" t="s">
        <v>264</v>
      </c>
      <c r="AA27" t="s">
        <v>264</v>
      </c>
      <c r="AB27" t="s">
        <v>264</v>
      </c>
      <c r="AC27" t="s">
        <v>264</v>
      </c>
      <c r="AD27" t="s">
        <v>264</v>
      </c>
      <c r="AE27" t="s">
        <v>264</v>
      </c>
      <c r="AF27" t="s">
        <v>264</v>
      </c>
      <c r="AG27" t="s">
        <v>264</v>
      </c>
      <c r="AH27" t="s">
        <v>264</v>
      </c>
      <c r="AI27" t="s">
        <v>264</v>
      </c>
      <c r="AJ27" t="s">
        <v>264</v>
      </c>
      <c r="AK27" t="s">
        <v>264</v>
      </c>
      <c r="AL27" t="s">
        <v>264</v>
      </c>
      <c r="AM27" t="s">
        <v>264</v>
      </c>
      <c r="AN27" t="s">
        <v>264</v>
      </c>
      <c r="AO27" t="s">
        <v>264</v>
      </c>
      <c r="AP27" t="s">
        <v>264</v>
      </c>
      <c r="AQ27" t="s">
        <v>264</v>
      </c>
      <c r="AR27" t="s">
        <v>264</v>
      </c>
      <c r="AS27" t="s">
        <v>264</v>
      </c>
      <c r="AT27" t="s">
        <v>264</v>
      </c>
      <c r="AU27" t="s">
        <v>264</v>
      </c>
      <c r="AV27" t="s">
        <v>264</v>
      </c>
      <c r="AW27" t="s">
        <v>264</v>
      </c>
      <c r="AX27" t="s">
        <v>264</v>
      </c>
      <c r="AY27" t="s">
        <v>264</v>
      </c>
      <c r="AZ27" t="s">
        <v>264</v>
      </c>
    </row>
    <row r="28">
      <c r="A28" s="447" t="str">
        <f t="array" ref="A28:AZ28">TRANSPOSE(indirect(Exploits!B30&amp;"!A:A"))</f>
        <v>Fast Learner</v>
      </c>
      <c r="B28" t="s">
        <v>264</v>
      </c>
      <c r="C28" t="s">
        <v>264</v>
      </c>
      <c r="D28" t="s">
        <v>264</v>
      </c>
      <c r="E28" t="s">
        <v>264</v>
      </c>
      <c r="F28" t="s">
        <v>264</v>
      </c>
      <c r="G28" t="s">
        <v>264</v>
      </c>
      <c r="H28" t="s">
        <v>264</v>
      </c>
      <c r="I28" t="s">
        <v>264</v>
      </c>
      <c r="J28" t="s">
        <v>264</v>
      </c>
      <c r="K28" t="s">
        <v>264</v>
      </c>
      <c r="L28" t="s">
        <v>264</v>
      </c>
      <c r="M28" t="s">
        <v>264</v>
      </c>
      <c r="N28" t="s">
        <v>264</v>
      </c>
      <c r="O28" t="s">
        <v>264</v>
      </c>
      <c r="P28" t="s">
        <v>264</v>
      </c>
      <c r="Q28" t="s">
        <v>264</v>
      </c>
      <c r="R28" t="s">
        <v>264</v>
      </c>
      <c r="S28" t="s">
        <v>264</v>
      </c>
      <c r="T28" t="s">
        <v>264</v>
      </c>
      <c r="U28" t="s">
        <v>264</v>
      </c>
      <c r="V28" t="s">
        <v>264</v>
      </c>
      <c r="W28" t="s">
        <v>264</v>
      </c>
      <c r="X28" t="s">
        <v>264</v>
      </c>
      <c r="Y28" t="s">
        <v>264</v>
      </c>
      <c r="Z28" t="s">
        <v>264</v>
      </c>
      <c r="AA28" t="s">
        <v>264</v>
      </c>
      <c r="AB28" t="s">
        <v>264</v>
      </c>
      <c r="AC28" t="s">
        <v>264</v>
      </c>
      <c r="AD28" t="s">
        <v>264</v>
      </c>
      <c r="AE28" t="s">
        <v>264</v>
      </c>
      <c r="AF28" t="s">
        <v>264</v>
      </c>
      <c r="AG28" t="s">
        <v>264</v>
      </c>
      <c r="AH28" t="s">
        <v>264</v>
      </c>
      <c r="AI28" t="s">
        <v>264</v>
      </c>
      <c r="AJ28" t="s">
        <v>264</v>
      </c>
      <c r="AK28" t="s">
        <v>264</v>
      </c>
      <c r="AL28" t="s">
        <v>264</v>
      </c>
      <c r="AM28" t="s">
        <v>264</v>
      </c>
      <c r="AN28" t="s">
        <v>264</v>
      </c>
      <c r="AO28" t="s">
        <v>264</v>
      </c>
      <c r="AP28" t="s">
        <v>264</v>
      </c>
      <c r="AQ28" t="s">
        <v>264</v>
      </c>
      <c r="AR28" t="s">
        <v>264</v>
      </c>
      <c r="AS28" t="s">
        <v>264</v>
      </c>
      <c r="AT28" t="s">
        <v>264</v>
      </c>
      <c r="AU28" t="s">
        <v>264</v>
      </c>
      <c r="AV28" t="s">
        <v>264</v>
      </c>
      <c r="AW28" t="s">
        <v>264</v>
      </c>
      <c r="AX28" t="s">
        <v>264</v>
      </c>
      <c r="AY28" t="s">
        <v>264</v>
      </c>
      <c r="AZ28" t="s">
        <v>264</v>
      </c>
    </row>
    <row r="29">
      <c r="A29" s="447" t="str">
        <f t="array" ref="A29:AZ29">TRANSPOSE(indirect(Exploits!B31&amp;"!A:A"))</f>
        <v>Fast Learner</v>
      </c>
      <c r="B29" t="s">
        <v>264</v>
      </c>
      <c r="C29" t="s">
        <v>264</v>
      </c>
      <c r="D29" t="s">
        <v>264</v>
      </c>
      <c r="E29" t="s">
        <v>264</v>
      </c>
      <c r="F29" t="s">
        <v>264</v>
      </c>
      <c r="G29" t="s">
        <v>264</v>
      </c>
      <c r="H29" t="s">
        <v>264</v>
      </c>
      <c r="I29" t="s">
        <v>264</v>
      </c>
      <c r="J29" t="s">
        <v>264</v>
      </c>
      <c r="K29" t="s">
        <v>264</v>
      </c>
      <c r="L29" t="s">
        <v>264</v>
      </c>
      <c r="M29" t="s">
        <v>264</v>
      </c>
      <c r="N29" t="s">
        <v>264</v>
      </c>
      <c r="O29" t="s">
        <v>264</v>
      </c>
      <c r="P29" t="s">
        <v>264</v>
      </c>
      <c r="Q29" t="s">
        <v>264</v>
      </c>
      <c r="R29" t="s">
        <v>264</v>
      </c>
      <c r="S29" t="s">
        <v>264</v>
      </c>
      <c r="T29" t="s">
        <v>264</v>
      </c>
      <c r="U29" t="s">
        <v>264</v>
      </c>
      <c r="V29" t="s">
        <v>264</v>
      </c>
      <c r="W29" t="s">
        <v>264</v>
      </c>
      <c r="X29" t="s">
        <v>264</v>
      </c>
      <c r="Y29" t="s">
        <v>264</v>
      </c>
      <c r="Z29" t="s">
        <v>264</v>
      </c>
      <c r="AA29" t="s">
        <v>264</v>
      </c>
      <c r="AB29" t="s">
        <v>264</v>
      </c>
      <c r="AC29" t="s">
        <v>264</v>
      </c>
      <c r="AD29" t="s">
        <v>264</v>
      </c>
      <c r="AE29" t="s">
        <v>264</v>
      </c>
      <c r="AF29" t="s">
        <v>264</v>
      </c>
      <c r="AG29" t="s">
        <v>264</v>
      </c>
      <c r="AH29" t="s">
        <v>264</v>
      </c>
      <c r="AI29" t="s">
        <v>264</v>
      </c>
      <c r="AJ29" t="s">
        <v>264</v>
      </c>
      <c r="AK29" t="s">
        <v>264</v>
      </c>
      <c r="AL29" t="s">
        <v>264</v>
      </c>
      <c r="AM29" t="s">
        <v>264</v>
      </c>
      <c r="AN29" t="s">
        <v>264</v>
      </c>
      <c r="AO29" t="s">
        <v>264</v>
      </c>
      <c r="AP29" t="s">
        <v>264</v>
      </c>
      <c r="AQ29" t="s">
        <v>264</v>
      </c>
      <c r="AR29" t="s">
        <v>264</v>
      </c>
      <c r="AS29" t="s">
        <v>264</v>
      </c>
      <c r="AT29" t="s">
        <v>264</v>
      </c>
      <c r="AU29" t="s">
        <v>264</v>
      </c>
      <c r="AV29" t="s">
        <v>264</v>
      </c>
      <c r="AW29" t="s">
        <v>264</v>
      </c>
      <c r="AX29" t="s">
        <v>264</v>
      </c>
      <c r="AY29" t="s">
        <v>264</v>
      </c>
      <c r="AZ29" t="s">
        <v>264</v>
      </c>
    </row>
    <row r="30">
      <c r="A30" s="447" t="str">
        <f t="array" ref="A30:AZ30">TRANSPOSE(indirect(Exploits!B32&amp;"!A:A"))</f>
        <v>Fast Learner</v>
      </c>
      <c r="B30" t="s">
        <v>264</v>
      </c>
      <c r="C30" t="s">
        <v>264</v>
      </c>
      <c r="D30" t="s">
        <v>264</v>
      </c>
      <c r="E30" t="s">
        <v>264</v>
      </c>
      <c r="F30" t="s">
        <v>264</v>
      </c>
      <c r="G30" t="s">
        <v>264</v>
      </c>
      <c r="H30" t="s">
        <v>264</v>
      </c>
      <c r="I30" t="s">
        <v>264</v>
      </c>
      <c r="J30" t="s">
        <v>264</v>
      </c>
      <c r="K30" t="s">
        <v>264</v>
      </c>
      <c r="L30" t="s">
        <v>264</v>
      </c>
      <c r="M30" t="s">
        <v>264</v>
      </c>
      <c r="N30" t="s">
        <v>264</v>
      </c>
      <c r="O30" t="s">
        <v>264</v>
      </c>
      <c r="P30" t="s">
        <v>264</v>
      </c>
      <c r="Q30" t="s">
        <v>264</v>
      </c>
      <c r="R30" t="s">
        <v>264</v>
      </c>
      <c r="S30" t="s">
        <v>264</v>
      </c>
      <c r="T30" t="s">
        <v>264</v>
      </c>
      <c r="U30" t="s">
        <v>264</v>
      </c>
      <c r="V30" t="s">
        <v>264</v>
      </c>
      <c r="W30" t="s">
        <v>264</v>
      </c>
      <c r="X30" t="s">
        <v>264</v>
      </c>
      <c r="Y30" t="s">
        <v>264</v>
      </c>
      <c r="Z30" t="s">
        <v>264</v>
      </c>
      <c r="AA30" t="s">
        <v>264</v>
      </c>
      <c r="AB30" t="s">
        <v>264</v>
      </c>
      <c r="AC30" t="s">
        <v>264</v>
      </c>
      <c r="AD30" t="s">
        <v>264</v>
      </c>
      <c r="AE30" t="s">
        <v>264</v>
      </c>
      <c r="AF30" t="s">
        <v>264</v>
      </c>
      <c r="AG30" t="s">
        <v>264</v>
      </c>
      <c r="AH30" t="s">
        <v>264</v>
      </c>
      <c r="AI30" t="s">
        <v>264</v>
      </c>
      <c r="AJ30" t="s">
        <v>264</v>
      </c>
      <c r="AK30" t="s">
        <v>264</v>
      </c>
      <c r="AL30" t="s">
        <v>264</v>
      </c>
      <c r="AM30" t="s">
        <v>264</v>
      </c>
      <c r="AN30" t="s">
        <v>264</v>
      </c>
      <c r="AO30" t="s">
        <v>264</v>
      </c>
      <c r="AP30" t="s">
        <v>264</v>
      </c>
      <c r="AQ30" t="s">
        <v>264</v>
      </c>
      <c r="AR30" t="s">
        <v>264</v>
      </c>
      <c r="AS30" t="s">
        <v>264</v>
      </c>
      <c r="AT30" t="s">
        <v>264</v>
      </c>
      <c r="AU30" t="s">
        <v>264</v>
      </c>
      <c r="AV30" t="s">
        <v>264</v>
      </c>
      <c r="AW30" t="s">
        <v>264</v>
      </c>
      <c r="AX30" t="s">
        <v>264</v>
      </c>
      <c r="AY30" t="s">
        <v>264</v>
      </c>
      <c r="AZ30" t="s">
        <v>264</v>
      </c>
    </row>
    <row r="31">
      <c r="A31" s="447" t="str">
        <f t="array" ref="A31:AZ31">TRANSPOSE(indirect(Exploits!B33&amp;"!A:A"))</f>
        <v>Fast Learner</v>
      </c>
      <c r="B31" t="s">
        <v>264</v>
      </c>
      <c r="C31" t="s">
        <v>264</v>
      </c>
      <c r="D31" t="s">
        <v>264</v>
      </c>
      <c r="E31" t="s">
        <v>264</v>
      </c>
      <c r="F31" t="s">
        <v>264</v>
      </c>
      <c r="G31" t="s">
        <v>264</v>
      </c>
      <c r="H31" t="s">
        <v>264</v>
      </c>
      <c r="I31" t="s">
        <v>264</v>
      </c>
      <c r="J31" t="s">
        <v>264</v>
      </c>
      <c r="K31" t="s">
        <v>264</v>
      </c>
      <c r="L31" t="s">
        <v>264</v>
      </c>
      <c r="M31" t="s">
        <v>264</v>
      </c>
      <c r="N31" t="s">
        <v>264</v>
      </c>
      <c r="O31" t="s">
        <v>264</v>
      </c>
      <c r="P31" t="s">
        <v>264</v>
      </c>
      <c r="Q31" t="s">
        <v>264</v>
      </c>
      <c r="R31" t="s">
        <v>264</v>
      </c>
      <c r="S31" t="s">
        <v>264</v>
      </c>
      <c r="T31" t="s">
        <v>264</v>
      </c>
      <c r="U31" t="s">
        <v>264</v>
      </c>
      <c r="V31" t="s">
        <v>264</v>
      </c>
      <c r="W31" t="s">
        <v>264</v>
      </c>
      <c r="X31" t="s">
        <v>264</v>
      </c>
      <c r="Y31" t="s">
        <v>264</v>
      </c>
      <c r="Z31" t="s">
        <v>264</v>
      </c>
      <c r="AA31" t="s">
        <v>264</v>
      </c>
      <c r="AB31" t="s">
        <v>264</v>
      </c>
      <c r="AC31" t="s">
        <v>264</v>
      </c>
      <c r="AD31" t="s">
        <v>264</v>
      </c>
      <c r="AE31" t="s">
        <v>264</v>
      </c>
      <c r="AF31" t="s">
        <v>264</v>
      </c>
      <c r="AG31" t="s">
        <v>264</v>
      </c>
      <c r="AH31" t="s">
        <v>264</v>
      </c>
      <c r="AI31" t="s">
        <v>264</v>
      </c>
      <c r="AJ31" t="s">
        <v>264</v>
      </c>
      <c r="AK31" t="s">
        <v>264</v>
      </c>
      <c r="AL31" t="s">
        <v>264</v>
      </c>
      <c r="AM31" t="s">
        <v>264</v>
      </c>
      <c r="AN31" t="s">
        <v>264</v>
      </c>
      <c r="AO31" t="s">
        <v>264</v>
      </c>
      <c r="AP31" t="s">
        <v>264</v>
      </c>
      <c r="AQ31" t="s">
        <v>264</v>
      </c>
      <c r="AR31" t="s">
        <v>264</v>
      </c>
      <c r="AS31" t="s">
        <v>264</v>
      </c>
      <c r="AT31" t="s">
        <v>264</v>
      </c>
      <c r="AU31" t="s">
        <v>264</v>
      </c>
      <c r="AV31" t="s">
        <v>264</v>
      </c>
      <c r="AW31" t="s">
        <v>264</v>
      </c>
      <c r="AX31" t="s">
        <v>264</v>
      </c>
      <c r="AY31" t="s">
        <v>264</v>
      </c>
      <c r="AZ31" t="s">
        <v>264</v>
      </c>
    </row>
    <row r="32">
      <c r="A32" s="447" t="str">
        <f t="array" ref="A32:AZ32">TRANSPOSE(indirect(Exploits!B34&amp;"!A:A"))</f>
        <v>Fast Learner</v>
      </c>
      <c r="B32" t="s">
        <v>264</v>
      </c>
      <c r="C32" t="s">
        <v>264</v>
      </c>
      <c r="D32" t="s">
        <v>264</v>
      </c>
      <c r="E32" t="s">
        <v>264</v>
      </c>
      <c r="F32" t="s">
        <v>264</v>
      </c>
      <c r="G32" t="s">
        <v>264</v>
      </c>
      <c r="H32" t="s">
        <v>264</v>
      </c>
      <c r="I32" t="s">
        <v>264</v>
      </c>
      <c r="J32" t="s">
        <v>264</v>
      </c>
      <c r="K32" t="s">
        <v>264</v>
      </c>
      <c r="L32" t="s">
        <v>264</v>
      </c>
      <c r="M32" t="s">
        <v>264</v>
      </c>
      <c r="N32" t="s">
        <v>264</v>
      </c>
      <c r="O32" t="s">
        <v>264</v>
      </c>
      <c r="P32" t="s">
        <v>264</v>
      </c>
      <c r="Q32" t="s">
        <v>264</v>
      </c>
      <c r="R32" t="s">
        <v>264</v>
      </c>
      <c r="S32" t="s">
        <v>264</v>
      </c>
      <c r="T32" t="s">
        <v>264</v>
      </c>
      <c r="U32" t="s">
        <v>264</v>
      </c>
      <c r="V32" t="s">
        <v>264</v>
      </c>
      <c r="W32" t="s">
        <v>264</v>
      </c>
      <c r="X32" t="s">
        <v>264</v>
      </c>
      <c r="Y32" t="s">
        <v>264</v>
      </c>
      <c r="Z32" t="s">
        <v>264</v>
      </c>
      <c r="AA32" t="s">
        <v>264</v>
      </c>
      <c r="AB32" t="s">
        <v>264</v>
      </c>
      <c r="AC32" t="s">
        <v>264</v>
      </c>
      <c r="AD32" t="s">
        <v>264</v>
      </c>
      <c r="AE32" t="s">
        <v>264</v>
      </c>
      <c r="AF32" t="s">
        <v>264</v>
      </c>
      <c r="AG32" t="s">
        <v>264</v>
      </c>
      <c r="AH32" t="s">
        <v>264</v>
      </c>
      <c r="AI32" t="s">
        <v>264</v>
      </c>
      <c r="AJ32" t="s">
        <v>264</v>
      </c>
      <c r="AK32" t="s">
        <v>264</v>
      </c>
      <c r="AL32" t="s">
        <v>264</v>
      </c>
      <c r="AM32" t="s">
        <v>264</v>
      </c>
      <c r="AN32" t="s">
        <v>264</v>
      </c>
      <c r="AO32" t="s">
        <v>264</v>
      </c>
      <c r="AP32" t="s">
        <v>264</v>
      </c>
      <c r="AQ32" t="s">
        <v>264</v>
      </c>
      <c r="AR32" t="s">
        <v>264</v>
      </c>
      <c r="AS32" t="s">
        <v>264</v>
      </c>
      <c r="AT32" t="s">
        <v>264</v>
      </c>
      <c r="AU32" t="s">
        <v>264</v>
      </c>
      <c r="AV32" t="s">
        <v>264</v>
      </c>
      <c r="AW32" t="s">
        <v>264</v>
      </c>
      <c r="AX32" t="s">
        <v>264</v>
      </c>
      <c r="AY32" t="s">
        <v>264</v>
      </c>
      <c r="AZ32" t="s">
        <v>264</v>
      </c>
    </row>
    <row r="33">
      <c r="A33" s="447" t="str">
        <f t="array" ref="A33:AZ33">TRANSPOSE(indirect(Exploits!B35&amp;"!A:A"))</f>
        <v>Fast Learner</v>
      </c>
      <c r="B33" t="s">
        <v>264</v>
      </c>
      <c r="C33" t="s">
        <v>264</v>
      </c>
      <c r="D33" t="s">
        <v>264</v>
      </c>
      <c r="E33" t="s">
        <v>264</v>
      </c>
      <c r="F33" t="s">
        <v>264</v>
      </c>
      <c r="G33" t="s">
        <v>264</v>
      </c>
      <c r="H33" t="s">
        <v>264</v>
      </c>
      <c r="I33" t="s">
        <v>264</v>
      </c>
      <c r="J33" t="s">
        <v>264</v>
      </c>
      <c r="K33" t="s">
        <v>264</v>
      </c>
      <c r="L33" t="s">
        <v>264</v>
      </c>
      <c r="M33" t="s">
        <v>264</v>
      </c>
      <c r="N33" t="s">
        <v>264</v>
      </c>
      <c r="O33" t="s">
        <v>264</v>
      </c>
      <c r="P33" t="s">
        <v>264</v>
      </c>
      <c r="Q33" t="s">
        <v>264</v>
      </c>
      <c r="R33" t="s">
        <v>264</v>
      </c>
      <c r="S33" t="s">
        <v>264</v>
      </c>
      <c r="T33" t="s">
        <v>264</v>
      </c>
      <c r="U33" t="s">
        <v>264</v>
      </c>
      <c r="V33" t="s">
        <v>264</v>
      </c>
      <c r="W33" t="s">
        <v>264</v>
      </c>
      <c r="X33" t="s">
        <v>264</v>
      </c>
      <c r="Y33" t="s">
        <v>264</v>
      </c>
      <c r="Z33" t="s">
        <v>264</v>
      </c>
      <c r="AA33" t="s">
        <v>264</v>
      </c>
      <c r="AB33" t="s">
        <v>264</v>
      </c>
      <c r="AC33" t="s">
        <v>264</v>
      </c>
      <c r="AD33" t="s">
        <v>264</v>
      </c>
      <c r="AE33" t="s">
        <v>264</v>
      </c>
      <c r="AF33" t="s">
        <v>264</v>
      </c>
      <c r="AG33" t="s">
        <v>264</v>
      </c>
      <c r="AH33" t="s">
        <v>264</v>
      </c>
      <c r="AI33" t="s">
        <v>264</v>
      </c>
      <c r="AJ33" t="s">
        <v>264</v>
      </c>
      <c r="AK33" t="s">
        <v>264</v>
      </c>
      <c r="AL33" t="s">
        <v>264</v>
      </c>
      <c r="AM33" t="s">
        <v>264</v>
      </c>
      <c r="AN33" t="s">
        <v>264</v>
      </c>
      <c r="AO33" t="s">
        <v>264</v>
      </c>
      <c r="AP33" t="s">
        <v>264</v>
      </c>
      <c r="AQ33" t="s">
        <v>264</v>
      </c>
      <c r="AR33" t="s">
        <v>264</v>
      </c>
      <c r="AS33" t="s">
        <v>264</v>
      </c>
      <c r="AT33" t="s">
        <v>264</v>
      </c>
      <c r="AU33" t="s">
        <v>264</v>
      </c>
      <c r="AV33" t="s">
        <v>264</v>
      </c>
      <c r="AW33" t="s">
        <v>264</v>
      </c>
      <c r="AX33" t="s">
        <v>264</v>
      </c>
      <c r="AY33" t="s">
        <v>264</v>
      </c>
      <c r="AZ33" t="s">
        <v>264</v>
      </c>
    </row>
    <row r="34">
      <c r="A34" s="447" t="str">
        <f t="array" ref="A34:AZ34">TRANSPOSE(indirect(Exploits!B36&amp;"!A:A"))</f>
        <v>Fast Learner</v>
      </c>
      <c r="B34" t="s">
        <v>264</v>
      </c>
      <c r="C34" t="s">
        <v>264</v>
      </c>
      <c r="D34" t="s">
        <v>264</v>
      </c>
      <c r="E34" t="s">
        <v>264</v>
      </c>
      <c r="F34" t="s">
        <v>264</v>
      </c>
      <c r="G34" t="s">
        <v>264</v>
      </c>
      <c r="H34" t="s">
        <v>264</v>
      </c>
      <c r="I34" t="s">
        <v>264</v>
      </c>
      <c r="J34" t="s">
        <v>264</v>
      </c>
      <c r="K34" t="s">
        <v>264</v>
      </c>
      <c r="L34" t="s">
        <v>264</v>
      </c>
      <c r="M34" t="s">
        <v>264</v>
      </c>
      <c r="N34" t="s">
        <v>264</v>
      </c>
      <c r="O34" t="s">
        <v>264</v>
      </c>
      <c r="P34" t="s">
        <v>264</v>
      </c>
      <c r="Q34" t="s">
        <v>264</v>
      </c>
      <c r="R34" t="s">
        <v>264</v>
      </c>
      <c r="S34" t="s">
        <v>264</v>
      </c>
      <c r="T34" t="s">
        <v>264</v>
      </c>
      <c r="U34" t="s">
        <v>264</v>
      </c>
      <c r="V34" t="s">
        <v>264</v>
      </c>
      <c r="W34" t="s">
        <v>264</v>
      </c>
      <c r="X34" t="s">
        <v>264</v>
      </c>
      <c r="Y34" t="s">
        <v>264</v>
      </c>
      <c r="Z34" t="s">
        <v>264</v>
      </c>
      <c r="AA34" t="s">
        <v>264</v>
      </c>
      <c r="AB34" t="s">
        <v>264</v>
      </c>
      <c r="AC34" t="s">
        <v>264</v>
      </c>
      <c r="AD34" t="s">
        <v>264</v>
      </c>
      <c r="AE34" t="s">
        <v>264</v>
      </c>
      <c r="AF34" t="s">
        <v>264</v>
      </c>
      <c r="AG34" t="s">
        <v>264</v>
      </c>
      <c r="AH34" t="s">
        <v>264</v>
      </c>
      <c r="AI34" t="s">
        <v>264</v>
      </c>
      <c r="AJ34" t="s">
        <v>264</v>
      </c>
      <c r="AK34" t="s">
        <v>264</v>
      </c>
      <c r="AL34" t="s">
        <v>264</v>
      </c>
      <c r="AM34" t="s">
        <v>264</v>
      </c>
      <c r="AN34" t="s">
        <v>264</v>
      </c>
      <c r="AO34" t="s">
        <v>264</v>
      </c>
      <c r="AP34" t="s">
        <v>264</v>
      </c>
      <c r="AQ34" t="s">
        <v>264</v>
      </c>
      <c r="AR34" t="s">
        <v>264</v>
      </c>
      <c r="AS34" t="s">
        <v>264</v>
      </c>
      <c r="AT34" t="s">
        <v>264</v>
      </c>
      <c r="AU34" t="s">
        <v>264</v>
      </c>
      <c r="AV34" t="s">
        <v>264</v>
      </c>
      <c r="AW34" t="s">
        <v>264</v>
      </c>
      <c r="AX34" t="s">
        <v>264</v>
      </c>
      <c r="AY34" t="s">
        <v>264</v>
      </c>
      <c r="AZ34" t="s">
        <v>264</v>
      </c>
    </row>
    <row r="35">
      <c r="A35" s="447" t="str">
        <f t="array" ref="A35:AZ35">TRANSPOSE(indirect(Exploits!B37&amp;"!A:A"))</f>
        <v>Fast Learner</v>
      </c>
      <c r="B35" t="s">
        <v>264</v>
      </c>
      <c r="C35" t="s">
        <v>264</v>
      </c>
      <c r="D35" t="s">
        <v>264</v>
      </c>
      <c r="E35" t="s">
        <v>264</v>
      </c>
      <c r="F35" t="s">
        <v>264</v>
      </c>
      <c r="G35" t="s">
        <v>264</v>
      </c>
      <c r="H35" t="s">
        <v>264</v>
      </c>
      <c r="I35" t="s">
        <v>264</v>
      </c>
      <c r="J35" t="s">
        <v>264</v>
      </c>
      <c r="K35" t="s">
        <v>264</v>
      </c>
      <c r="L35" t="s">
        <v>264</v>
      </c>
      <c r="M35" t="s">
        <v>264</v>
      </c>
      <c r="N35" t="s">
        <v>264</v>
      </c>
      <c r="O35" t="s">
        <v>264</v>
      </c>
      <c r="P35" t="s">
        <v>264</v>
      </c>
      <c r="Q35" t="s">
        <v>264</v>
      </c>
      <c r="R35" t="s">
        <v>264</v>
      </c>
      <c r="S35" t="s">
        <v>264</v>
      </c>
      <c r="T35" t="s">
        <v>264</v>
      </c>
      <c r="U35" t="s">
        <v>264</v>
      </c>
      <c r="V35" t="s">
        <v>264</v>
      </c>
      <c r="W35" t="s">
        <v>264</v>
      </c>
      <c r="X35" t="s">
        <v>264</v>
      </c>
      <c r="Y35" t="s">
        <v>264</v>
      </c>
      <c r="Z35" t="s">
        <v>264</v>
      </c>
      <c r="AA35" t="s">
        <v>264</v>
      </c>
      <c r="AB35" t="s">
        <v>264</v>
      </c>
      <c r="AC35" t="s">
        <v>264</v>
      </c>
      <c r="AD35" t="s">
        <v>264</v>
      </c>
      <c r="AE35" t="s">
        <v>264</v>
      </c>
      <c r="AF35" t="s">
        <v>264</v>
      </c>
      <c r="AG35" t="s">
        <v>264</v>
      </c>
      <c r="AH35" t="s">
        <v>264</v>
      </c>
      <c r="AI35" t="s">
        <v>264</v>
      </c>
      <c r="AJ35" t="s">
        <v>264</v>
      </c>
      <c r="AK35" t="s">
        <v>264</v>
      </c>
      <c r="AL35" t="s">
        <v>264</v>
      </c>
      <c r="AM35" t="s">
        <v>264</v>
      </c>
      <c r="AN35" t="s">
        <v>264</v>
      </c>
      <c r="AO35" t="s">
        <v>264</v>
      </c>
      <c r="AP35" t="s">
        <v>264</v>
      </c>
      <c r="AQ35" t="s">
        <v>264</v>
      </c>
      <c r="AR35" t="s">
        <v>264</v>
      </c>
      <c r="AS35" t="s">
        <v>264</v>
      </c>
      <c r="AT35" t="s">
        <v>264</v>
      </c>
      <c r="AU35" t="s">
        <v>264</v>
      </c>
      <c r="AV35" t="s">
        <v>264</v>
      </c>
      <c r="AW35" t="s">
        <v>264</v>
      </c>
      <c r="AX35" t="s">
        <v>264</v>
      </c>
      <c r="AY35" t="s">
        <v>264</v>
      </c>
      <c r="AZ35" t="s">
        <v>264</v>
      </c>
    </row>
    <row r="36">
      <c r="A36" s="447" t="str">
        <f t="array" ref="A36:AZ36">TRANSPOSE(indirect(Exploits!B38&amp;"!A:A"))</f>
        <v>Fast Learner</v>
      </c>
      <c r="B36" t="s">
        <v>264</v>
      </c>
      <c r="C36" t="s">
        <v>264</v>
      </c>
      <c r="D36" t="s">
        <v>264</v>
      </c>
      <c r="E36" t="s">
        <v>264</v>
      </c>
      <c r="F36" t="s">
        <v>264</v>
      </c>
      <c r="G36" t="s">
        <v>264</v>
      </c>
      <c r="H36" t="s">
        <v>264</v>
      </c>
      <c r="I36" t="s">
        <v>264</v>
      </c>
      <c r="J36" t="s">
        <v>264</v>
      </c>
      <c r="K36" t="s">
        <v>264</v>
      </c>
      <c r="L36" t="s">
        <v>264</v>
      </c>
      <c r="M36" t="s">
        <v>264</v>
      </c>
      <c r="N36" t="s">
        <v>264</v>
      </c>
      <c r="O36" t="s">
        <v>264</v>
      </c>
      <c r="P36" t="s">
        <v>264</v>
      </c>
      <c r="Q36" t="s">
        <v>264</v>
      </c>
      <c r="R36" t="s">
        <v>264</v>
      </c>
      <c r="S36" t="s">
        <v>264</v>
      </c>
      <c r="T36" t="s">
        <v>264</v>
      </c>
      <c r="U36" t="s">
        <v>264</v>
      </c>
      <c r="V36" t="s">
        <v>264</v>
      </c>
      <c r="W36" t="s">
        <v>264</v>
      </c>
      <c r="X36" t="s">
        <v>264</v>
      </c>
      <c r="Y36" t="s">
        <v>264</v>
      </c>
      <c r="Z36" t="s">
        <v>264</v>
      </c>
      <c r="AA36" t="s">
        <v>264</v>
      </c>
      <c r="AB36" t="s">
        <v>264</v>
      </c>
      <c r="AC36" t="s">
        <v>264</v>
      </c>
      <c r="AD36" t="s">
        <v>264</v>
      </c>
      <c r="AE36" t="s">
        <v>264</v>
      </c>
      <c r="AF36" t="s">
        <v>264</v>
      </c>
      <c r="AG36" t="s">
        <v>264</v>
      </c>
      <c r="AH36" t="s">
        <v>264</v>
      </c>
      <c r="AI36" t="s">
        <v>264</v>
      </c>
      <c r="AJ36" t="s">
        <v>264</v>
      </c>
      <c r="AK36" t="s">
        <v>264</v>
      </c>
      <c r="AL36" t="s">
        <v>264</v>
      </c>
      <c r="AM36" t="s">
        <v>264</v>
      </c>
      <c r="AN36" t="s">
        <v>264</v>
      </c>
      <c r="AO36" t="s">
        <v>264</v>
      </c>
      <c r="AP36" t="s">
        <v>264</v>
      </c>
      <c r="AQ36" t="s">
        <v>264</v>
      </c>
      <c r="AR36" t="s">
        <v>264</v>
      </c>
      <c r="AS36" t="s">
        <v>264</v>
      </c>
      <c r="AT36" t="s">
        <v>264</v>
      </c>
      <c r="AU36" t="s">
        <v>264</v>
      </c>
      <c r="AV36" t="s">
        <v>264</v>
      </c>
      <c r="AW36" t="s">
        <v>264</v>
      </c>
      <c r="AX36" t="s">
        <v>264</v>
      </c>
      <c r="AY36" t="s">
        <v>264</v>
      </c>
      <c r="AZ36" t="s">
        <v>264</v>
      </c>
    </row>
    <row r="37">
      <c r="A37" s="447" t="str">
        <f t="array" ref="A37:AZ37">TRANSPOSE(indirect(Exploits!B39&amp;"!A:A"))</f>
        <v>Fast Learner</v>
      </c>
      <c r="B37" t="s">
        <v>264</v>
      </c>
      <c r="C37" t="s">
        <v>264</v>
      </c>
      <c r="D37" t="s">
        <v>264</v>
      </c>
      <c r="E37" t="s">
        <v>264</v>
      </c>
      <c r="F37" t="s">
        <v>264</v>
      </c>
      <c r="G37" t="s">
        <v>264</v>
      </c>
      <c r="H37" t="s">
        <v>264</v>
      </c>
      <c r="I37" t="s">
        <v>264</v>
      </c>
      <c r="J37" t="s">
        <v>264</v>
      </c>
      <c r="K37" t="s">
        <v>264</v>
      </c>
      <c r="L37" t="s">
        <v>264</v>
      </c>
      <c r="M37" t="s">
        <v>264</v>
      </c>
      <c r="N37" t="s">
        <v>264</v>
      </c>
      <c r="O37" t="s">
        <v>264</v>
      </c>
      <c r="P37" t="s">
        <v>264</v>
      </c>
      <c r="Q37" t="s">
        <v>264</v>
      </c>
      <c r="R37" t="s">
        <v>264</v>
      </c>
      <c r="S37" t="s">
        <v>264</v>
      </c>
      <c r="T37" t="s">
        <v>264</v>
      </c>
      <c r="U37" t="s">
        <v>264</v>
      </c>
      <c r="V37" t="s">
        <v>264</v>
      </c>
      <c r="W37" t="s">
        <v>264</v>
      </c>
      <c r="X37" t="s">
        <v>264</v>
      </c>
      <c r="Y37" t="s">
        <v>264</v>
      </c>
      <c r="Z37" t="s">
        <v>264</v>
      </c>
      <c r="AA37" t="s">
        <v>264</v>
      </c>
      <c r="AB37" t="s">
        <v>264</v>
      </c>
      <c r="AC37" t="s">
        <v>264</v>
      </c>
      <c r="AD37" t="s">
        <v>264</v>
      </c>
      <c r="AE37" t="s">
        <v>264</v>
      </c>
      <c r="AF37" t="s">
        <v>264</v>
      </c>
      <c r="AG37" t="s">
        <v>264</v>
      </c>
      <c r="AH37" t="s">
        <v>264</v>
      </c>
      <c r="AI37" t="s">
        <v>264</v>
      </c>
      <c r="AJ37" t="s">
        <v>264</v>
      </c>
      <c r="AK37" t="s">
        <v>264</v>
      </c>
      <c r="AL37" t="s">
        <v>264</v>
      </c>
      <c r="AM37" t="s">
        <v>264</v>
      </c>
      <c r="AN37" t="s">
        <v>264</v>
      </c>
      <c r="AO37" t="s">
        <v>264</v>
      </c>
      <c r="AP37" t="s">
        <v>264</v>
      </c>
      <c r="AQ37" t="s">
        <v>264</v>
      </c>
      <c r="AR37" t="s">
        <v>264</v>
      </c>
      <c r="AS37" t="s">
        <v>264</v>
      </c>
      <c r="AT37" t="s">
        <v>264</v>
      </c>
      <c r="AU37" t="s">
        <v>264</v>
      </c>
      <c r="AV37" t="s">
        <v>264</v>
      </c>
      <c r="AW37" t="s">
        <v>264</v>
      </c>
      <c r="AX37" t="s">
        <v>264</v>
      </c>
      <c r="AY37" t="s">
        <v>264</v>
      </c>
      <c r="AZ37" t="s">
        <v>264</v>
      </c>
    </row>
    <row r="38">
      <c r="A38" s="447" t="str">
        <f t="array" ref="A38:AZ38">TRANSPOSE(indirect(Exploits!B40&amp;"!A:A"))</f>
        <v>Fast Learner</v>
      </c>
      <c r="B38" t="s">
        <v>264</v>
      </c>
      <c r="C38" t="s">
        <v>264</v>
      </c>
      <c r="D38" t="s">
        <v>264</v>
      </c>
      <c r="E38" t="s">
        <v>264</v>
      </c>
      <c r="F38" t="s">
        <v>264</v>
      </c>
      <c r="G38" t="s">
        <v>264</v>
      </c>
      <c r="H38" t="s">
        <v>264</v>
      </c>
      <c r="I38" t="s">
        <v>264</v>
      </c>
      <c r="J38" t="s">
        <v>264</v>
      </c>
      <c r="K38" t="s">
        <v>264</v>
      </c>
      <c r="L38" t="s">
        <v>264</v>
      </c>
      <c r="M38" t="s">
        <v>264</v>
      </c>
      <c r="N38" t="s">
        <v>264</v>
      </c>
      <c r="O38" t="s">
        <v>264</v>
      </c>
      <c r="P38" t="s">
        <v>264</v>
      </c>
      <c r="Q38" t="s">
        <v>264</v>
      </c>
      <c r="R38" t="s">
        <v>264</v>
      </c>
      <c r="S38" t="s">
        <v>264</v>
      </c>
      <c r="T38" t="s">
        <v>264</v>
      </c>
      <c r="U38" t="s">
        <v>264</v>
      </c>
      <c r="V38" t="s">
        <v>264</v>
      </c>
      <c r="W38" t="s">
        <v>264</v>
      </c>
      <c r="X38" t="s">
        <v>264</v>
      </c>
      <c r="Y38" t="s">
        <v>264</v>
      </c>
      <c r="Z38" t="s">
        <v>264</v>
      </c>
      <c r="AA38" t="s">
        <v>264</v>
      </c>
      <c r="AB38" t="s">
        <v>264</v>
      </c>
      <c r="AC38" t="s">
        <v>264</v>
      </c>
      <c r="AD38" t="s">
        <v>264</v>
      </c>
      <c r="AE38" t="s">
        <v>264</v>
      </c>
      <c r="AF38" t="s">
        <v>264</v>
      </c>
      <c r="AG38" t="s">
        <v>264</v>
      </c>
      <c r="AH38" t="s">
        <v>264</v>
      </c>
      <c r="AI38" t="s">
        <v>264</v>
      </c>
      <c r="AJ38" t="s">
        <v>264</v>
      </c>
      <c r="AK38" t="s">
        <v>264</v>
      </c>
      <c r="AL38" t="s">
        <v>264</v>
      </c>
      <c r="AM38" t="s">
        <v>264</v>
      </c>
      <c r="AN38" t="s">
        <v>264</v>
      </c>
      <c r="AO38" t="s">
        <v>264</v>
      </c>
      <c r="AP38" t="s">
        <v>264</v>
      </c>
      <c r="AQ38" t="s">
        <v>264</v>
      </c>
      <c r="AR38" t="s">
        <v>264</v>
      </c>
      <c r="AS38" t="s">
        <v>264</v>
      </c>
      <c r="AT38" t="s">
        <v>264</v>
      </c>
      <c r="AU38" t="s">
        <v>264</v>
      </c>
      <c r="AV38" t="s">
        <v>264</v>
      </c>
      <c r="AW38" t="s">
        <v>264</v>
      </c>
      <c r="AX38" t="s">
        <v>264</v>
      </c>
      <c r="AY38" t="s">
        <v>264</v>
      </c>
      <c r="AZ38" t="s">
        <v>264</v>
      </c>
    </row>
    <row r="39">
      <c r="A39" s="447" t="str">
        <f t="array" ref="A39:AZ39">TRANSPOSE(indirect(Exploits!B41&amp;"!A:A"))</f>
        <v>Fast Learner</v>
      </c>
      <c r="B39" t="s">
        <v>264</v>
      </c>
      <c r="C39" t="s">
        <v>264</v>
      </c>
      <c r="D39" t="s">
        <v>264</v>
      </c>
      <c r="E39" t="s">
        <v>264</v>
      </c>
      <c r="F39" t="s">
        <v>264</v>
      </c>
      <c r="G39" t="s">
        <v>264</v>
      </c>
      <c r="H39" t="s">
        <v>264</v>
      </c>
      <c r="I39" t="s">
        <v>264</v>
      </c>
      <c r="J39" t="s">
        <v>264</v>
      </c>
      <c r="K39" t="s">
        <v>264</v>
      </c>
      <c r="L39" t="s">
        <v>264</v>
      </c>
      <c r="M39" t="s">
        <v>264</v>
      </c>
      <c r="N39" t="s">
        <v>264</v>
      </c>
      <c r="O39" t="s">
        <v>264</v>
      </c>
      <c r="P39" t="s">
        <v>264</v>
      </c>
      <c r="Q39" t="s">
        <v>264</v>
      </c>
      <c r="R39" t="s">
        <v>264</v>
      </c>
      <c r="S39" t="s">
        <v>264</v>
      </c>
      <c r="T39" t="s">
        <v>264</v>
      </c>
      <c r="U39" t="s">
        <v>264</v>
      </c>
      <c r="V39" t="s">
        <v>264</v>
      </c>
      <c r="W39" t="s">
        <v>264</v>
      </c>
      <c r="X39" t="s">
        <v>264</v>
      </c>
      <c r="Y39" t="s">
        <v>264</v>
      </c>
      <c r="Z39" t="s">
        <v>264</v>
      </c>
      <c r="AA39" t="s">
        <v>264</v>
      </c>
      <c r="AB39" t="s">
        <v>264</v>
      </c>
      <c r="AC39" t="s">
        <v>264</v>
      </c>
      <c r="AD39" t="s">
        <v>264</v>
      </c>
      <c r="AE39" t="s">
        <v>264</v>
      </c>
      <c r="AF39" t="s">
        <v>264</v>
      </c>
      <c r="AG39" t="s">
        <v>264</v>
      </c>
      <c r="AH39" t="s">
        <v>264</v>
      </c>
      <c r="AI39" t="s">
        <v>264</v>
      </c>
      <c r="AJ39" t="s">
        <v>264</v>
      </c>
      <c r="AK39" t="s">
        <v>264</v>
      </c>
      <c r="AL39" t="s">
        <v>264</v>
      </c>
      <c r="AM39" t="s">
        <v>264</v>
      </c>
      <c r="AN39" t="s">
        <v>264</v>
      </c>
      <c r="AO39" t="s">
        <v>264</v>
      </c>
      <c r="AP39" t="s">
        <v>264</v>
      </c>
      <c r="AQ39" t="s">
        <v>264</v>
      </c>
      <c r="AR39" t="s">
        <v>264</v>
      </c>
      <c r="AS39" t="s">
        <v>264</v>
      </c>
      <c r="AT39" t="s">
        <v>264</v>
      </c>
      <c r="AU39" t="s">
        <v>264</v>
      </c>
      <c r="AV39" t="s">
        <v>264</v>
      </c>
      <c r="AW39" t="s">
        <v>264</v>
      </c>
      <c r="AX39" t="s">
        <v>264</v>
      </c>
      <c r="AY39" t="s">
        <v>264</v>
      </c>
      <c r="AZ39" t="s">
        <v>264</v>
      </c>
    </row>
    <row r="40">
      <c r="A40" s="447" t="str">
        <f t="array" ref="A40:AZ40">TRANSPOSE(indirect(Exploits!B42&amp;"!A:A"))</f>
        <v>Fast Learner</v>
      </c>
      <c r="B40" t="s">
        <v>264</v>
      </c>
      <c r="C40" t="s">
        <v>264</v>
      </c>
      <c r="D40" t="s">
        <v>264</v>
      </c>
      <c r="E40" t="s">
        <v>264</v>
      </c>
      <c r="F40" t="s">
        <v>264</v>
      </c>
      <c r="G40" t="s">
        <v>264</v>
      </c>
      <c r="H40" t="s">
        <v>264</v>
      </c>
      <c r="I40" t="s">
        <v>264</v>
      </c>
      <c r="J40" t="s">
        <v>264</v>
      </c>
      <c r="K40" t="s">
        <v>264</v>
      </c>
      <c r="L40" t="s">
        <v>264</v>
      </c>
      <c r="M40" t="s">
        <v>264</v>
      </c>
      <c r="N40" t="s">
        <v>264</v>
      </c>
      <c r="O40" t="s">
        <v>264</v>
      </c>
      <c r="P40" t="s">
        <v>264</v>
      </c>
      <c r="Q40" t="s">
        <v>264</v>
      </c>
      <c r="R40" t="s">
        <v>264</v>
      </c>
      <c r="S40" t="s">
        <v>264</v>
      </c>
      <c r="T40" t="s">
        <v>264</v>
      </c>
      <c r="U40" t="s">
        <v>264</v>
      </c>
      <c r="V40" t="s">
        <v>264</v>
      </c>
      <c r="W40" t="s">
        <v>264</v>
      </c>
      <c r="X40" t="s">
        <v>264</v>
      </c>
      <c r="Y40" t="s">
        <v>264</v>
      </c>
      <c r="Z40" t="s">
        <v>264</v>
      </c>
      <c r="AA40" t="s">
        <v>264</v>
      </c>
      <c r="AB40" t="s">
        <v>264</v>
      </c>
      <c r="AC40" t="s">
        <v>264</v>
      </c>
      <c r="AD40" t="s">
        <v>264</v>
      </c>
      <c r="AE40" t="s">
        <v>264</v>
      </c>
      <c r="AF40" t="s">
        <v>264</v>
      </c>
      <c r="AG40" t="s">
        <v>264</v>
      </c>
      <c r="AH40" t="s">
        <v>264</v>
      </c>
      <c r="AI40" t="s">
        <v>264</v>
      </c>
      <c r="AJ40" t="s">
        <v>264</v>
      </c>
      <c r="AK40" t="s">
        <v>264</v>
      </c>
      <c r="AL40" t="s">
        <v>264</v>
      </c>
      <c r="AM40" t="s">
        <v>264</v>
      </c>
      <c r="AN40" t="s">
        <v>264</v>
      </c>
      <c r="AO40" t="s">
        <v>264</v>
      </c>
      <c r="AP40" t="s">
        <v>264</v>
      </c>
      <c r="AQ40" t="s">
        <v>264</v>
      </c>
      <c r="AR40" t="s">
        <v>264</v>
      </c>
      <c r="AS40" t="s">
        <v>264</v>
      </c>
      <c r="AT40" t="s">
        <v>264</v>
      </c>
      <c r="AU40" t="s">
        <v>264</v>
      </c>
      <c r="AV40" t="s">
        <v>264</v>
      </c>
      <c r="AW40" t="s">
        <v>264</v>
      </c>
      <c r="AX40" t="s">
        <v>264</v>
      </c>
      <c r="AY40" t="s">
        <v>264</v>
      </c>
      <c r="AZ40" t="s">
        <v>264</v>
      </c>
    </row>
    <row r="41">
      <c r="A41" s="447" t="str">
        <f t="array" ref="A41:AZ41">TRANSPOSE(indirect(Exploits!B43&amp;"!A:A"))</f>
        <v>Fast Learner</v>
      </c>
      <c r="B41" t="s">
        <v>264</v>
      </c>
      <c r="C41" t="s">
        <v>264</v>
      </c>
      <c r="D41" t="s">
        <v>264</v>
      </c>
      <c r="E41" t="s">
        <v>264</v>
      </c>
      <c r="F41" t="s">
        <v>264</v>
      </c>
      <c r="G41" t="s">
        <v>264</v>
      </c>
      <c r="H41" t="s">
        <v>264</v>
      </c>
      <c r="I41" t="s">
        <v>264</v>
      </c>
      <c r="J41" t="s">
        <v>264</v>
      </c>
      <c r="K41" t="s">
        <v>264</v>
      </c>
      <c r="L41" t="s">
        <v>264</v>
      </c>
      <c r="M41" t="s">
        <v>264</v>
      </c>
      <c r="N41" t="s">
        <v>264</v>
      </c>
      <c r="O41" t="s">
        <v>264</v>
      </c>
      <c r="P41" t="s">
        <v>264</v>
      </c>
      <c r="Q41" t="s">
        <v>264</v>
      </c>
      <c r="R41" t="s">
        <v>264</v>
      </c>
      <c r="S41" t="s">
        <v>264</v>
      </c>
      <c r="T41" t="s">
        <v>264</v>
      </c>
      <c r="U41" t="s">
        <v>264</v>
      </c>
      <c r="V41" t="s">
        <v>264</v>
      </c>
      <c r="W41" t="s">
        <v>264</v>
      </c>
      <c r="X41" t="s">
        <v>264</v>
      </c>
      <c r="Y41" t="s">
        <v>264</v>
      </c>
      <c r="Z41" t="s">
        <v>264</v>
      </c>
      <c r="AA41" t="s">
        <v>264</v>
      </c>
      <c r="AB41" t="s">
        <v>264</v>
      </c>
      <c r="AC41" t="s">
        <v>264</v>
      </c>
      <c r="AD41" t="s">
        <v>264</v>
      </c>
      <c r="AE41" t="s">
        <v>264</v>
      </c>
      <c r="AF41" t="s">
        <v>264</v>
      </c>
      <c r="AG41" t="s">
        <v>264</v>
      </c>
      <c r="AH41" t="s">
        <v>264</v>
      </c>
      <c r="AI41" t="s">
        <v>264</v>
      </c>
      <c r="AJ41" t="s">
        <v>264</v>
      </c>
      <c r="AK41" t="s">
        <v>264</v>
      </c>
      <c r="AL41" t="s">
        <v>264</v>
      </c>
      <c r="AM41" t="s">
        <v>264</v>
      </c>
      <c r="AN41" t="s">
        <v>264</v>
      </c>
      <c r="AO41" t="s">
        <v>264</v>
      </c>
      <c r="AP41" t="s">
        <v>264</v>
      </c>
      <c r="AQ41" t="s">
        <v>264</v>
      </c>
      <c r="AR41" t="s">
        <v>264</v>
      </c>
      <c r="AS41" t="s">
        <v>264</v>
      </c>
      <c r="AT41" t="s">
        <v>264</v>
      </c>
      <c r="AU41" t="s">
        <v>264</v>
      </c>
      <c r="AV41" t="s">
        <v>264</v>
      </c>
      <c r="AW41" t="s">
        <v>264</v>
      </c>
      <c r="AX41" t="s">
        <v>264</v>
      </c>
      <c r="AY41" t="s">
        <v>264</v>
      </c>
      <c r="AZ41" t="s">
        <v>264</v>
      </c>
    </row>
    <row r="42">
      <c r="A42" s="447" t="str">
        <f t="array" ref="A42:AZ42">TRANSPOSE(indirect(Exploits!B44&amp;"!A:A"))</f>
        <v>Fast Learner</v>
      </c>
      <c r="B42" t="s">
        <v>264</v>
      </c>
      <c r="C42" t="s">
        <v>264</v>
      </c>
      <c r="D42" t="s">
        <v>264</v>
      </c>
      <c r="E42" t="s">
        <v>264</v>
      </c>
      <c r="F42" t="s">
        <v>264</v>
      </c>
      <c r="G42" t="s">
        <v>264</v>
      </c>
      <c r="H42" t="s">
        <v>264</v>
      </c>
      <c r="I42" t="s">
        <v>264</v>
      </c>
      <c r="J42" t="s">
        <v>264</v>
      </c>
      <c r="K42" t="s">
        <v>264</v>
      </c>
      <c r="L42" t="s">
        <v>264</v>
      </c>
      <c r="M42" t="s">
        <v>264</v>
      </c>
      <c r="N42" t="s">
        <v>264</v>
      </c>
      <c r="O42" t="s">
        <v>264</v>
      </c>
      <c r="P42" t="s">
        <v>264</v>
      </c>
      <c r="Q42" t="s">
        <v>264</v>
      </c>
      <c r="R42" t="s">
        <v>264</v>
      </c>
      <c r="S42" t="s">
        <v>264</v>
      </c>
      <c r="T42" t="s">
        <v>264</v>
      </c>
      <c r="U42" t="s">
        <v>264</v>
      </c>
      <c r="V42" t="s">
        <v>264</v>
      </c>
      <c r="W42" t="s">
        <v>264</v>
      </c>
      <c r="X42" t="s">
        <v>264</v>
      </c>
      <c r="Y42" t="s">
        <v>264</v>
      </c>
      <c r="Z42" t="s">
        <v>264</v>
      </c>
      <c r="AA42" t="s">
        <v>264</v>
      </c>
      <c r="AB42" t="s">
        <v>264</v>
      </c>
      <c r="AC42" t="s">
        <v>264</v>
      </c>
      <c r="AD42" t="s">
        <v>264</v>
      </c>
      <c r="AE42" t="s">
        <v>264</v>
      </c>
      <c r="AF42" t="s">
        <v>264</v>
      </c>
      <c r="AG42" t="s">
        <v>264</v>
      </c>
      <c r="AH42" t="s">
        <v>264</v>
      </c>
      <c r="AI42" t="s">
        <v>264</v>
      </c>
      <c r="AJ42" t="s">
        <v>264</v>
      </c>
      <c r="AK42" t="s">
        <v>264</v>
      </c>
      <c r="AL42" t="s">
        <v>264</v>
      </c>
      <c r="AM42" t="s">
        <v>264</v>
      </c>
      <c r="AN42" t="s">
        <v>264</v>
      </c>
      <c r="AO42" t="s">
        <v>264</v>
      </c>
      <c r="AP42" t="s">
        <v>264</v>
      </c>
      <c r="AQ42" t="s">
        <v>264</v>
      </c>
      <c r="AR42" t="s">
        <v>264</v>
      </c>
      <c r="AS42" t="s">
        <v>264</v>
      </c>
      <c r="AT42" t="s">
        <v>264</v>
      </c>
      <c r="AU42" t="s">
        <v>264</v>
      </c>
      <c r="AV42" t="s">
        <v>264</v>
      </c>
      <c r="AW42" t="s">
        <v>264</v>
      </c>
      <c r="AX42" t="s">
        <v>264</v>
      </c>
      <c r="AY42" t="s">
        <v>264</v>
      </c>
      <c r="AZ42" t="s">
        <v>264</v>
      </c>
    </row>
    <row r="43">
      <c r="A43" s="447" t="str">
        <f t="array" ref="A43:AZ43">TRANSPOSE(indirect(Exploits!B45&amp;"!A:A"))</f>
        <v>Fast Learner</v>
      </c>
      <c r="B43" t="s">
        <v>264</v>
      </c>
      <c r="C43" t="s">
        <v>264</v>
      </c>
      <c r="D43" t="s">
        <v>264</v>
      </c>
      <c r="E43" t="s">
        <v>264</v>
      </c>
      <c r="F43" t="s">
        <v>264</v>
      </c>
      <c r="G43" t="s">
        <v>264</v>
      </c>
      <c r="H43" t="s">
        <v>264</v>
      </c>
      <c r="I43" t="s">
        <v>264</v>
      </c>
      <c r="J43" t="s">
        <v>264</v>
      </c>
      <c r="K43" t="s">
        <v>264</v>
      </c>
      <c r="L43" t="s">
        <v>264</v>
      </c>
      <c r="M43" t="s">
        <v>264</v>
      </c>
      <c r="N43" t="s">
        <v>264</v>
      </c>
      <c r="O43" t="s">
        <v>264</v>
      </c>
      <c r="P43" t="s">
        <v>264</v>
      </c>
      <c r="Q43" t="s">
        <v>264</v>
      </c>
      <c r="R43" t="s">
        <v>264</v>
      </c>
      <c r="S43" t="s">
        <v>264</v>
      </c>
      <c r="T43" t="s">
        <v>264</v>
      </c>
      <c r="U43" t="s">
        <v>264</v>
      </c>
      <c r="V43" t="s">
        <v>264</v>
      </c>
      <c r="W43" t="s">
        <v>264</v>
      </c>
      <c r="X43" t="s">
        <v>264</v>
      </c>
      <c r="Y43" t="s">
        <v>264</v>
      </c>
      <c r="Z43" t="s">
        <v>264</v>
      </c>
      <c r="AA43" t="s">
        <v>264</v>
      </c>
      <c r="AB43" t="s">
        <v>264</v>
      </c>
      <c r="AC43" t="s">
        <v>264</v>
      </c>
      <c r="AD43" t="s">
        <v>264</v>
      </c>
      <c r="AE43" t="s">
        <v>264</v>
      </c>
      <c r="AF43" t="s">
        <v>264</v>
      </c>
      <c r="AG43" t="s">
        <v>264</v>
      </c>
      <c r="AH43" t="s">
        <v>264</v>
      </c>
      <c r="AI43" t="s">
        <v>264</v>
      </c>
      <c r="AJ43" t="s">
        <v>264</v>
      </c>
      <c r="AK43" t="s">
        <v>264</v>
      </c>
      <c r="AL43" t="s">
        <v>264</v>
      </c>
      <c r="AM43" t="s">
        <v>264</v>
      </c>
      <c r="AN43" t="s">
        <v>264</v>
      </c>
      <c r="AO43" t="s">
        <v>264</v>
      </c>
      <c r="AP43" t="s">
        <v>264</v>
      </c>
      <c r="AQ43" t="s">
        <v>264</v>
      </c>
      <c r="AR43" t="s">
        <v>264</v>
      </c>
      <c r="AS43" t="s">
        <v>264</v>
      </c>
      <c r="AT43" t="s">
        <v>264</v>
      </c>
      <c r="AU43" t="s">
        <v>264</v>
      </c>
      <c r="AV43" t="s">
        <v>264</v>
      </c>
      <c r="AW43" t="s">
        <v>264</v>
      </c>
      <c r="AX43" t="s">
        <v>264</v>
      </c>
      <c r="AY43" t="s">
        <v>264</v>
      </c>
      <c r="AZ43" t="s">
        <v>264</v>
      </c>
    </row>
    <row r="44">
      <c r="A44" s="447" t="str">
        <f t="array" ref="A44:AZ44">TRANSPOSE(indirect(Exploits!B46&amp;"!A:A"))</f>
        <v>Fast Learner</v>
      </c>
      <c r="B44" t="s">
        <v>264</v>
      </c>
      <c r="C44" t="s">
        <v>264</v>
      </c>
      <c r="D44" t="s">
        <v>264</v>
      </c>
      <c r="E44" t="s">
        <v>264</v>
      </c>
      <c r="F44" t="s">
        <v>264</v>
      </c>
      <c r="G44" t="s">
        <v>264</v>
      </c>
      <c r="H44" t="s">
        <v>264</v>
      </c>
      <c r="I44" t="s">
        <v>264</v>
      </c>
      <c r="J44" t="s">
        <v>264</v>
      </c>
      <c r="K44" t="s">
        <v>264</v>
      </c>
      <c r="L44" t="s">
        <v>264</v>
      </c>
      <c r="M44" t="s">
        <v>264</v>
      </c>
      <c r="N44" t="s">
        <v>264</v>
      </c>
      <c r="O44" t="s">
        <v>264</v>
      </c>
      <c r="P44" t="s">
        <v>264</v>
      </c>
      <c r="Q44" t="s">
        <v>264</v>
      </c>
      <c r="R44" t="s">
        <v>264</v>
      </c>
      <c r="S44" t="s">
        <v>264</v>
      </c>
      <c r="T44" t="s">
        <v>264</v>
      </c>
      <c r="U44" t="s">
        <v>264</v>
      </c>
      <c r="V44" t="s">
        <v>264</v>
      </c>
      <c r="W44" t="s">
        <v>264</v>
      </c>
      <c r="X44" t="s">
        <v>264</v>
      </c>
      <c r="Y44" t="s">
        <v>264</v>
      </c>
      <c r="Z44" t="s">
        <v>264</v>
      </c>
      <c r="AA44" t="s">
        <v>264</v>
      </c>
      <c r="AB44" t="s">
        <v>264</v>
      </c>
      <c r="AC44" t="s">
        <v>264</v>
      </c>
      <c r="AD44" t="s">
        <v>264</v>
      </c>
      <c r="AE44" t="s">
        <v>264</v>
      </c>
      <c r="AF44" t="s">
        <v>264</v>
      </c>
      <c r="AG44" t="s">
        <v>264</v>
      </c>
      <c r="AH44" t="s">
        <v>264</v>
      </c>
      <c r="AI44" t="s">
        <v>264</v>
      </c>
      <c r="AJ44" t="s">
        <v>264</v>
      </c>
      <c r="AK44" t="s">
        <v>264</v>
      </c>
      <c r="AL44" t="s">
        <v>264</v>
      </c>
      <c r="AM44" t="s">
        <v>264</v>
      </c>
      <c r="AN44" t="s">
        <v>264</v>
      </c>
      <c r="AO44" t="s">
        <v>264</v>
      </c>
      <c r="AP44" t="s">
        <v>264</v>
      </c>
      <c r="AQ44" t="s">
        <v>264</v>
      </c>
      <c r="AR44" t="s">
        <v>264</v>
      </c>
      <c r="AS44" t="s">
        <v>264</v>
      </c>
      <c r="AT44" t="s">
        <v>264</v>
      </c>
      <c r="AU44" t="s">
        <v>264</v>
      </c>
      <c r="AV44" t="s">
        <v>264</v>
      </c>
      <c r="AW44" t="s">
        <v>264</v>
      </c>
      <c r="AX44" t="s">
        <v>264</v>
      </c>
      <c r="AY44" t="s">
        <v>264</v>
      </c>
      <c r="AZ44" t="s">
        <v>264</v>
      </c>
    </row>
    <row r="45">
      <c r="A45" s="447" t="str">
        <f t="array" ref="A45:AZ45">TRANSPOSE(indirect(Exploits!B47&amp;"!A:A"))</f>
        <v>Fast Learner</v>
      </c>
      <c r="B45" t="s">
        <v>264</v>
      </c>
      <c r="C45" t="s">
        <v>264</v>
      </c>
      <c r="D45" t="s">
        <v>264</v>
      </c>
      <c r="E45" t="s">
        <v>264</v>
      </c>
      <c r="F45" t="s">
        <v>264</v>
      </c>
      <c r="G45" t="s">
        <v>264</v>
      </c>
      <c r="H45" t="s">
        <v>264</v>
      </c>
      <c r="I45" t="s">
        <v>264</v>
      </c>
      <c r="J45" t="s">
        <v>264</v>
      </c>
      <c r="K45" t="s">
        <v>264</v>
      </c>
      <c r="L45" t="s">
        <v>264</v>
      </c>
      <c r="M45" t="s">
        <v>264</v>
      </c>
      <c r="N45" t="s">
        <v>264</v>
      </c>
      <c r="O45" t="s">
        <v>264</v>
      </c>
      <c r="P45" t="s">
        <v>264</v>
      </c>
      <c r="Q45" t="s">
        <v>264</v>
      </c>
      <c r="R45" t="s">
        <v>264</v>
      </c>
      <c r="S45" t="s">
        <v>264</v>
      </c>
      <c r="T45" t="s">
        <v>264</v>
      </c>
      <c r="U45" t="s">
        <v>264</v>
      </c>
      <c r="V45" t="s">
        <v>264</v>
      </c>
      <c r="W45" t="s">
        <v>264</v>
      </c>
      <c r="X45" t="s">
        <v>264</v>
      </c>
      <c r="Y45" t="s">
        <v>264</v>
      </c>
      <c r="Z45" t="s">
        <v>264</v>
      </c>
      <c r="AA45" t="s">
        <v>264</v>
      </c>
      <c r="AB45" t="s">
        <v>264</v>
      </c>
      <c r="AC45" t="s">
        <v>264</v>
      </c>
      <c r="AD45" t="s">
        <v>264</v>
      </c>
      <c r="AE45" t="s">
        <v>264</v>
      </c>
      <c r="AF45" t="s">
        <v>264</v>
      </c>
      <c r="AG45" t="s">
        <v>264</v>
      </c>
      <c r="AH45" t="s">
        <v>264</v>
      </c>
      <c r="AI45" t="s">
        <v>264</v>
      </c>
      <c r="AJ45" t="s">
        <v>264</v>
      </c>
      <c r="AK45" t="s">
        <v>264</v>
      </c>
      <c r="AL45" t="s">
        <v>264</v>
      </c>
      <c r="AM45" t="s">
        <v>264</v>
      </c>
      <c r="AN45" t="s">
        <v>264</v>
      </c>
      <c r="AO45" t="s">
        <v>264</v>
      </c>
      <c r="AP45" t="s">
        <v>264</v>
      </c>
      <c r="AQ45" t="s">
        <v>264</v>
      </c>
      <c r="AR45" t="s">
        <v>264</v>
      </c>
      <c r="AS45" t="s">
        <v>264</v>
      </c>
      <c r="AT45" t="s">
        <v>264</v>
      </c>
      <c r="AU45" t="s">
        <v>264</v>
      </c>
      <c r="AV45" t="s">
        <v>264</v>
      </c>
      <c r="AW45" t="s">
        <v>264</v>
      </c>
      <c r="AX45" t="s">
        <v>264</v>
      </c>
      <c r="AY45" t="s">
        <v>264</v>
      </c>
      <c r="AZ45" t="s">
        <v>264</v>
      </c>
    </row>
    <row r="46">
      <c r="A46" s="447" t="str">
        <f t="array" ref="A46:AZ46">TRANSPOSE(indirect(Exploits!B48&amp;"!A:A"))</f>
        <v>Fast Learner</v>
      </c>
      <c r="B46" t="s">
        <v>264</v>
      </c>
      <c r="C46" t="s">
        <v>264</v>
      </c>
      <c r="D46" t="s">
        <v>264</v>
      </c>
      <c r="E46" t="s">
        <v>264</v>
      </c>
      <c r="F46" t="s">
        <v>264</v>
      </c>
      <c r="G46" t="s">
        <v>264</v>
      </c>
      <c r="H46" t="s">
        <v>264</v>
      </c>
      <c r="I46" t="s">
        <v>264</v>
      </c>
      <c r="J46" t="s">
        <v>264</v>
      </c>
      <c r="K46" t="s">
        <v>264</v>
      </c>
      <c r="L46" t="s">
        <v>264</v>
      </c>
      <c r="M46" t="s">
        <v>264</v>
      </c>
      <c r="N46" t="s">
        <v>264</v>
      </c>
      <c r="O46" t="s">
        <v>264</v>
      </c>
      <c r="P46" t="s">
        <v>264</v>
      </c>
      <c r="Q46" t="s">
        <v>264</v>
      </c>
      <c r="R46" t="s">
        <v>264</v>
      </c>
      <c r="S46" t="s">
        <v>264</v>
      </c>
      <c r="T46" t="s">
        <v>264</v>
      </c>
      <c r="U46" t="s">
        <v>264</v>
      </c>
      <c r="V46" t="s">
        <v>264</v>
      </c>
      <c r="W46" t="s">
        <v>264</v>
      </c>
      <c r="X46" t="s">
        <v>264</v>
      </c>
      <c r="Y46" t="s">
        <v>264</v>
      </c>
      <c r="Z46" t="s">
        <v>264</v>
      </c>
      <c r="AA46" t="s">
        <v>264</v>
      </c>
      <c r="AB46" t="s">
        <v>264</v>
      </c>
      <c r="AC46" t="s">
        <v>264</v>
      </c>
      <c r="AD46" t="s">
        <v>264</v>
      </c>
      <c r="AE46" t="s">
        <v>264</v>
      </c>
      <c r="AF46" t="s">
        <v>264</v>
      </c>
      <c r="AG46" t="s">
        <v>264</v>
      </c>
      <c r="AH46" t="s">
        <v>264</v>
      </c>
      <c r="AI46" t="s">
        <v>264</v>
      </c>
      <c r="AJ46" t="s">
        <v>264</v>
      </c>
      <c r="AK46" t="s">
        <v>264</v>
      </c>
      <c r="AL46" t="s">
        <v>264</v>
      </c>
      <c r="AM46" t="s">
        <v>264</v>
      </c>
      <c r="AN46" t="s">
        <v>264</v>
      </c>
      <c r="AO46" t="s">
        <v>264</v>
      </c>
      <c r="AP46" t="s">
        <v>264</v>
      </c>
      <c r="AQ46" t="s">
        <v>264</v>
      </c>
      <c r="AR46" t="s">
        <v>264</v>
      </c>
      <c r="AS46" t="s">
        <v>264</v>
      </c>
      <c r="AT46" t="s">
        <v>264</v>
      </c>
      <c r="AU46" t="s">
        <v>264</v>
      </c>
      <c r="AV46" t="s">
        <v>264</v>
      </c>
      <c r="AW46" t="s">
        <v>264</v>
      </c>
      <c r="AX46" t="s">
        <v>264</v>
      </c>
      <c r="AY46" t="s">
        <v>264</v>
      </c>
      <c r="AZ46" t="s">
        <v>264</v>
      </c>
    </row>
    <row r="47">
      <c r="A47" s="447" t="str">
        <f t="array" ref="A47:AZ47">TRANSPOSE(indirect(Exploits!B49&amp;"!A:A"))</f>
        <v>Fast Learner</v>
      </c>
      <c r="B47" t="s">
        <v>264</v>
      </c>
      <c r="C47" t="s">
        <v>264</v>
      </c>
      <c r="D47" t="s">
        <v>264</v>
      </c>
      <c r="E47" t="s">
        <v>264</v>
      </c>
      <c r="F47" t="s">
        <v>264</v>
      </c>
      <c r="G47" t="s">
        <v>264</v>
      </c>
      <c r="H47" t="s">
        <v>264</v>
      </c>
      <c r="I47" t="s">
        <v>264</v>
      </c>
      <c r="J47" t="s">
        <v>264</v>
      </c>
      <c r="K47" t="s">
        <v>264</v>
      </c>
      <c r="L47" t="s">
        <v>264</v>
      </c>
      <c r="M47" t="s">
        <v>264</v>
      </c>
      <c r="N47" t="s">
        <v>264</v>
      </c>
      <c r="O47" t="s">
        <v>264</v>
      </c>
      <c r="P47" t="s">
        <v>264</v>
      </c>
      <c r="Q47" t="s">
        <v>264</v>
      </c>
      <c r="R47" t="s">
        <v>264</v>
      </c>
      <c r="S47" t="s">
        <v>264</v>
      </c>
      <c r="T47" t="s">
        <v>264</v>
      </c>
      <c r="U47" t="s">
        <v>264</v>
      </c>
      <c r="V47" t="s">
        <v>264</v>
      </c>
      <c r="W47" t="s">
        <v>264</v>
      </c>
      <c r="X47" t="s">
        <v>264</v>
      </c>
      <c r="Y47" t="s">
        <v>264</v>
      </c>
      <c r="Z47" t="s">
        <v>264</v>
      </c>
      <c r="AA47" t="s">
        <v>264</v>
      </c>
      <c r="AB47" t="s">
        <v>264</v>
      </c>
      <c r="AC47" t="s">
        <v>264</v>
      </c>
      <c r="AD47" t="s">
        <v>264</v>
      </c>
      <c r="AE47" t="s">
        <v>264</v>
      </c>
      <c r="AF47" t="s">
        <v>264</v>
      </c>
      <c r="AG47" t="s">
        <v>264</v>
      </c>
      <c r="AH47" t="s">
        <v>264</v>
      </c>
      <c r="AI47" t="s">
        <v>264</v>
      </c>
      <c r="AJ47" t="s">
        <v>264</v>
      </c>
      <c r="AK47" t="s">
        <v>264</v>
      </c>
      <c r="AL47" t="s">
        <v>264</v>
      </c>
      <c r="AM47" t="s">
        <v>264</v>
      </c>
      <c r="AN47" t="s">
        <v>264</v>
      </c>
      <c r="AO47" t="s">
        <v>264</v>
      </c>
      <c r="AP47" t="s">
        <v>264</v>
      </c>
      <c r="AQ47" t="s">
        <v>264</v>
      </c>
      <c r="AR47" t="s">
        <v>264</v>
      </c>
      <c r="AS47" t="s">
        <v>264</v>
      </c>
      <c r="AT47" t="s">
        <v>264</v>
      </c>
      <c r="AU47" t="s">
        <v>264</v>
      </c>
      <c r="AV47" t="s">
        <v>264</v>
      </c>
      <c r="AW47" t="s">
        <v>264</v>
      </c>
      <c r="AX47" t="s">
        <v>264</v>
      </c>
      <c r="AY47" t="s">
        <v>264</v>
      </c>
      <c r="AZ47" t="s">
        <v>264</v>
      </c>
    </row>
    <row r="48">
      <c r="A48" s="447" t="str">
        <f t="array" ref="A48:AZ48">TRANSPOSE(indirect(Exploits!B50&amp;"!A:A"))</f>
        <v>Fast Learner</v>
      </c>
      <c r="B48" t="s">
        <v>264</v>
      </c>
      <c r="C48" t="s">
        <v>264</v>
      </c>
      <c r="D48" t="s">
        <v>264</v>
      </c>
      <c r="E48" t="s">
        <v>264</v>
      </c>
      <c r="F48" t="s">
        <v>264</v>
      </c>
      <c r="G48" t="s">
        <v>264</v>
      </c>
      <c r="H48" t="s">
        <v>264</v>
      </c>
      <c r="I48" t="s">
        <v>264</v>
      </c>
      <c r="J48" t="s">
        <v>264</v>
      </c>
      <c r="K48" t="s">
        <v>264</v>
      </c>
      <c r="L48" t="s">
        <v>264</v>
      </c>
      <c r="M48" t="s">
        <v>264</v>
      </c>
      <c r="N48" t="s">
        <v>264</v>
      </c>
      <c r="O48" t="s">
        <v>264</v>
      </c>
      <c r="P48" t="s">
        <v>264</v>
      </c>
      <c r="Q48" t="s">
        <v>264</v>
      </c>
      <c r="R48" t="s">
        <v>264</v>
      </c>
      <c r="S48" t="s">
        <v>264</v>
      </c>
      <c r="T48" t="s">
        <v>264</v>
      </c>
      <c r="U48" t="s">
        <v>264</v>
      </c>
      <c r="V48" t="s">
        <v>264</v>
      </c>
      <c r="W48" t="s">
        <v>264</v>
      </c>
      <c r="X48" t="s">
        <v>264</v>
      </c>
      <c r="Y48" t="s">
        <v>264</v>
      </c>
      <c r="Z48" t="s">
        <v>264</v>
      </c>
      <c r="AA48" t="s">
        <v>264</v>
      </c>
      <c r="AB48" t="s">
        <v>264</v>
      </c>
      <c r="AC48" t="s">
        <v>264</v>
      </c>
      <c r="AD48" t="s">
        <v>264</v>
      </c>
      <c r="AE48" t="s">
        <v>264</v>
      </c>
      <c r="AF48" t="s">
        <v>264</v>
      </c>
      <c r="AG48" t="s">
        <v>264</v>
      </c>
      <c r="AH48" t="s">
        <v>264</v>
      </c>
      <c r="AI48" t="s">
        <v>264</v>
      </c>
      <c r="AJ48" t="s">
        <v>264</v>
      </c>
      <c r="AK48" t="s">
        <v>264</v>
      </c>
      <c r="AL48" t="s">
        <v>264</v>
      </c>
      <c r="AM48" t="s">
        <v>264</v>
      </c>
      <c r="AN48" t="s">
        <v>264</v>
      </c>
      <c r="AO48" t="s">
        <v>264</v>
      </c>
      <c r="AP48" t="s">
        <v>264</v>
      </c>
      <c r="AQ48" t="s">
        <v>264</v>
      </c>
      <c r="AR48" t="s">
        <v>264</v>
      </c>
      <c r="AS48" t="s">
        <v>264</v>
      </c>
      <c r="AT48" t="s">
        <v>264</v>
      </c>
      <c r="AU48" t="s">
        <v>264</v>
      </c>
      <c r="AV48" t="s">
        <v>264</v>
      </c>
      <c r="AW48" t="s">
        <v>264</v>
      </c>
      <c r="AX48" t="s">
        <v>264</v>
      </c>
      <c r="AY48" t="s">
        <v>264</v>
      </c>
      <c r="AZ48" t="s">
        <v>264</v>
      </c>
    </row>
    <row r="49">
      <c r="A49" s="447" t="str">
        <f t="array" ref="A49:AZ49">TRANSPOSE(indirect(Exploits!B51&amp;"!A:A"))</f>
        <v>Fast Learner</v>
      </c>
      <c r="B49" t="s">
        <v>264</v>
      </c>
      <c r="C49" t="s">
        <v>264</v>
      </c>
      <c r="D49" t="s">
        <v>264</v>
      </c>
      <c r="E49" t="s">
        <v>264</v>
      </c>
      <c r="F49" t="s">
        <v>264</v>
      </c>
      <c r="G49" t="s">
        <v>264</v>
      </c>
      <c r="H49" t="s">
        <v>264</v>
      </c>
      <c r="I49" t="s">
        <v>264</v>
      </c>
      <c r="J49" t="s">
        <v>264</v>
      </c>
      <c r="K49" t="s">
        <v>264</v>
      </c>
      <c r="L49" t="s">
        <v>264</v>
      </c>
      <c r="M49" t="s">
        <v>264</v>
      </c>
      <c r="N49" t="s">
        <v>264</v>
      </c>
      <c r="O49" t="s">
        <v>264</v>
      </c>
      <c r="P49" t="s">
        <v>264</v>
      </c>
      <c r="Q49" t="s">
        <v>264</v>
      </c>
      <c r="R49" t="s">
        <v>264</v>
      </c>
      <c r="S49" t="s">
        <v>264</v>
      </c>
      <c r="T49" t="s">
        <v>264</v>
      </c>
      <c r="U49" t="s">
        <v>264</v>
      </c>
      <c r="V49" t="s">
        <v>264</v>
      </c>
      <c r="W49" t="s">
        <v>264</v>
      </c>
      <c r="X49" t="s">
        <v>264</v>
      </c>
      <c r="Y49" t="s">
        <v>264</v>
      </c>
      <c r="Z49" t="s">
        <v>264</v>
      </c>
      <c r="AA49" t="s">
        <v>264</v>
      </c>
      <c r="AB49" t="s">
        <v>264</v>
      </c>
      <c r="AC49" t="s">
        <v>264</v>
      </c>
      <c r="AD49" t="s">
        <v>264</v>
      </c>
      <c r="AE49" t="s">
        <v>264</v>
      </c>
      <c r="AF49" t="s">
        <v>264</v>
      </c>
      <c r="AG49" t="s">
        <v>264</v>
      </c>
      <c r="AH49" t="s">
        <v>264</v>
      </c>
      <c r="AI49" t="s">
        <v>264</v>
      </c>
      <c r="AJ49" t="s">
        <v>264</v>
      </c>
      <c r="AK49" t="s">
        <v>264</v>
      </c>
      <c r="AL49" t="s">
        <v>264</v>
      </c>
      <c r="AM49" t="s">
        <v>264</v>
      </c>
      <c r="AN49" t="s">
        <v>264</v>
      </c>
      <c r="AO49" t="s">
        <v>264</v>
      </c>
      <c r="AP49" t="s">
        <v>264</v>
      </c>
      <c r="AQ49" t="s">
        <v>264</v>
      </c>
      <c r="AR49" t="s">
        <v>264</v>
      </c>
      <c r="AS49" t="s">
        <v>264</v>
      </c>
      <c r="AT49" t="s">
        <v>264</v>
      </c>
      <c r="AU49" t="s">
        <v>264</v>
      </c>
      <c r="AV49" t="s">
        <v>264</v>
      </c>
      <c r="AW49" t="s">
        <v>264</v>
      </c>
      <c r="AX49" t="s">
        <v>264</v>
      </c>
      <c r="AY49" t="s">
        <v>264</v>
      </c>
      <c r="AZ49" t="s">
        <v>264</v>
      </c>
    </row>
    <row r="50">
      <c r="A50" s="447" t="str">
        <f t="array" ref="A50:AZ50">TRANSPOSE(indirect(Exploits!B52&amp;"!A:A"))</f>
        <v>Fast Learner</v>
      </c>
      <c r="B50" t="s">
        <v>264</v>
      </c>
      <c r="C50" t="s">
        <v>264</v>
      </c>
      <c r="D50" t="s">
        <v>264</v>
      </c>
      <c r="E50" t="s">
        <v>264</v>
      </c>
      <c r="F50" t="s">
        <v>264</v>
      </c>
      <c r="G50" t="s">
        <v>264</v>
      </c>
      <c r="H50" t="s">
        <v>264</v>
      </c>
      <c r="I50" t="s">
        <v>264</v>
      </c>
      <c r="J50" t="s">
        <v>264</v>
      </c>
      <c r="K50" t="s">
        <v>264</v>
      </c>
      <c r="L50" t="s">
        <v>264</v>
      </c>
      <c r="M50" t="s">
        <v>264</v>
      </c>
      <c r="N50" t="s">
        <v>264</v>
      </c>
      <c r="O50" t="s">
        <v>264</v>
      </c>
      <c r="P50" t="s">
        <v>264</v>
      </c>
      <c r="Q50" t="s">
        <v>264</v>
      </c>
      <c r="R50" t="s">
        <v>264</v>
      </c>
      <c r="S50" t="s">
        <v>264</v>
      </c>
      <c r="T50" t="s">
        <v>264</v>
      </c>
      <c r="U50" t="s">
        <v>264</v>
      </c>
      <c r="V50" t="s">
        <v>264</v>
      </c>
      <c r="W50" t="s">
        <v>264</v>
      </c>
      <c r="X50" t="s">
        <v>264</v>
      </c>
      <c r="Y50" t="s">
        <v>264</v>
      </c>
      <c r="Z50" t="s">
        <v>264</v>
      </c>
      <c r="AA50" t="s">
        <v>264</v>
      </c>
      <c r="AB50" t="s">
        <v>264</v>
      </c>
      <c r="AC50" t="s">
        <v>264</v>
      </c>
      <c r="AD50" t="s">
        <v>264</v>
      </c>
      <c r="AE50" t="s">
        <v>264</v>
      </c>
      <c r="AF50" t="s">
        <v>264</v>
      </c>
      <c r="AG50" t="s">
        <v>264</v>
      </c>
      <c r="AH50" t="s">
        <v>264</v>
      </c>
      <c r="AI50" t="s">
        <v>264</v>
      </c>
      <c r="AJ50" t="s">
        <v>264</v>
      </c>
      <c r="AK50" t="s">
        <v>264</v>
      </c>
      <c r="AL50" t="s">
        <v>264</v>
      </c>
      <c r="AM50" t="s">
        <v>264</v>
      </c>
      <c r="AN50" t="s">
        <v>264</v>
      </c>
      <c r="AO50" t="s">
        <v>264</v>
      </c>
      <c r="AP50" t="s">
        <v>264</v>
      </c>
      <c r="AQ50" t="s">
        <v>264</v>
      </c>
      <c r="AR50" t="s">
        <v>264</v>
      </c>
      <c r="AS50" t="s">
        <v>264</v>
      </c>
      <c r="AT50" t="s">
        <v>264</v>
      </c>
      <c r="AU50" t="s">
        <v>264</v>
      </c>
      <c r="AV50" t="s">
        <v>264</v>
      </c>
      <c r="AW50" t="s">
        <v>264</v>
      </c>
      <c r="AX50" t="s">
        <v>264</v>
      </c>
      <c r="AY50" t="s">
        <v>264</v>
      </c>
      <c r="AZ50" t="s">
        <v>264</v>
      </c>
    </row>
    <row r="51">
      <c r="A51" s="447" t="str">
        <f t="array" ref="A51:AZ51">TRANSPOSE(indirect(Exploits!B53&amp;"!A:A"))</f>
        <v>Fast Learner</v>
      </c>
      <c r="B51" t="s">
        <v>264</v>
      </c>
      <c r="C51" t="s">
        <v>264</v>
      </c>
      <c r="D51" t="s">
        <v>264</v>
      </c>
      <c r="E51" t="s">
        <v>264</v>
      </c>
      <c r="F51" t="s">
        <v>264</v>
      </c>
      <c r="G51" t="s">
        <v>264</v>
      </c>
      <c r="H51" t="s">
        <v>264</v>
      </c>
      <c r="I51" t="s">
        <v>264</v>
      </c>
      <c r="J51" t="s">
        <v>264</v>
      </c>
      <c r="K51" t="s">
        <v>264</v>
      </c>
      <c r="L51" t="s">
        <v>264</v>
      </c>
      <c r="M51" t="s">
        <v>264</v>
      </c>
      <c r="N51" t="s">
        <v>264</v>
      </c>
      <c r="O51" t="s">
        <v>264</v>
      </c>
      <c r="P51" t="s">
        <v>264</v>
      </c>
      <c r="Q51" t="s">
        <v>264</v>
      </c>
      <c r="R51" t="s">
        <v>264</v>
      </c>
      <c r="S51" t="s">
        <v>264</v>
      </c>
      <c r="T51" t="s">
        <v>264</v>
      </c>
      <c r="U51" t="s">
        <v>264</v>
      </c>
      <c r="V51" t="s">
        <v>264</v>
      </c>
      <c r="W51" t="s">
        <v>264</v>
      </c>
      <c r="X51" t="s">
        <v>264</v>
      </c>
      <c r="Y51" t="s">
        <v>264</v>
      </c>
      <c r="Z51" t="s">
        <v>264</v>
      </c>
      <c r="AA51" t="s">
        <v>264</v>
      </c>
      <c r="AB51" t="s">
        <v>264</v>
      </c>
      <c r="AC51" t="s">
        <v>264</v>
      </c>
      <c r="AD51" t="s">
        <v>264</v>
      </c>
      <c r="AE51" t="s">
        <v>264</v>
      </c>
      <c r="AF51" t="s">
        <v>264</v>
      </c>
      <c r="AG51" t="s">
        <v>264</v>
      </c>
      <c r="AH51" t="s">
        <v>264</v>
      </c>
      <c r="AI51" t="s">
        <v>264</v>
      </c>
      <c r="AJ51" t="s">
        <v>264</v>
      </c>
      <c r="AK51" t="s">
        <v>264</v>
      </c>
      <c r="AL51" t="s">
        <v>264</v>
      </c>
      <c r="AM51" t="s">
        <v>264</v>
      </c>
      <c r="AN51" t="s">
        <v>264</v>
      </c>
      <c r="AO51" t="s">
        <v>264</v>
      </c>
      <c r="AP51" t="s">
        <v>264</v>
      </c>
      <c r="AQ51" t="s">
        <v>264</v>
      </c>
      <c r="AR51" t="s">
        <v>264</v>
      </c>
      <c r="AS51" t="s">
        <v>264</v>
      </c>
      <c r="AT51" t="s">
        <v>264</v>
      </c>
      <c r="AU51" t="s">
        <v>264</v>
      </c>
      <c r="AV51" t="s">
        <v>264</v>
      </c>
      <c r="AW51" t="s">
        <v>264</v>
      </c>
      <c r="AX51" t="s">
        <v>264</v>
      </c>
      <c r="AY51" t="s">
        <v>264</v>
      </c>
      <c r="AZ51" t="s">
        <v>264</v>
      </c>
    </row>
    <row r="52">
      <c r="A52" s="447" t="str">
        <f t="array" ref="A52:AZ52">TRANSPOSE(indirect(Exploits!B54&amp;"!A:A"))</f>
        <v>Fast Learner</v>
      </c>
      <c r="B52" t="s">
        <v>264</v>
      </c>
      <c r="C52" t="s">
        <v>264</v>
      </c>
      <c r="D52" t="s">
        <v>264</v>
      </c>
      <c r="E52" t="s">
        <v>264</v>
      </c>
      <c r="F52" t="s">
        <v>264</v>
      </c>
      <c r="G52" t="s">
        <v>264</v>
      </c>
      <c r="H52" t="s">
        <v>264</v>
      </c>
      <c r="I52" t="s">
        <v>264</v>
      </c>
      <c r="J52" t="s">
        <v>264</v>
      </c>
      <c r="K52" t="s">
        <v>264</v>
      </c>
      <c r="L52" t="s">
        <v>264</v>
      </c>
      <c r="M52" t="s">
        <v>264</v>
      </c>
      <c r="N52" t="s">
        <v>264</v>
      </c>
      <c r="O52" t="s">
        <v>264</v>
      </c>
      <c r="P52" t="s">
        <v>264</v>
      </c>
      <c r="Q52" t="s">
        <v>264</v>
      </c>
      <c r="R52" t="s">
        <v>264</v>
      </c>
      <c r="S52" t="s">
        <v>264</v>
      </c>
      <c r="T52" t="s">
        <v>264</v>
      </c>
      <c r="U52" t="s">
        <v>264</v>
      </c>
      <c r="V52" t="s">
        <v>264</v>
      </c>
      <c r="W52" t="s">
        <v>264</v>
      </c>
      <c r="X52" t="s">
        <v>264</v>
      </c>
      <c r="Y52" t="s">
        <v>264</v>
      </c>
      <c r="Z52" t="s">
        <v>264</v>
      </c>
      <c r="AA52" t="s">
        <v>264</v>
      </c>
      <c r="AB52" t="s">
        <v>264</v>
      </c>
      <c r="AC52" t="s">
        <v>264</v>
      </c>
      <c r="AD52" t="s">
        <v>264</v>
      </c>
      <c r="AE52" t="s">
        <v>264</v>
      </c>
      <c r="AF52" t="s">
        <v>264</v>
      </c>
      <c r="AG52" t="s">
        <v>264</v>
      </c>
      <c r="AH52" t="s">
        <v>264</v>
      </c>
      <c r="AI52" t="s">
        <v>264</v>
      </c>
      <c r="AJ52" t="s">
        <v>264</v>
      </c>
      <c r="AK52" t="s">
        <v>264</v>
      </c>
      <c r="AL52" t="s">
        <v>264</v>
      </c>
      <c r="AM52" t="s">
        <v>264</v>
      </c>
      <c r="AN52" t="s">
        <v>264</v>
      </c>
      <c r="AO52" t="s">
        <v>264</v>
      </c>
      <c r="AP52" t="s">
        <v>264</v>
      </c>
      <c r="AQ52" t="s">
        <v>264</v>
      </c>
      <c r="AR52" t="s">
        <v>264</v>
      </c>
      <c r="AS52" t="s">
        <v>264</v>
      </c>
      <c r="AT52" t="s">
        <v>264</v>
      </c>
      <c r="AU52" t="s">
        <v>264</v>
      </c>
      <c r="AV52" t="s">
        <v>264</v>
      </c>
      <c r="AW52" t="s">
        <v>264</v>
      </c>
      <c r="AX52" t="s">
        <v>264</v>
      </c>
      <c r="AY52" t="s">
        <v>264</v>
      </c>
      <c r="AZ52" t="s">
        <v>264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""Combat!B3:B""),""SELECT * WHERE Col1 IS NOT NULL"",0)"),"Combat Improvision")</f>
        <v>Combat Improvision</v>
      </c>
      <c r="B1" s="448"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48"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48"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49">
        <f>IFERROR(__xludf.DUMMYFUNCTION("QUERY(IMPORTRANGE(""1koQqL7bV1rMPtlmhZblwVeK5weyiTfFQ3POD_grK7Rc"", ""Combat!C3:C""),""SELECT * WHERE Col1 IS NOT NULL"",0)"),12.0)</f>
        <v>12</v>
      </c>
      <c r="F1" s="448"/>
      <c r="G1" s="448"/>
      <c r="H1" s="448"/>
      <c r="I1" s="448"/>
      <c r="J1" s="448"/>
      <c r="K1" s="448"/>
      <c r="L1" s="448"/>
      <c r="M1" s="448"/>
      <c r="N1" s="448"/>
      <c r="O1" s="448"/>
      <c r="P1" s="448"/>
      <c r="Q1" s="448"/>
      <c r="R1" s="448"/>
      <c r="S1" s="448"/>
      <c r="T1" s="448"/>
      <c r="U1" s="448"/>
      <c r="V1" s="448"/>
    </row>
    <row r="2">
      <c r="A2" s="448" t="str">
        <f>IFERROR(__xludf.DUMMYFUNCTION("""COMPUTED_VALUE"""),"Way of the Fists")</f>
        <v>Way of the Fists</v>
      </c>
      <c r="B2" s="448"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48"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48"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50">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IFERROR(__xludf.DUMMYFUNCTION("""COMPUTED_VALUE"""),"Battle Momentum")</f>
        <v>Battle Momentum</v>
      </c>
      <c r="B3" s="448" t="str">
        <f>IFERROR(__xludf.DUMMYFUNCTION("""COMPUTED_VALUE"""),"[Any Melee Martial Arts Skill 6]
Successful melee attacks give you a free spontaneous 5 foot step.
")</f>
        <v>[Any Melee Martial Arts Skill 6]
Successful melee attacks give you a free spontaneous 5 foot step.
</v>
      </c>
      <c r="C3" s="448"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48"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49">
        <f>IFERROR(__xludf.DUMMYFUNCTION("""COMPUTED_VALUE"""),13.0)</f>
        <v>13</v>
      </c>
      <c r="F3" s="448"/>
      <c r="G3" s="448"/>
      <c r="H3" s="448"/>
      <c r="I3" s="448"/>
      <c r="J3" s="448"/>
      <c r="K3" s="448"/>
      <c r="L3" s="448"/>
      <c r="M3" s="448"/>
      <c r="N3" s="448"/>
      <c r="O3" s="448"/>
      <c r="P3" s="448"/>
      <c r="Q3" s="448"/>
      <c r="R3" s="448"/>
      <c r="S3" s="448"/>
      <c r="T3" s="448"/>
      <c r="U3" s="448"/>
      <c r="V3" s="448"/>
    </row>
    <row r="4">
      <c r="A4" s="448" t="str">
        <f>IFERROR(__xludf.DUMMYFUNCTION("""COMPUTED_VALUE"""),"Battle Proficiency")</f>
        <v>Battle Proficiency</v>
      </c>
      <c r="B4" s="448" t="str">
        <f>IFERROR(__xludf.DUMMYFUNCTION("""COMPUTED_VALUE"""),"[Any Martial Arts Skill 6]
+1 Mod to all Martial Arts Skills")</f>
        <v>[Any Martial Arts Skill 6]
+1 Mod to all Martial Arts Skills</v>
      </c>
      <c r="C4" s="448"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48"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49">
        <f>IFERROR(__xludf.DUMMYFUNCTION("""COMPUTED_VALUE"""),8.0)</f>
        <v>8</v>
      </c>
      <c r="F4" s="448"/>
      <c r="G4" s="448"/>
      <c r="H4" s="448"/>
      <c r="I4" s="448"/>
      <c r="J4" s="448"/>
      <c r="K4" s="448"/>
      <c r="L4" s="448"/>
      <c r="M4" s="448"/>
      <c r="N4" s="448"/>
      <c r="O4" s="448"/>
      <c r="P4" s="448"/>
      <c r="Q4" s="448"/>
      <c r="R4" s="448"/>
      <c r="S4" s="448"/>
      <c r="T4" s="448"/>
      <c r="U4" s="448"/>
      <c r="V4" s="448"/>
    </row>
    <row r="5">
      <c r="A5" s="448" t="str">
        <f>IFERROR(__xludf.DUMMYFUNCTION("""COMPUTED_VALUE"""),"Brawler")</f>
        <v>Brawler</v>
      </c>
      <c r="B5" s="448" t="str">
        <f>IFERROR(__xludf.DUMMYFUNCTION("""COMPUTED_VALUE"""),"[Unarmed 4]
Unarmed Mod +2
")</f>
        <v>[Unarmed 4]
Unarmed Mod +2
</v>
      </c>
      <c r="C5" s="448" t="str">
        <f>IFERROR(__xludf.DUMMYFUNCTION("""COMPUTED_VALUE"""),"[Unarmed 9]
Unarmed Mod +4
")</f>
        <v>[Unarmed 9]
Unarmed Mod +4
</v>
      </c>
      <c r="D5" s="448"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49">
        <f>IFERROR(__xludf.DUMMYFUNCTION("""COMPUTED_VALUE"""),10.0)</f>
        <v>10</v>
      </c>
      <c r="F5" s="448"/>
      <c r="G5" s="448"/>
      <c r="H5" s="448"/>
      <c r="I5" s="448"/>
      <c r="J5" s="448"/>
      <c r="K5" s="448"/>
      <c r="L5" s="448"/>
      <c r="M5" s="448"/>
      <c r="N5" s="448"/>
      <c r="O5" s="448"/>
      <c r="P5" s="448"/>
      <c r="Q5" s="448"/>
      <c r="R5" s="448"/>
      <c r="S5" s="448"/>
      <c r="T5" s="448"/>
      <c r="U5" s="448"/>
      <c r="V5" s="448"/>
    </row>
    <row r="6">
      <c r="A6" s="448" t="str">
        <f>IFERROR(__xludf.DUMMYFUNCTION("""COMPUTED_VALUE"""),"Combat Endurance")</f>
        <v>Combat Endurance</v>
      </c>
      <c r="B6" s="448" t="str">
        <f>IFERROR(__xludf.DUMMYFUNCTION("""COMPUTED_VALUE"""),"[Combined Athletics 10]
+2 to Virility Mod.
")</f>
        <v>[Combined Athletics 10]
+2 to Virility Mod.
</v>
      </c>
      <c r="C6" s="448" t="str">
        <f>IFERROR(__xludf.DUMMYFUNCTION("""COMPUTED_VALUE"""),"[CON 4]
+2 to Virility Mod; +5 to Base Endurance
")</f>
        <v>[CON 4]
+2 to Virility Mod; +5 to Base Endurance
</v>
      </c>
      <c r="D6" s="448" t="str">
        <f>IFERROR(__xludf.DUMMYFUNCTION("""COMPUTED_VALUE"""),"[Survival 12]
+3 to Virility Mod; +5 to Base Endurance; +1 to Base Resist.")</f>
        <v>[Survival 12]
+3 to Virility Mod; +5 to Base Endurance; +1 to Base Resist.</v>
      </c>
      <c r="E6" s="449">
        <f>IFERROR(__xludf.DUMMYFUNCTION("""COMPUTED_VALUE"""),11.0)</f>
        <v>11</v>
      </c>
      <c r="F6" s="448"/>
      <c r="G6" s="448"/>
      <c r="H6" s="448"/>
      <c r="I6" s="448"/>
      <c r="J6" s="448"/>
      <c r="K6" s="448"/>
      <c r="L6" s="448"/>
      <c r="M6" s="448"/>
      <c r="N6" s="448"/>
      <c r="O6" s="448"/>
      <c r="P6" s="448"/>
      <c r="Q6" s="448"/>
      <c r="R6" s="448"/>
      <c r="S6" s="448"/>
      <c r="T6" s="448"/>
      <c r="U6" s="448"/>
      <c r="V6" s="448"/>
    </row>
    <row r="7">
      <c r="A7" s="448" t="str">
        <f>IFERROR(__xludf.DUMMYFUNCTION("""COMPUTED_VALUE"""),"Combat Prowess")</f>
        <v>Combat Prowess</v>
      </c>
      <c r="B7" s="448" t="str">
        <f>IFERROR(__xludf.DUMMYFUNCTION("""COMPUTED_VALUE"""),"[Fought in a battle; Any Martial Arts Skill 4]
+1 APT
")</f>
        <v>[Fought in a battle; Any Martial Arts Skill 4]
+1 APT
</v>
      </c>
      <c r="C7" s="448" t="str">
        <f>IFERROR(__xludf.DUMMYFUNCTION("""COMPUTED_VALUE"""),"[Any Martial Arts Skill 8]
+1 APT; +2 to Nimbleness Mod.
")</f>
        <v>[Any Martial Arts Skill 8]
+1 APT; +2 to Nimbleness Mod.
</v>
      </c>
      <c r="D7" s="448"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49">
        <f>IFERROR(__xludf.DUMMYFUNCTION("""COMPUTED_VALUE"""),9.0)</f>
        <v>9</v>
      </c>
      <c r="F7" s="448"/>
      <c r="G7" s="448"/>
      <c r="H7" s="448"/>
      <c r="I7" s="448"/>
      <c r="J7" s="448"/>
      <c r="K7" s="448"/>
      <c r="L7" s="448"/>
      <c r="M7" s="448"/>
      <c r="N7" s="448"/>
      <c r="O7" s="448"/>
      <c r="P7" s="448"/>
      <c r="Q7" s="448"/>
      <c r="R7" s="448"/>
      <c r="S7" s="448"/>
      <c r="T7" s="448"/>
      <c r="U7" s="448"/>
      <c r="V7" s="448"/>
    </row>
    <row r="8">
      <c r="A8" s="448" t="str">
        <f>IFERROR(__xludf.DUMMYFUNCTION("""COMPUTED_VALUE"""),"Combat Tactics")</f>
        <v>Combat Tactics</v>
      </c>
      <c r="B8" s="448"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48"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48"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49">
        <f>IFERROR(__xludf.DUMMYFUNCTION("""COMPUTED_VALUE"""),11.0)</f>
        <v>11</v>
      </c>
      <c r="F8" s="448"/>
      <c r="G8" s="448"/>
      <c r="H8" s="448"/>
      <c r="I8" s="448"/>
      <c r="J8" s="448"/>
      <c r="K8" s="448"/>
      <c r="L8" s="448"/>
      <c r="M8" s="448"/>
      <c r="N8" s="448"/>
      <c r="O8" s="448"/>
      <c r="P8" s="448"/>
      <c r="Q8" s="448"/>
      <c r="R8" s="448"/>
      <c r="S8" s="448"/>
      <c r="T8" s="448"/>
      <c r="U8" s="448"/>
      <c r="V8" s="448"/>
    </row>
    <row r="9">
      <c r="A9" s="448" t="str">
        <f>IFERROR(__xludf.DUMMYFUNCTION("""COMPUTED_VALUE"""),"Counter Combatives")</f>
        <v>Counter Combatives</v>
      </c>
      <c r="B9" s="448"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48"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48"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49">
        <f>IFERROR(__xludf.DUMMYFUNCTION("""COMPUTED_VALUE"""),13.0)</f>
        <v>13</v>
      </c>
      <c r="F9" s="448"/>
      <c r="G9" s="448"/>
      <c r="H9" s="448"/>
      <c r="I9" s="448"/>
      <c r="J9" s="448"/>
      <c r="K9" s="448"/>
      <c r="L9" s="448"/>
      <c r="M9" s="448"/>
      <c r="N9" s="448"/>
      <c r="O9" s="448"/>
      <c r="P9" s="448"/>
      <c r="Q9" s="448"/>
      <c r="R9" s="448"/>
      <c r="S9" s="448"/>
      <c r="T9" s="448"/>
      <c r="U9" s="448"/>
      <c r="V9" s="448"/>
    </row>
    <row r="10">
      <c r="A10" s="448" t="str">
        <f>IFERROR(__xludf.DUMMYFUNCTION("""COMPUTED_VALUE"""),"Destroy Guard")</f>
        <v>Destroy Guard</v>
      </c>
      <c r="B10" s="448" t="str">
        <f>IFERROR(__xludf.DUMMYFUNCTION("""COMPUTED_VALUE"""),"[Unarmed 10]
A successful unarmed attack removes a Defensive action from the creature attacked.
")</f>
        <v>[Unarmed 10]
A successful unarmed attack removes a Defensive action from the creature attacked.
</v>
      </c>
      <c r="C10" s="448" t="str">
        <f>IFERROR(__xludf.DUMMYFUNCTION("""COMPUTED_VALUE"""),"-[]")</f>
        <v>-[]</v>
      </c>
      <c r="D10" s="448" t="str">
        <f>IFERROR(__xludf.DUMMYFUNCTION("""COMPUTED_VALUE"""),"-[]")</f>
        <v>-[]</v>
      </c>
      <c r="E10" s="449">
        <f>IFERROR(__xludf.DUMMYFUNCTION("""COMPUTED_VALUE"""),20.0)</f>
        <v>20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IFERROR(__xludf.DUMMYFUNCTION("""COMPUTED_VALUE"""),"Die Hard")</f>
        <v>Die Hard</v>
      </c>
      <c r="B11" s="448" t="str">
        <f>IFERROR(__xludf.DUMMYFUNCTION("""COMPUTED_VALUE"""),"[Must have fallen unconcious during a battle; CON 4]
+2 Conviction Mod")</f>
        <v>[Must have fallen unconcious during a battle; CON 4]
+2 Conviction Mod</v>
      </c>
      <c r="C11" s="448" t="str">
        <f>IFERROR(__xludf.DUMMYFUNCTION("""COMPUTED_VALUE"""),"[CHA 4]
+2 Conviction Mod; +2 Virility Mod. ")</f>
        <v>[CHA 4]
+2 Conviction Mod; +2 Virility Mod. </v>
      </c>
      <c r="D11" s="448" t="str">
        <f>IFERROR(__xludf.DUMMYFUNCTION("""COMPUTED_VALUE"""),"[Defied Death]
+2 Conviction Mod; +2 Virility Mod.; +1 mod to fate roll for defying death.")</f>
        <v>[Defied Death]
+2 Conviction Mod; +2 Virility Mod.; +1 mod to fate roll for defying death.</v>
      </c>
      <c r="E11" s="449">
        <f>IFERROR(__xludf.DUMMYFUNCTION("""COMPUTED_VALUE"""),9.0)</f>
        <v>9</v>
      </c>
      <c r="F11" s="448"/>
      <c r="G11" s="448"/>
      <c r="H11" s="448"/>
      <c r="I11" s="448"/>
      <c r="J11" s="448"/>
      <c r="K11" s="448"/>
      <c r="L11" s="448"/>
      <c r="M11" s="448"/>
      <c r="N11" s="448"/>
      <c r="O11" s="448"/>
      <c r="P11" s="448"/>
      <c r="Q11" s="448"/>
      <c r="R11" s="448"/>
      <c r="S11" s="448"/>
      <c r="T11" s="448"/>
      <c r="U11" s="448"/>
      <c r="V11" s="448"/>
    </row>
    <row r="12">
      <c r="A12" s="448" t="str">
        <f>IFERROR(__xludf.DUMMYFUNCTION("""COMPUTED_VALUE"""),"Dirty Fighter")</f>
        <v>Dirty Fighter</v>
      </c>
      <c r="B12" s="448"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48"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48"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49">
        <f>IFERROR(__xludf.DUMMYFUNCTION("""COMPUTED_VALUE"""),13.0)</f>
        <v>13</v>
      </c>
      <c r="F12" s="448"/>
      <c r="G12" s="448"/>
      <c r="H12" s="448"/>
      <c r="I12" s="448"/>
      <c r="J12" s="448"/>
      <c r="K12" s="448"/>
      <c r="L12" s="448"/>
      <c r="M12" s="448"/>
      <c r="N12" s="448"/>
      <c r="O12" s="448"/>
      <c r="P12" s="448"/>
      <c r="Q12" s="448"/>
      <c r="R12" s="448"/>
      <c r="S12" s="448"/>
      <c r="T12" s="448"/>
      <c r="U12" s="448"/>
      <c r="V12" s="448"/>
    </row>
    <row r="13">
      <c r="A13" s="448" t="str">
        <f>IFERROR(__xludf.DUMMYFUNCTION("""COMPUTED_VALUE"""),"Disarm")</f>
        <v>Disarm</v>
      </c>
      <c r="B13" s="448"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48"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48"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49">
        <f>IFERROR(__xludf.DUMMYFUNCTION("""COMPUTED_VALUE"""),9.0)</f>
        <v>9</v>
      </c>
      <c r="F13" s="448"/>
      <c r="G13" s="448"/>
      <c r="H13" s="448"/>
      <c r="I13" s="448"/>
      <c r="J13" s="448"/>
      <c r="K13" s="448"/>
      <c r="L13" s="448"/>
      <c r="M13" s="448"/>
      <c r="N13" s="448"/>
      <c r="O13" s="448"/>
      <c r="P13" s="448"/>
      <c r="Q13" s="448"/>
      <c r="R13" s="448"/>
      <c r="S13" s="448"/>
      <c r="T13" s="448"/>
      <c r="U13" s="448"/>
      <c r="V13" s="448"/>
    </row>
    <row r="14">
      <c r="A14" s="448" t="str">
        <f>IFERROR(__xludf.DUMMYFUNCTION("""COMPUTED_VALUE"""),"Double Tap... No, Triple Tap... Just Keep Shooting!")</f>
        <v>Double Tap... No, Triple Tap... Just Keep Shooting!</v>
      </c>
      <c r="B14" s="448"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48"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48"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49">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IFERROR(__xludf.DUMMYFUNCTION("""COMPUTED_VALUE"""),"Dual Wield")</f>
        <v>Dual Wield</v>
      </c>
      <c r="B15" s="448"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48"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48"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49">
        <f>IFERROR(__xludf.DUMMYFUNCTION("""COMPUTED_VALUE"""),9.0)</f>
        <v>9</v>
      </c>
      <c r="F15" s="448"/>
      <c r="G15" s="448"/>
      <c r="H15" s="448"/>
      <c r="I15" s="448"/>
      <c r="J15" s="448"/>
      <c r="K15" s="448"/>
      <c r="L15" s="448"/>
      <c r="M15" s="448"/>
      <c r="N15" s="448"/>
      <c r="O15" s="448"/>
      <c r="P15" s="448"/>
      <c r="Q15" s="448"/>
      <c r="R15" s="448"/>
      <c r="S15" s="448"/>
      <c r="T15" s="448"/>
      <c r="U15" s="448"/>
      <c r="V15" s="448"/>
    </row>
    <row r="16">
      <c r="A16" s="448" t="str">
        <f>IFERROR(__xludf.DUMMYFUNCTION("""COMPUTED_VALUE"""),"Envigorating Rally")</f>
        <v>Envigorating Rally</v>
      </c>
      <c r="B16" s="448"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48"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48"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49">
        <f>IFERROR(__xludf.DUMMYFUNCTION("""COMPUTED_VALUE"""),8.0)</f>
        <v>8</v>
      </c>
      <c r="F16" s="448"/>
      <c r="G16" s="448"/>
      <c r="H16" s="448"/>
      <c r="I16" s="448"/>
      <c r="J16" s="448"/>
      <c r="K16" s="448"/>
      <c r="L16" s="448"/>
      <c r="M16" s="448"/>
      <c r="N16" s="448"/>
      <c r="O16" s="448"/>
      <c r="P16" s="448"/>
      <c r="Q16" s="448"/>
      <c r="R16" s="448"/>
      <c r="S16" s="448"/>
      <c r="T16" s="448"/>
      <c r="U16" s="448"/>
      <c r="V16" s="448"/>
    </row>
    <row r="17">
      <c r="A17" s="448" t="str">
        <f>IFERROR(__xludf.DUMMYFUNCTION("""COMPUTED_VALUE"""),"Fighting Flow")</f>
        <v>Fighting Flow</v>
      </c>
      <c r="B17" s="448" t="str">
        <f>IFERROR(__xludf.DUMMYFUNCTION("""COMPUTED_VALUE"""),"[DEX 5]
Once per day during combat you may increase your ATP by 2.")</f>
        <v>[DEX 5]
Once per day during combat you may increase your ATP by 2.</v>
      </c>
      <c r="C17" s="448" t="str">
        <f>IFERROR(__xludf.DUMMYFUNCTION("""COMPUTED_VALUE"""),"[Nimbleness 12]
Once per day during combat you may increase your ATP by 3.")</f>
        <v>[Nimbleness 12]
Once per day during combat you may increase your ATP by 3.</v>
      </c>
      <c r="D17" s="448" t="str">
        <f>IFERROR(__xludf.DUMMYFUNCTION("""COMPUTED_VALUE"""),"[Combined Athletics 50]
Once per combat you may increase your ATP by 3.")</f>
        <v>[Combined Athletics 50]
Once per combat you may increase your ATP by 3.</v>
      </c>
      <c r="E17" s="449">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IFERROR(__xludf.DUMMYFUNCTION("""COMPUTED_VALUE"""),"I Am Your Shield!")</f>
        <v>I Am Your Shield!</v>
      </c>
      <c r="B18" s="448"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48"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48"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49">
        <f>IFERROR(__xludf.DUMMYFUNCTION("""COMPUTED_VALUE"""),9.0)</f>
        <v>9</v>
      </c>
      <c r="F18" s="448"/>
      <c r="G18" s="448"/>
      <c r="H18" s="448"/>
      <c r="I18" s="448"/>
      <c r="J18" s="448"/>
      <c r="K18" s="448"/>
      <c r="L18" s="448"/>
      <c r="M18" s="448"/>
      <c r="N18" s="448"/>
      <c r="O18" s="448"/>
      <c r="P18" s="448"/>
      <c r="Q18" s="448"/>
      <c r="R18" s="448"/>
      <c r="S18" s="448"/>
      <c r="T18" s="448"/>
      <c r="U18" s="448"/>
      <c r="V18" s="448"/>
    </row>
    <row r="19">
      <c r="A19" s="448" t="str">
        <f>IFERROR(__xludf.DUMMYFUNCTION("""COMPUTED_VALUE"""),"I Only Make Headshots")</f>
        <v>I Only Make Headshots</v>
      </c>
      <c r="B19" s="448" t="str">
        <f>IFERROR(__xludf.DUMMYFUNCTION("""COMPUTED_VALUE"""),"[Firearms or Archery 10; Manual Dexterity 8]
Ranged attacks do not impose a +2 DR when calling a shot.")</f>
        <v>[Firearms or Archery 10; Manual Dexterity 8]
Ranged attacks do not impose a +2 DR when calling a shot.</v>
      </c>
      <c r="C19" s="448" t="str">
        <f>IFERROR(__xludf.DUMMYFUNCTION("""COMPUTED_VALUE"""),"-[]")</f>
        <v>-[]</v>
      </c>
      <c r="D19" s="448" t="str">
        <f>IFERROR(__xludf.DUMMYFUNCTION("""COMPUTED_VALUE"""),"-[]
")</f>
        <v>-[]
</v>
      </c>
      <c r="E19" s="449">
        <f>IFERROR(__xludf.DUMMYFUNCTION("""COMPUTED_VALUE"""),15.0)</f>
        <v>15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IFERROR(__xludf.DUMMYFUNCTION("""COMPUTED_VALUE"""),"Lay It All On The Line")</f>
        <v>Lay It All On The Line</v>
      </c>
      <c r="B20" s="448" t="str">
        <f>IFERROR(__xludf.DUMMYFUNCTION("""COMPUTED_VALUE"""),"[CHA 4]
Once, at the beginging of a combat round, you may pay 20 Fortitude for +1 APT that round.")</f>
        <v>[CHA 4]
Once, at the beginging of a combat round, you may pay 20 Fortitude for +1 APT that round.</v>
      </c>
      <c r="C20" s="448" t="str">
        <f>IFERROR(__xludf.DUMMYFUNCTION("""COMPUTED_VALUE"""),"[CHA 5]
Once, at the beginging of a combat round, you may pay 15 Fortitude for +1 APT that round.")</f>
        <v>[CHA 5]
Once, at the beginging of a combat round, you may pay 15 Fortitude for +1 APT that round.</v>
      </c>
      <c r="D20" s="448" t="str">
        <f>IFERROR(__xludf.DUMMYFUNCTION("""COMPUTED_VALUE"""),"[CHA 6; DEX 5]
As many times as you like, you may pay 15 Fortitude for +1 APT that round.")</f>
        <v>[CHA 6; DEX 5]
As many times as you like, you may pay 15 Fortitude for +1 APT that round.</v>
      </c>
      <c r="E20" s="449">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IFERROR(__xludf.DUMMYFUNCTION("""COMPUTED_VALUE"""),"Lend Me A Hand")</f>
        <v>Lend Me A Hand</v>
      </c>
      <c r="B21" s="448"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48"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48"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49">
        <f>IFERROR(__xludf.DUMMYFUNCTION("""COMPUTED_VALUE"""),11.0)</f>
        <v>11</v>
      </c>
      <c r="F21" s="448"/>
      <c r="G21" s="448"/>
      <c r="H21" s="448"/>
      <c r="I21" s="448"/>
      <c r="J21" s="448"/>
      <c r="K21" s="448"/>
      <c r="L21" s="448"/>
      <c r="M21" s="448"/>
      <c r="N21" s="448"/>
      <c r="O21" s="448"/>
      <c r="P21" s="448"/>
      <c r="Q21" s="448"/>
      <c r="R21" s="448"/>
      <c r="S21" s="448"/>
      <c r="T21" s="448"/>
      <c r="U21" s="448"/>
      <c r="V21" s="448"/>
    </row>
    <row r="22">
      <c r="A22" s="448" t="str">
        <f>IFERROR(__xludf.DUMMYFUNCTION("""COMPUTED_VALUE"""),"Look, No Hands!")</f>
        <v>Look, No Hands!</v>
      </c>
      <c r="B22" s="448" t="str">
        <f>IFERROR(__xludf.DUMMYFUNCTION("""COMPUTED_VALUE"""),"[Unarmed 8]
Defensive tokens still prevent death from critical attacks when you are grappling a creature.")</f>
        <v>[Unarmed 8]
Defensive tokens still prevent death from critical attacks when you are grappling a creature.</v>
      </c>
      <c r="C22" s="448"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48"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49">
        <f>IFERROR(__xludf.DUMMYFUNCTION("""COMPUTED_VALUE"""),8.0)</f>
        <v>8</v>
      </c>
      <c r="F22" s="448"/>
      <c r="G22" s="448"/>
      <c r="H22" s="448"/>
      <c r="I22" s="448"/>
      <c r="J22" s="448"/>
      <c r="K22" s="448"/>
      <c r="L22" s="448"/>
      <c r="M22" s="448"/>
      <c r="N22" s="448"/>
      <c r="O22" s="448"/>
      <c r="P22" s="448"/>
      <c r="Q22" s="448"/>
      <c r="R22" s="448"/>
      <c r="S22" s="448"/>
      <c r="T22" s="448"/>
      <c r="U22" s="448"/>
      <c r="V22" s="448"/>
    </row>
    <row r="23">
      <c r="A23" s="448" t="str">
        <f>IFERROR(__xludf.DUMMYFUNCTION("""COMPUTED_VALUE"""),"Master Grappler")</f>
        <v>Master Grappler</v>
      </c>
      <c r="B23" s="448" t="str">
        <f>IFERROR(__xludf.DUMMYFUNCTION("""COMPUTED_VALUE"""),"[Successfuly Grappled 5 Creatues]
You can grapple creatures 2 sizes larger than you instead of 1.
")</f>
        <v>[Successfuly Grappled 5 Creatues]
You can grapple creatures 2 sizes larger than you instead of 1.
</v>
      </c>
      <c r="C23" s="448"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48"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49">
        <f>IFERROR(__xludf.DUMMYFUNCTION("""COMPUTED_VALUE"""),10.0)</f>
        <v>10</v>
      </c>
      <c r="F23" s="448"/>
      <c r="G23" s="448"/>
      <c r="H23" s="448"/>
      <c r="I23" s="448"/>
      <c r="J23" s="448"/>
      <c r="K23" s="448"/>
      <c r="L23" s="448"/>
      <c r="M23" s="448"/>
      <c r="N23" s="448"/>
      <c r="O23" s="448"/>
      <c r="P23" s="448"/>
      <c r="Q23" s="448"/>
      <c r="R23" s="448"/>
      <c r="S23" s="448"/>
      <c r="T23" s="448"/>
      <c r="U23" s="448"/>
      <c r="V23" s="448"/>
    </row>
    <row r="24">
      <c r="A24" s="448" t="str">
        <f>IFERROR(__xludf.DUMMYFUNCTION("""COMPUTED_VALUE"""),"Missile Command")</f>
        <v>Missile Command</v>
      </c>
      <c r="B24" s="448"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48"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48"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49">
        <f>IFERROR(__xludf.DUMMYFUNCTION("""COMPUTED_VALUE"""),11.0)</f>
        <v>11</v>
      </c>
      <c r="F24" s="448"/>
      <c r="G24" s="448"/>
      <c r="H24" s="448"/>
      <c r="I24" s="448"/>
      <c r="J24" s="448"/>
      <c r="K24" s="448"/>
      <c r="L24" s="448"/>
      <c r="M24" s="448"/>
      <c r="N24" s="448"/>
      <c r="O24" s="448"/>
      <c r="P24" s="448"/>
      <c r="Q24" s="448"/>
      <c r="R24" s="448"/>
      <c r="S24" s="448"/>
      <c r="T24" s="448"/>
      <c r="U24" s="448"/>
      <c r="V24" s="448"/>
    </row>
    <row r="25">
      <c r="A25" s="448" t="str">
        <f>IFERROR(__xludf.DUMMYFUNCTION("""COMPUTED_VALUE"""),"Move Like a Butterfly")</f>
        <v>Move Like a Butterfly</v>
      </c>
      <c r="B25" s="448"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48"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48"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49">
        <f>IFERROR(__xludf.DUMMYFUNCTION("""COMPUTED_VALUE"""),7.0)</f>
        <v>7</v>
      </c>
      <c r="F25" s="448"/>
      <c r="G25" s="448"/>
      <c r="H25" s="448"/>
      <c r="I25" s="448"/>
      <c r="J25" s="448"/>
      <c r="K25" s="448"/>
      <c r="L25" s="448"/>
      <c r="M25" s="448"/>
      <c r="N25" s="448"/>
      <c r="O25" s="448"/>
      <c r="P25" s="448"/>
      <c r="Q25" s="448"/>
      <c r="R25" s="448"/>
      <c r="S25" s="448"/>
      <c r="T25" s="448"/>
      <c r="U25" s="448"/>
      <c r="V25" s="448"/>
    </row>
    <row r="26">
      <c r="A26" s="448" t="str">
        <f>IFERROR(__xludf.DUMMYFUNCTION("""COMPUTED_VALUE"""),"Murder-Stroke")</f>
        <v>Murder-Stroke</v>
      </c>
      <c r="B26" s="448" t="str">
        <f>IFERROR(__xludf.DUMMYFUNCTION("""COMPUTED_VALUE"""),"[Blades 3]
Damage is equal to the weapon's slashing attack damage -12 but as bashing.
")</f>
        <v>[Blades 3]
Damage is equal to the weapon's slashing attack damage -12 but as bashing.
</v>
      </c>
      <c r="C26" s="448" t="str">
        <f>IFERROR(__xludf.DUMMYFUNCTION("""COMPUTED_VALUE"""),"[Blades 6]
Damage is equal to the weapon's slashing attack damage - 8 but as bashing.
")</f>
        <v>[Blades 6]
Damage is equal to the weapon's slashing attack damage - 8 but as bashing.
</v>
      </c>
      <c r="D26" s="448"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49">
        <f>IFERROR(__xludf.DUMMYFUNCTION("""COMPUTED_VALUE"""),5.0)</f>
        <v>5</v>
      </c>
      <c r="F26" s="448"/>
      <c r="G26" s="448"/>
      <c r="H26" s="448"/>
      <c r="I26" s="448"/>
      <c r="J26" s="448"/>
      <c r="K26" s="448"/>
      <c r="L26" s="448"/>
      <c r="M26" s="448"/>
      <c r="N26" s="448"/>
      <c r="O26" s="448"/>
      <c r="P26" s="448"/>
      <c r="Q26" s="448"/>
      <c r="R26" s="448"/>
      <c r="S26" s="448"/>
      <c r="T26" s="448"/>
      <c r="U26" s="448"/>
      <c r="V26" s="448"/>
    </row>
    <row r="27">
      <c r="A27" s="448" t="str">
        <f>IFERROR(__xludf.DUMMYFUNCTION("""COMPUTED_VALUE"""),"Parry")</f>
        <v>Parry</v>
      </c>
      <c r="B27" s="448"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48" t="str">
        <f>IFERROR(__xludf.DUMMYFUNCTION("""COMPUTED_VALUE"""),"-[]")</f>
        <v>-[]</v>
      </c>
      <c r="D27" s="448" t="str">
        <f>IFERROR(__xludf.DUMMYFUNCTION("""COMPUTED_VALUE"""),"-[]")</f>
        <v>-[]</v>
      </c>
      <c r="E27" s="449">
        <f>IFERROR(__xludf.DUMMYFUNCTION("""COMPUTED_VALUE"""),5.0)</f>
        <v>5</v>
      </c>
      <c r="F27" s="448"/>
      <c r="G27" s="448"/>
      <c r="H27" s="448"/>
      <c r="I27" s="448"/>
      <c r="J27" s="448"/>
      <c r="K27" s="448"/>
      <c r="L27" s="448"/>
      <c r="M27" s="448"/>
      <c r="N27" s="448"/>
      <c r="O27" s="448"/>
      <c r="P27" s="448"/>
      <c r="Q27" s="448"/>
      <c r="R27" s="448"/>
      <c r="S27" s="448"/>
      <c r="T27" s="448"/>
      <c r="U27" s="448"/>
      <c r="V27" s="448"/>
    </row>
    <row r="28">
      <c r="A28" s="448" t="str">
        <f>IFERROR(__xludf.DUMMYFUNCTION("""COMPUTED_VALUE"""),"Patience, Grasshopper!")</f>
        <v>Patience, Grasshopper!</v>
      </c>
      <c r="B28" s="448"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48"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48"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49">
        <f>IFERROR(__xludf.DUMMYFUNCTION("""COMPUTED_VALUE"""),10.0)</f>
        <v>10</v>
      </c>
      <c r="F28" s="448"/>
      <c r="G28" s="448"/>
      <c r="H28" s="448"/>
      <c r="I28" s="448"/>
      <c r="J28" s="448"/>
      <c r="K28" s="448"/>
      <c r="L28" s="448"/>
      <c r="M28" s="448"/>
      <c r="N28" s="448"/>
      <c r="O28" s="448"/>
      <c r="P28" s="448"/>
      <c r="Q28" s="448"/>
      <c r="R28" s="448"/>
      <c r="S28" s="448"/>
      <c r="T28" s="448"/>
      <c r="U28" s="448"/>
      <c r="V28" s="448"/>
    </row>
    <row r="29">
      <c r="A29" s="448" t="str">
        <f>IFERROR(__xludf.DUMMYFUNCTION("""COMPUTED_VALUE"""),"Put A Tourniquet On That!")</f>
        <v>Put A Tourniquet On That!</v>
      </c>
      <c r="B29" s="448"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48"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48"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49">
        <f>IFERROR(__xludf.DUMMYFUNCTION("""COMPUTED_VALUE"""),6.0)</f>
        <v>6</v>
      </c>
      <c r="F29" s="448"/>
      <c r="G29" s="448"/>
      <c r="H29" s="448"/>
      <c r="I29" s="448"/>
      <c r="J29" s="448"/>
      <c r="K29" s="448"/>
      <c r="L29" s="448"/>
      <c r="M29" s="448"/>
      <c r="N29" s="448"/>
      <c r="O29" s="448"/>
      <c r="P29" s="448"/>
      <c r="Q29" s="448"/>
      <c r="R29" s="448"/>
      <c r="S29" s="448"/>
      <c r="T29" s="448"/>
      <c r="U29" s="448"/>
      <c r="V29" s="448"/>
    </row>
    <row r="30">
      <c r="A30" s="448" t="str">
        <f>IFERROR(__xludf.DUMMYFUNCTION("""COMPUTED_VALUE"""),"Quick Loading")</f>
        <v>Quick Loading</v>
      </c>
      <c r="B30" s="448" t="str">
        <f>IFERROR(__xludf.DUMMYFUNCTION("""COMPUTED_VALUE"""),"[Manual Dexterity 7]
You may reload a weapon using 1 less action than it normally takes.")</f>
        <v>[Manual Dexterity 7]
You may reload a weapon using 1 less action than it normally takes.</v>
      </c>
      <c r="C30" s="448" t="str">
        <f>IFERROR(__xludf.DUMMYFUNCTION("""COMPUTED_VALUE"""),"[Manual Dexterity 14]
You may reload a weapon using 2 less actions than it normally takes.")</f>
        <v>[Manual Dexterity 14]
You may reload a weapon using 2 less actions than it normally takes.</v>
      </c>
      <c r="D30" s="448" t="str">
        <f>IFERROR(__xludf.DUMMYFUNCTION("""COMPUTED_VALUE"""),"-[]")</f>
        <v>-[]</v>
      </c>
      <c r="E30" s="449">
        <f>IFERROR(__xludf.DUMMYFUNCTION("""COMPUTED_VALUE"""),6.0)</f>
        <v>6</v>
      </c>
      <c r="F30" s="448"/>
      <c r="G30" s="448"/>
      <c r="H30" s="448"/>
      <c r="I30" s="448"/>
      <c r="J30" s="448"/>
      <c r="K30" s="448"/>
      <c r="L30" s="448"/>
      <c r="M30" s="448"/>
      <c r="N30" s="448"/>
      <c r="O30" s="448"/>
      <c r="P30" s="448"/>
      <c r="Q30" s="448"/>
      <c r="R30" s="448"/>
      <c r="S30" s="448"/>
      <c r="T30" s="448"/>
      <c r="U30" s="448"/>
      <c r="V30" s="448"/>
    </row>
    <row r="31">
      <c r="A31" s="448" t="str">
        <f>IFERROR(__xludf.DUMMYFUNCTION("""COMPUTED_VALUE"""),"Rapid Fists")</f>
        <v>Rapid Fists</v>
      </c>
      <c r="B31" s="448"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48"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48"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49">
        <f>IFERROR(__xludf.DUMMYFUNCTION("""COMPUTED_VALUE"""),13.0)</f>
        <v>13</v>
      </c>
      <c r="F31" s="448"/>
      <c r="G31" s="448"/>
      <c r="H31" s="448"/>
      <c r="I31" s="448"/>
      <c r="J31" s="448"/>
      <c r="K31" s="448"/>
      <c r="L31" s="448"/>
      <c r="M31" s="448"/>
      <c r="N31" s="448"/>
      <c r="O31" s="448"/>
      <c r="P31" s="448"/>
      <c r="Q31" s="448"/>
      <c r="R31" s="448"/>
      <c r="S31" s="448"/>
      <c r="T31" s="448"/>
      <c r="U31" s="448"/>
      <c r="V31" s="448"/>
    </row>
    <row r="32">
      <c r="A32" s="448" t="str">
        <f>IFERROR(__xludf.DUMMYFUNCTION("""COMPUTED_VALUE"""),"Rhythmic Cadence")</f>
        <v>Rhythmic Cadence</v>
      </c>
      <c r="B32" s="448"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48"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48"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49">
        <f>IFERROR(__xludf.DUMMYFUNCTION("""COMPUTED_VALUE"""),19.0)</f>
        <v>19</v>
      </c>
      <c r="F32" s="448"/>
      <c r="G32" s="448"/>
      <c r="H32" s="448"/>
      <c r="I32" s="448"/>
      <c r="J32" s="448"/>
      <c r="K32" s="448"/>
      <c r="L32" s="448"/>
      <c r="M32" s="448"/>
      <c r="N32" s="448"/>
      <c r="O32" s="448"/>
      <c r="P32" s="448"/>
      <c r="Q32" s="448"/>
      <c r="R32" s="448"/>
      <c r="S32" s="448"/>
      <c r="T32" s="448"/>
      <c r="U32" s="448"/>
      <c r="V32" s="448"/>
    </row>
    <row r="33">
      <c r="A33" s="448" t="str">
        <f>IFERROR(__xludf.DUMMYFUNCTION("""COMPUTED_VALUE"""),"Riposte")</f>
        <v>Riposte</v>
      </c>
      <c r="B33" s="448" t="str">
        <f>IFERROR(__xludf.DUMMYFUNCTION("""COMPUTED_VALUE"""),"[Level 1 Parry]
After a successful Parry you get a free Spontaneous Basic action.")</f>
        <v>[Level 1 Parry]
After a successful Parry you get a free Spontaneous Basic action.</v>
      </c>
      <c r="C33" s="448" t="str">
        <f>IFERROR(__xludf.DUMMYFUNCTION("""COMPUTED_VALUE"""),"-[]")</f>
        <v>-[]</v>
      </c>
      <c r="D33" s="448" t="str">
        <f>IFERROR(__xludf.DUMMYFUNCTION("""COMPUTED_VALUE"""),"-[]")</f>
        <v>-[]</v>
      </c>
      <c r="E33" s="449">
        <f>IFERROR(__xludf.DUMMYFUNCTION("""COMPUTED_VALUE"""),5.0)</f>
        <v>5</v>
      </c>
      <c r="F33" s="448"/>
      <c r="G33" s="448"/>
      <c r="H33" s="448"/>
      <c r="I33" s="448"/>
      <c r="J33" s="448"/>
      <c r="K33" s="448"/>
      <c r="L33" s="448"/>
      <c r="M33" s="448"/>
      <c r="N33" s="448"/>
      <c r="O33" s="448"/>
      <c r="P33" s="448"/>
      <c r="Q33" s="448"/>
      <c r="R33" s="448"/>
      <c r="S33" s="448"/>
      <c r="T33" s="448"/>
      <c r="U33" s="448"/>
      <c r="V33" s="448"/>
    </row>
    <row r="34">
      <c r="A34" s="448" t="str">
        <f>IFERROR(__xludf.DUMMYFUNCTION("""COMPUTED_VALUE"""),"Running Start")</f>
        <v>Running Start</v>
      </c>
      <c r="B34" s="448" t="str">
        <f>IFERROR(__xludf.DUMMYFUNCTION("""COMPUTED_VALUE"""),"[Nothing]
You can move 5 feet as a free joint spontanious action before an Basic action. 
")</f>
        <v>[Nothing]
You can move 5 feet as a free joint spontanious action before an Basic action. 
</v>
      </c>
      <c r="C34" s="448"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48"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49">
        <f>IFERROR(__xludf.DUMMYFUNCTION("""COMPUTED_VALUE"""),9.0)</f>
        <v>9</v>
      </c>
      <c r="F34" s="448"/>
      <c r="G34" s="448"/>
      <c r="H34" s="448"/>
      <c r="I34" s="448"/>
      <c r="J34" s="448"/>
      <c r="K34" s="448"/>
      <c r="L34" s="448"/>
      <c r="M34" s="448"/>
      <c r="N34" s="448"/>
      <c r="O34" s="448"/>
      <c r="P34" s="448"/>
      <c r="Q34" s="448"/>
      <c r="R34" s="448"/>
      <c r="S34" s="448"/>
      <c r="T34" s="448"/>
      <c r="U34" s="448"/>
      <c r="V34" s="448"/>
    </row>
    <row r="35">
      <c r="A35" s="448" t="str">
        <f>IFERROR(__xludf.DUMMYFUNCTION("""COMPUTED_VALUE"""),"Shank Blitz")</f>
        <v>Shank Blitz</v>
      </c>
      <c r="B35" s="448"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48"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48" t="str">
        <f>IFERROR(__xludf.DUMMYFUNCTION("""COMPUTED_VALUE"""),"[Knives 17]
Can't Dual Wield: 
You can strike one target up to 5 times with a single Basic Action using a knife. 
")</f>
        <v>[Knives 17]
Can't Dual Wield: 
You can strike one target up to 5 times with a single Basic Action using a knife. 
</v>
      </c>
      <c r="E35" s="449">
        <f>IFERROR(__xludf.DUMMYFUNCTION("""COMPUTED_VALUE"""),14.0)</f>
        <v>14</v>
      </c>
      <c r="F35" s="448"/>
      <c r="G35" s="448"/>
      <c r="H35" s="448"/>
      <c r="I35" s="448"/>
      <c r="J35" s="448"/>
      <c r="K35" s="448"/>
      <c r="L35" s="448"/>
      <c r="M35" s="448"/>
      <c r="N35" s="448"/>
      <c r="O35" s="448"/>
      <c r="P35" s="448"/>
      <c r="Q35" s="448"/>
      <c r="R35" s="448"/>
      <c r="S35" s="448"/>
      <c r="T35" s="448"/>
      <c r="U35" s="448"/>
      <c r="V35" s="448"/>
    </row>
    <row r="36">
      <c r="A36" s="448" t="str">
        <f>IFERROR(__xludf.DUMMYFUNCTION("""COMPUTED_VALUE"""),"Shield Bash")</f>
        <v>Shield Bash</v>
      </c>
      <c r="B36" s="448"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48" t="str">
        <f>IFERROR(__xludf.DUMMYFUNCTION("""COMPUTED_VALUE"""),"-[]")</f>
        <v>-[]</v>
      </c>
      <c r="D36" s="448" t="str">
        <f>IFERROR(__xludf.DUMMYFUNCTION("""COMPUTED_VALUE"""),"-[]")</f>
        <v>-[]</v>
      </c>
      <c r="E36" s="449">
        <f>IFERROR(__xludf.DUMMYFUNCTION("""COMPUTED_VALUE"""),20.0)</f>
        <v>20</v>
      </c>
      <c r="F36" s="448"/>
      <c r="G36" s="448"/>
      <c r="H36" s="448"/>
      <c r="I36" s="448"/>
      <c r="J36" s="448"/>
      <c r="K36" s="448"/>
      <c r="L36" s="448"/>
      <c r="M36" s="448"/>
      <c r="N36" s="448"/>
      <c r="O36" s="448"/>
      <c r="P36" s="448"/>
      <c r="Q36" s="448"/>
      <c r="R36" s="448"/>
      <c r="S36" s="448"/>
      <c r="T36" s="448"/>
      <c r="U36" s="448"/>
      <c r="V36" s="448"/>
    </row>
    <row r="37">
      <c r="A37" s="448" t="str">
        <f>IFERROR(__xludf.DUMMYFUNCTION("""COMPUTED_VALUE"""),"Shield Proficiency")</f>
        <v>Shield Proficiency</v>
      </c>
      <c r="B37" s="448" t="str">
        <f>IFERROR(__xludf.DUMMYFUNCTION("""COMPUTED_VALUE"""),"[DEX 4]
The damage of attacks you block are reduced by your choice of 5 Bashing, Piercing or Slashing.")</f>
        <v>[DEX 4]
The damage of attacks you block are reduced by your choice of 5 Bashing, Piercing or Slashing.</v>
      </c>
      <c r="C37" s="448"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48"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49">
        <f>IFERROR(__xludf.DUMMYFUNCTION("""COMPUTED_VALUE"""),15.0)</f>
        <v>15</v>
      </c>
      <c r="F37" s="448"/>
      <c r="G37" s="448"/>
      <c r="H37" s="448"/>
      <c r="I37" s="448"/>
      <c r="J37" s="448"/>
      <c r="K37" s="448"/>
      <c r="L37" s="448"/>
      <c r="M37" s="448"/>
      <c r="N37" s="448"/>
      <c r="O37" s="448"/>
      <c r="P37" s="448"/>
      <c r="Q37" s="448"/>
      <c r="R37" s="448"/>
      <c r="S37" s="448"/>
      <c r="T37" s="448"/>
      <c r="U37" s="448"/>
      <c r="V37" s="448"/>
    </row>
    <row r="38">
      <c r="A38" s="448" t="str">
        <f>IFERROR(__xludf.DUMMYFUNCTION("""COMPUTED_VALUE"""),"Shield Up!")</f>
        <v>Shield Up!</v>
      </c>
      <c r="B38" s="448" t="str">
        <f>IFERROR(__xludf.DUMMYFUNCTION("""COMPUTED_VALUE"""),"[Shield Proficiency Level 3]
You may block attacks that pass or happen within 5 feet of you.
")</f>
        <v>[Shield Proficiency Level 3]
You may block attacks that pass or happen within 5 feet of you.
</v>
      </c>
      <c r="C38" s="448" t="str">
        <f>IFERROR(__xludf.DUMMYFUNCTION("""COMPUTED_VALUE"""),"-[]")</f>
        <v>-[]</v>
      </c>
      <c r="D38" s="448" t="str">
        <f>IFERROR(__xludf.DUMMYFUNCTION("""COMPUTED_VALUE"""),"-[]")</f>
        <v>-[]</v>
      </c>
      <c r="E38" s="449">
        <f>IFERROR(__xludf.DUMMYFUNCTION("""COMPUTED_VALUE"""),12.0)</f>
        <v>12</v>
      </c>
      <c r="F38" s="448"/>
      <c r="G38" s="448"/>
      <c r="H38" s="448"/>
      <c r="I38" s="448"/>
      <c r="J38" s="448"/>
      <c r="K38" s="448"/>
      <c r="L38" s="448"/>
      <c r="M38" s="448"/>
      <c r="N38" s="448"/>
      <c r="O38" s="448"/>
      <c r="P38" s="448"/>
      <c r="Q38" s="448"/>
      <c r="R38" s="448"/>
      <c r="S38" s="448"/>
      <c r="T38" s="448"/>
      <c r="U38" s="448"/>
      <c r="V38" s="448"/>
    </row>
    <row r="39">
      <c r="A39" s="448" t="str">
        <f>IFERROR(__xludf.DUMMYFUNCTION("""COMPUTED_VALUE"""),"Sniper")</f>
        <v>Sniper</v>
      </c>
      <c r="B39" s="448" t="str">
        <f>IFERROR(__xludf.DUMMYFUNCTION("""COMPUTED_VALUE"""),"[Manual Dexterity 15]
Effective range for all ranged weapons is doubled.")</f>
        <v>[Manual Dexterity 15]
Effective range for all ranged weapons is doubled.</v>
      </c>
      <c r="C39" s="448" t="str">
        <f>IFERROR(__xludf.DUMMYFUNCTION("""COMPUTED_VALUE"""),"-[]")</f>
        <v>-[]</v>
      </c>
      <c r="D39" s="448" t="str">
        <f>IFERROR(__xludf.DUMMYFUNCTION("""COMPUTED_VALUE"""),"-[]
")</f>
        <v>-[]
</v>
      </c>
      <c r="E39" s="449">
        <f>IFERROR(__xludf.DUMMYFUNCTION("""COMPUTED_VALUE"""),10.0)</f>
        <v>10</v>
      </c>
      <c r="F39" s="448"/>
      <c r="G39" s="448"/>
      <c r="H39" s="448"/>
      <c r="I39" s="448"/>
      <c r="J39" s="448"/>
      <c r="K39" s="448"/>
      <c r="L39" s="448"/>
      <c r="M39" s="448"/>
      <c r="N39" s="448"/>
      <c r="O39" s="448"/>
      <c r="P39" s="448"/>
      <c r="Q39" s="448"/>
      <c r="R39" s="448"/>
      <c r="S39" s="448"/>
      <c r="T39" s="448"/>
      <c r="U39" s="448"/>
      <c r="V39" s="448"/>
    </row>
    <row r="40">
      <c r="A40" s="448" t="str">
        <f>IFERROR(__xludf.DUMMYFUNCTION("""COMPUTED_VALUE"""),"Split the Arrow")</f>
        <v>Split the Arrow</v>
      </c>
      <c r="B40" s="448"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48"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48"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49">
        <f>IFERROR(__xludf.DUMMYFUNCTION("""COMPUTED_VALUE"""),7.0)</f>
        <v>7</v>
      </c>
      <c r="F40" s="448"/>
      <c r="G40" s="448"/>
      <c r="H40" s="448"/>
      <c r="I40" s="448"/>
      <c r="J40" s="448"/>
      <c r="K40" s="448"/>
      <c r="L40" s="448"/>
      <c r="M40" s="448"/>
      <c r="N40" s="448"/>
      <c r="O40" s="448"/>
      <c r="P40" s="448"/>
      <c r="Q40" s="448"/>
      <c r="R40" s="448"/>
      <c r="S40" s="448"/>
      <c r="T40" s="448"/>
      <c r="U40" s="448"/>
      <c r="V40" s="448"/>
    </row>
    <row r="41">
      <c r="A41" s="448" t="str">
        <f>IFERROR(__xludf.DUMMYFUNCTION("""COMPUTED_VALUE"""),"Sting Like a Bee")</f>
        <v>Sting Like a Bee</v>
      </c>
      <c r="B41" s="448" t="str">
        <f>IFERROR(__xludf.DUMMYFUNCTION("""COMPUTED_VALUE"""),"[Brawler Level 1]
You may apply your DEX to your unarmed mod.
")</f>
        <v>[Brawler Level 1]
You may apply your DEX to your unarmed mod.
</v>
      </c>
      <c r="C41" s="448" t="str">
        <f>IFERROR(__xludf.DUMMYFUNCTION("""COMPUTED_VALUE"""),"-[]")</f>
        <v>-[]</v>
      </c>
      <c r="D41" s="448" t="str">
        <f>IFERROR(__xludf.DUMMYFUNCTION("""COMPUTED_VALUE"""),"-[]")</f>
        <v>-[]</v>
      </c>
      <c r="E41" s="449">
        <f>IFERROR(__xludf.DUMMYFUNCTION("""COMPUTED_VALUE"""),7.0)</f>
        <v>7</v>
      </c>
      <c r="F41" s="448"/>
      <c r="G41" s="448"/>
      <c r="H41" s="448"/>
      <c r="I41" s="448"/>
      <c r="J41" s="448"/>
      <c r="K41" s="448"/>
      <c r="L41" s="448"/>
      <c r="M41" s="448"/>
      <c r="N41" s="448"/>
      <c r="O41" s="448"/>
      <c r="P41" s="448"/>
      <c r="Q41" s="448"/>
      <c r="R41" s="448"/>
      <c r="S41" s="448"/>
      <c r="T41" s="448"/>
      <c r="U41" s="448"/>
      <c r="V41" s="448"/>
    </row>
    <row r="42">
      <c r="A42" s="448" t="str">
        <f>IFERROR(__xludf.DUMMYFUNCTION("""COMPUTED_VALUE"""),"Weaver's Bane")</f>
        <v>Weaver's Bane</v>
      </c>
      <c r="B42" s="448" t="str">
        <f>IFERROR(__xludf.DUMMYFUNCTION("""COMPUTED_VALUE"""),"[Arcane Knowledge 8]
Recieve a Free Spontaneous Basic Action if someone casts a spell within 5 feet of you.")</f>
        <v>[Arcane Knowledge 8]
Recieve a Free Spontaneous Basic Action if someone casts a spell within 5 feet of you.</v>
      </c>
      <c r="C42" s="448"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48"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49">
        <f>IFERROR(__xludf.DUMMYFUNCTION("""COMPUTED_VALUE"""),15.0)</f>
        <v>15</v>
      </c>
      <c r="F42" s="448"/>
      <c r="G42" s="448"/>
      <c r="H42" s="448"/>
      <c r="I42" s="448"/>
      <c r="J42" s="448"/>
      <c r="K42" s="448"/>
      <c r="L42" s="448"/>
      <c r="M42" s="448"/>
      <c r="N42" s="448"/>
      <c r="O42" s="448"/>
      <c r="P42" s="448"/>
      <c r="Q42" s="448"/>
      <c r="R42" s="448"/>
      <c r="S42" s="448"/>
      <c r="T42" s="448"/>
      <c r="U42" s="448"/>
      <c r="V42" s="448"/>
    </row>
    <row r="43">
      <c r="A43" s="448" t="str">
        <f>IFERROR(__xludf.DUMMYFUNCTION("""COMPUTED_VALUE"""),"Taunt")</f>
        <v>Taunt</v>
      </c>
      <c r="B43" s="448"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48"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48"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49">
        <f>IFERROR(__xludf.DUMMYFUNCTION("""COMPUTED_VALUE"""),8.0)</f>
        <v>8</v>
      </c>
      <c r="F43" s="448"/>
      <c r="G43" s="448"/>
      <c r="H43" s="448"/>
      <c r="I43" s="448"/>
      <c r="J43" s="448"/>
      <c r="K43" s="448"/>
      <c r="L43" s="448"/>
      <c r="M43" s="448"/>
      <c r="N43" s="448"/>
      <c r="O43" s="448"/>
      <c r="P43" s="448"/>
      <c r="Q43" s="448"/>
      <c r="R43" s="448"/>
      <c r="S43" s="448"/>
      <c r="T43" s="448"/>
      <c r="U43" s="448"/>
      <c r="V43" s="448"/>
    </row>
    <row r="44">
      <c r="A44" s="448" t="str">
        <f>IFERROR(__xludf.DUMMYFUNCTION("""COMPUTED_VALUE"""),"Tactical Footing")</f>
        <v>Tactical Footing</v>
      </c>
      <c r="B44" s="448" t="str">
        <f>IFERROR(__xludf.DUMMYFUNCTION("""COMPUTED_VALUE"""),"[Nimbleness 5]
You may take a free 5 foot step before using a Basic Action.")</f>
        <v>[Nimbleness 5]
You may take a free 5 foot step before using a Basic Action.</v>
      </c>
      <c r="C44" s="448"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48"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49">
        <f>IFERROR(__xludf.DUMMYFUNCTION("""COMPUTED_VALUE"""),10.0)</f>
        <v>10</v>
      </c>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""Utility!B3:B""),""SELECT * WHERE Col1 IS NOT NULL"",0)"),"Field Repair")</f>
        <v>Field Repair</v>
      </c>
      <c r="B1" s="448"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48"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48"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49">
        <f>IFERROR(__xludf.DUMMYFUNCTION("QUERY(IMPORTRANGE(""1koQqL7bV1rMPtlmhZblwVeK5weyiTfFQ3POD_grK7Rc"", ""Utility!C3:C""),""SELECT * WHERE Col1 IS NOT NULL"",0)"),8.0)</f>
        <v>8</v>
      </c>
      <c r="F1" s="448"/>
      <c r="G1" s="448"/>
      <c r="H1" s="448"/>
      <c r="I1" s="448"/>
      <c r="J1" s="448"/>
      <c r="K1" s="448"/>
      <c r="L1" s="448"/>
      <c r="M1" s="448"/>
      <c r="N1" s="448"/>
      <c r="O1" s="448"/>
      <c r="P1" s="448"/>
      <c r="Q1" s="448"/>
      <c r="R1" s="448"/>
      <c r="S1" s="448"/>
      <c r="T1" s="448"/>
      <c r="U1" s="448"/>
      <c r="V1" s="448"/>
    </row>
    <row r="2">
      <c r="A2" s="451" t="str">
        <f>IFERROR(__xludf.DUMMYFUNCTION("""COMPUTED_VALUE"""),"*Hello Darkness, My Old Friend")</f>
        <v>*Hello Darkness, My Old Friend</v>
      </c>
      <c r="B2" s="451" t="str">
        <f>IFERROR(__xludf.DUMMYFUNCTION("""COMPUTED_VALUE"""),"-[Any Performing Arts Skill 4]")</f>
        <v>-[Any Performing Arts Skill 4]</v>
      </c>
      <c r="C2" s="451" t="str">
        <f>IFERROR(__xludf.DUMMYFUNCTION("""COMPUTED_VALUE"""),"-[]")</f>
        <v>-[]</v>
      </c>
      <c r="D2" s="451" t="str">
        <f>IFERROR(__xludf.DUMMYFUNCTION("""COMPUTED_VALUE"""),"-[]")</f>
        <v>-[]</v>
      </c>
      <c r="E2" s="449">
        <f>IFERROR(__xludf.DUMMYFUNCTION("""COMPUTED_VALUE"""),13.0)</f>
        <v>13</v>
      </c>
      <c r="F2" s="448"/>
      <c r="G2" s="448"/>
      <c r="H2" s="448"/>
      <c r="I2" s="448"/>
      <c r="J2" s="448"/>
      <c r="K2" s="448"/>
      <c r="L2" s="448"/>
      <c r="M2" s="448"/>
      <c r="N2" s="448"/>
      <c r="O2" s="448"/>
      <c r="P2" s="448"/>
      <c r="Q2" s="448"/>
      <c r="R2" s="448"/>
      <c r="S2" s="448"/>
      <c r="T2" s="448"/>
      <c r="U2" s="448"/>
      <c r="V2" s="448"/>
    </row>
    <row r="3">
      <c r="A3" s="448" t="str">
        <f>IFERROR(__xludf.DUMMYFUNCTION("""COMPUTED_VALUE"""),"*Inspirational Performer")</f>
        <v>*Inspirational Performer</v>
      </c>
      <c r="B3" s="448"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48"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48"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49">
        <f>IFERROR(__xludf.DUMMYFUNCTION("""COMPUTED_VALUE"""),9.0)</f>
        <v>9</v>
      </c>
      <c r="F3" s="448"/>
      <c r="G3" s="448"/>
      <c r="H3" s="448"/>
      <c r="I3" s="448"/>
      <c r="J3" s="448"/>
      <c r="K3" s="448"/>
      <c r="L3" s="448"/>
      <c r="M3" s="448"/>
      <c r="N3" s="448"/>
      <c r="O3" s="448"/>
      <c r="P3" s="448"/>
      <c r="Q3" s="448"/>
      <c r="R3" s="448"/>
      <c r="S3" s="448"/>
      <c r="T3" s="448"/>
      <c r="U3" s="448"/>
      <c r="V3" s="448"/>
    </row>
    <row r="4">
      <c r="A4" s="448" t="str">
        <f>IFERROR(__xludf.DUMMYFUNCTION("""COMPUTED_VALUE"""),"*Marked for Death")</f>
        <v>*Marked for Death</v>
      </c>
      <c r="B4" s="448" t="str">
        <f>IFERROR(__xludf.DUMMYFUNCTION("""COMPUTED_VALUE"""),"-[Sneak 6]
")</f>
        <v>-[Sneak 6]
</v>
      </c>
      <c r="C4" s="448"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48"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49">
        <f>IFERROR(__xludf.DUMMYFUNCTION("""COMPUTED_VALUE"""),13.0)</f>
        <v>13</v>
      </c>
      <c r="F4" s="448"/>
      <c r="G4" s="448"/>
      <c r="H4" s="448"/>
      <c r="I4" s="448"/>
      <c r="J4" s="448"/>
      <c r="K4" s="448"/>
      <c r="L4" s="448"/>
      <c r="M4" s="448"/>
      <c r="N4" s="448"/>
      <c r="O4" s="448"/>
      <c r="P4" s="448"/>
      <c r="Q4" s="448"/>
      <c r="R4" s="448"/>
      <c r="S4" s="448"/>
      <c r="T4" s="448"/>
      <c r="U4" s="448"/>
      <c r="V4" s="448"/>
    </row>
    <row r="5">
      <c r="A5" s="448" t="str">
        <f>IFERROR(__xludf.DUMMYFUNCTION("""COMPUTED_VALUE"""),"Death Becomes Me")</f>
        <v>Death Becomes Me</v>
      </c>
      <c r="B5" s="448" t="str">
        <f>IFERROR(__xludf.DUMMYFUNCTION("""COMPUTED_VALUE"""),"[Defied Death twice]
Whenever you Defy Death gain 7 Karma.")</f>
        <v>[Defied Death twice]
Whenever you Defy Death gain 7 Karma.</v>
      </c>
      <c r="C5" s="448" t="str">
        <f>IFERROR(__xludf.DUMMYFUNCTION("""COMPUTED_VALUE"""),"[Defied Death thrice]
You are immune to Monkey Paws from Defying Death. Whenever you Defy Death gain 7 Karma.")</f>
        <v>[Defied Death thrice]
You are immune to Monkey Paws from Defying Death. Whenever you Defy Death gain 7 Karma.</v>
      </c>
      <c r="D5" s="448"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49">
        <f>IFERROR(__xludf.DUMMYFUNCTION("""COMPUTED_VALUE"""),13.0)</f>
        <v>13</v>
      </c>
      <c r="F5" s="448"/>
      <c r="G5" s="448"/>
      <c r="H5" s="448"/>
      <c r="I5" s="448"/>
      <c r="J5" s="448"/>
      <c r="K5" s="448"/>
      <c r="L5" s="448"/>
      <c r="M5" s="448"/>
      <c r="N5" s="448"/>
      <c r="O5" s="448"/>
      <c r="P5" s="448"/>
      <c r="Q5" s="448"/>
      <c r="R5" s="448"/>
      <c r="S5" s="448"/>
      <c r="T5" s="448"/>
      <c r="U5" s="448"/>
      <c r="V5" s="448"/>
    </row>
    <row r="6">
      <c r="A6" s="448" t="str">
        <f>IFERROR(__xludf.DUMMYFUNCTION("""COMPUTED_VALUE"""),"Fleet Footed")</f>
        <v>Fleet Footed</v>
      </c>
      <c r="B6" s="448" t="str">
        <f>IFERROR(__xludf.DUMMYFUNCTION("""COMPUTED_VALUE"""),"[Combined Athletics 30; Dex 6]
Speed Mod +2")</f>
        <v>[Combined Athletics 30; Dex 6]
Speed Mod +2</v>
      </c>
      <c r="C6" s="448" t="str">
        <f>IFERROR(__xludf.DUMMYFUNCTION("""COMPUTED_VALUE"""),"-[]")</f>
        <v>-[]</v>
      </c>
      <c r="D6" s="448" t="str">
        <f>IFERROR(__xludf.DUMMYFUNCTION("""COMPUTED_VALUE"""),"-[]
")</f>
        <v>-[]
</v>
      </c>
      <c r="E6" s="449">
        <f>IFERROR(__xludf.DUMMYFUNCTION("""COMPUTED_VALUE"""),20.0)</f>
        <v>20</v>
      </c>
      <c r="F6" s="448"/>
      <c r="G6" s="448"/>
      <c r="H6" s="448"/>
      <c r="I6" s="448"/>
      <c r="J6" s="448"/>
      <c r="K6" s="448"/>
      <c r="L6" s="448"/>
      <c r="M6" s="448"/>
      <c r="N6" s="448"/>
      <c r="O6" s="448"/>
      <c r="P6" s="448"/>
      <c r="Q6" s="448"/>
      <c r="R6" s="448"/>
      <c r="S6" s="448"/>
      <c r="T6" s="448"/>
      <c r="U6" s="448"/>
      <c r="V6" s="448"/>
    </row>
    <row r="7">
      <c r="A7" s="448" t="str">
        <f>IFERROR(__xludf.DUMMYFUNCTION("""COMPUTED_VALUE"""),"Fortify Your Mind!")</f>
        <v>Fortify Your Mind!</v>
      </c>
      <c r="B7" s="448" t="str">
        <f>IFERROR(__xludf.DUMMYFUNCTION("""COMPUTED_VALUE"""),"[WIS 3]
You know when someone is reading your mind.")</f>
        <v>[WIS 3]
You know when someone is reading your mind.</v>
      </c>
      <c r="C7" s="448"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48"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49">
        <f>IFERROR(__xludf.DUMMYFUNCTION("""COMPUTED_VALUE"""),15.0)</f>
        <v>15</v>
      </c>
      <c r="F7" s="448"/>
      <c r="G7" s="448"/>
      <c r="H7" s="448"/>
      <c r="I7" s="448"/>
      <c r="J7" s="448"/>
      <c r="K7" s="448"/>
      <c r="L7" s="448"/>
      <c r="M7" s="448"/>
      <c r="N7" s="448"/>
      <c r="O7" s="448"/>
      <c r="P7" s="448"/>
      <c r="Q7" s="448"/>
      <c r="R7" s="448"/>
      <c r="S7" s="448"/>
      <c r="T7" s="448"/>
      <c r="U7" s="448"/>
      <c r="V7" s="448"/>
    </row>
    <row r="8">
      <c r="A8" s="448" t="str">
        <f>IFERROR(__xludf.DUMMYFUNCTION("""COMPUTED_VALUE"""),"Head on a Swivel")</f>
        <v>Head on a Swivel</v>
      </c>
      <c r="B8" s="448" t="str">
        <f>IFERROR(__xludf.DUMMYFUNCTION("""COMPUTED_VALUE"""),"[Environmental Awareness 12]
You are considered to have an active Defensive Action outside of combat.")</f>
        <v>[Environmental Awareness 12]
You are considered to have an active Defensive Action outside of combat.</v>
      </c>
      <c r="C8" s="448" t="str">
        <f>IFERROR(__xludf.DUMMYFUNCTION("""COMPUTED_VALUE"""),"-[]")</f>
        <v>-[]</v>
      </c>
      <c r="D8" s="448" t="str">
        <f>IFERROR(__xludf.DUMMYFUNCTION("""COMPUTED_VALUE"""),"-[]
")</f>
        <v>-[]
</v>
      </c>
      <c r="E8" s="449">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IFERROR(__xludf.DUMMYFUNCTION("""COMPUTED_VALUE"""),"Hey! Listen!")</f>
        <v>Hey! Listen!</v>
      </c>
      <c r="B9" s="448"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48" t="str">
        <f>IFERROR(__xludf.DUMMYFUNCTION("""COMPUTED_VALUE"""),"-[]")</f>
        <v>-[]</v>
      </c>
      <c r="D9" s="448" t="str">
        <f>IFERROR(__xludf.DUMMYFUNCTION("""COMPUTED_VALUE"""),"-[]")</f>
        <v>-[]</v>
      </c>
      <c r="E9" s="449">
        <f>IFERROR(__xludf.DUMMYFUNCTION("""COMPUTED_VALUE"""),7.0)</f>
        <v>7</v>
      </c>
      <c r="F9" s="448"/>
      <c r="G9" s="448"/>
      <c r="H9" s="448"/>
      <c r="I9" s="448"/>
      <c r="J9" s="448"/>
      <c r="K9" s="448"/>
      <c r="L9" s="448"/>
      <c r="M9" s="448"/>
      <c r="N9" s="448"/>
      <c r="O9" s="448"/>
      <c r="P9" s="448"/>
      <c r="Q9" s="448"/>
      <c r="R9" s="448"/>
      <c r="S9" s="448"/>
      <c r="T9" s="448"/>
      <c r="U9" s="448"/>
      <c r="V9" s="448"/>
    </row>
    <row r="10">
      <c r="A10" s="448" t="str">
        <f>IFERROR(__xludf.DUMMYFUNCTION("""COMPUTED_VALUE"""),"Know Thy Mark")</f>
        <v>Know Thy Mark</v>
      </c>
      <c r="B10" s="448"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48"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48"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49">
        <f>IFERROR(__xludf.DUMMYFUNCTION("""COMPUTED_VALUE"""),4.0)</f>
        <v>4</v>
      </c>
      <c r="F10" s="448"/>
      <c r="G10" s="448"/>
      <c r="H10" s="448"/>
      <c r="I10" s="448"/>
      <c r="J10" s="448"/>
      <c r="K10" s="448"/>
      <c r="L10" s="448"/>
      <c r="M10" s="448"/>
      <c r="N10" s="448"/>
      <c r="O10" s="448"/>
      <c r="P10" s="448"/>
      <c r="Q10" s="448"/>
      <c r="R10" s="448"/>
      <c r="S10" s="448"/>
      <c r="T10" s="448"/>
      <c r="U10" s="448"/>
      <c r="V10" s="448"/>
    </row>
    <row r="11">
      <c r="A11" s="448" t="str">
        <f>IFERROR(__xludf.DUMMYFUNCTION("""COMPUTED_VALUE"""),"Pinnacle of Health")</f>
        <v>Pinnacle of Health</v>
      </c>
      <c r="B11" s="448" t="str">
        <f>IFERROR(__xludf.DUMMYFUNCTION("""COMPUTED_VALUE"""),"[CON 6; Life Span &lt; Epic]
Increase your lifespan one tier")</f>
        <v>[CON 6; Life Span &lt; Epic]
Increase your lifespan one tier</v>
      </c>
      <c r="C11" s="448" t="str">
        <f>IFERROR(__xludf.DUMMYFUNCTION("""COMPUTED_VALUE"""),"-[]")</f>
        <v>-[]</v>
      </c>
      <c r="D11" s="448" t="str">
        <f>IFERROR(__xludf.DUMMYFUNCTION("""COMPUTED_VALUE"""),"-[]")</f>
        <v>-[]</v>
      </c>
      <c r="E11" s="449">
        <f>IFERROR(__xludf.DUMMYFUNCTION("""COMPUTED_VALUE"""),14.0)</f>
        <v>14</v>
      </c>
      <c r="F11" s="448"/>
      <c r="G11" s="448"/>
      <c r="H11" s="448"/>
      <c r="I11" s="448"/>
      <c r="J11" s="448"/>
      <c r="K11" s="448"/>
      <c r="L11" s="448"/>
      <c r="M11" s="448"/>
      <c r="N11" s="448"/>
      <c r="O11" s="448"/>
      <c r="P11" s="448"/>
      <c r="Q11" s="448"/>
      <c r="R11" s="448"/>
      <c r="S11" s="448"/>
      <c r="T11" s="448"/>
      <c r="U11" s="448"/>
      <c r="V11" s="448"/>
    </row>
    <row r="12">
      <c r="A12" s="448" t="str">
        <f>IFERROR(__xludf.DUMMYFUNCTION("""COMPUTED_VALUE"""),"Recon Expert")</f>
        <v>Recon Expert</v>
      </c>
      <c r="B12" s="448"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48"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48"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49">
        <f>IFERROR(__xludf.DUMMYFUNCTION("""COMPUTED_VALUE"""),7.0)</f>
        <v>7</v>
      </c>
      <c r="F12" s="448"/>
      <c r="G12" s="448"/>
      <c r="H12" s="448"/>
      <c r="I12" s="448"/>
      <c r="J12" s="448"/>
      <c r="K12" s="448"/>
      <c r="L12" s="448"/>
      <c r="M12" s="448"/>
      <c r="N12" s="448"/>
      <c r="O12" s="448"/>
      <c r="P12" s="448"/>
      <c r="Q12" s="448"/>
      <c r="R12" s="448"/>
      <c r="S12" s="448"/>
      <c r="T12" s="448"/>
      <c r="U12" s="448"/>
      <c r="V12" s="448"/>
    </row>
    <row r="13">
      <c r="A13" s="448" t="str">
        <f>IFERROR(__xludf.DUMMYFUNCTION("""COMPUTED_VALUE"""),"Resolute")</f>
        <v>Resolute</v>
      </c>
      <c r="B13" s="448" t="str">
        <f>IFERROR(__xludf.DUMMYFUNCTION("""COMPUTED_VALUE"""),"[None]
+1 Mod to all Saves.")</f>
        <v>[None]
+1 Mod to all Saves.</v>
      </c>
      <c r="C13" s="448" t="str">
        <f>IFERROR(__xludf.DUMMYFUNCTION("""COMPUTED_VALUE"""),"-[]")</f>
        <v>-[]</v>
      </c>
      <c r="D13" s="448" t="str">
        <f>IFERROR(__xludf.DUMMYFUNCTION("""COMPUTED_VALUE"""),"-[]
")</f>
        <v>-[]
</v>
      </c>
      <c r="E13" s="449">
        <f>IFERROR(__xludf.DUMMYFUNCTION("""COMPUTED_VALUE"""),15.0)</f>
        <v>15</v>
      </c>
      <c r="F13" s="448"/>
      <c r="G13" s="448"/>
      <c r="H13" s="448"/>
      <c r="I13" s="448"/>
      <c r="J13" s="448"/>
      <c r="K13" s="448"/>
      <c r="L13" s="448"/>
      <c r="M13" s="448"/>
      <c r="N13" s="448"/>
      <c r="O13" s="448"/>
      <c r="P13" s="448"/>
      <c r="Q13" s="448"/>
      <c r="R13" s="448"/>
      <c r="S13" s="448"/>
      <c r="T13" s="448"/>
      <c r="U13" s="448"/>
      <c r="V13" s="448"/>
    </row>
    <row r="14">
      <c r="A14" s="448" t="str">
        <f>IFERROR(__xludf.DUMMYFUNCTION("""COMPUTED_VALUE"""),"Sharp Memory")</f>
        <v>Sharp Memory</v>
      </c>
      <c r="B14" s="448" t="str">
        <f>IFERROR(__xludf.DUMMYFUNCTION("""COMPUTED_VALUE"""),"[INT 5]
You always know what direction you are traveling.")</f>
        <v>[INT 5]
You always know what direction you are traveling.</v>
      </c>
      <c r="C14" s="448"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48"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49">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IFERROR(__xludf.DUMMYFUNCTION("""COMPUTED_VALUE"""),"There's No Such Thing as Luck")</f>
        <v>There's No Such Thing as Luck</v>
      </c>
      <c r="B15" s="448"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48" t="str">
        <f>IFERROR(__xludf.DUMMYFUNCTION("""COMPUTED_VALUE"""),"-[]")</f>
        <v>-[]</v>
      </c>
      <c r="D15" s="448" t="str">
        <f>IFERROR(__xludf.DUMMYFUNCTION("""COMPUTED_VALUE"""),"-[]")</f>
        <v>-[]</v>
      </c>
      <c r="E15" s="449">
        <f>IFERROR(__xludf.DUMMYFUNCTION("""COMPUTED_VALUE"""),20.0)</f>
        <v>20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IFERROR(__xludf.DUMMYFUNCTION("""COMPUTED_VALUE"""),"With Imagination, Anything is possible")</f>
        <v>With Imagination, Anything is possible</v>
      </c>
      <c r="B16" s="448" t="str">
        <f>IFERROR(__xludf.DUMMYFUNCTION("""COMPUTED_VALUE"""),"[WIS 3]
On completion of an invention you recieve a normal version of the item instead of a prototype.")</f>
        <v>[WIS 3]
On completion of an invention you recieve a normal version of the item instead of a prototype.</v>
      </c>
      <c r="C16" s="448"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48"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49">
        <f>IFERROR(__xludf.DUMMYFUNCTION("""COMPUTED_VALUE"""),12.0)</f>
        <v>12</v>
      </c>
      <c r="F16" s="448"/>
      <c r="G16" s="448"/>
      <c r="H16" s="448"/>
      <c r="I16" s="448"/>
      <c r="J16" s="448"/>
      <c r="K16" s="448"/>
      <c r="L16" s="448"/>
      <c r="M16" s="448"/>
      <c r="N16" s="448"/>
      <c r="O16" s="448"/>
      <c r="P16" s="448"/>
      <c r="Q16" s="448"/>
      <c r="R16" s="448"/>
      <c r="S16" s="448"/>
      <c r="T16" s="448"/>
      <c r="U16" s="448"/>
      <c r="V16" s="448"/>
    </row>
    <row r="17">
      <c r="A17" s="448" t="str">
        <f>IFERROR(__xludf.DUMMYFUNCTION("""COMPUTED_VALUE"""),"Resolute Mind")</f>
        <v>Resolute Mind</v>
      </c>
      <c r="B17" s="448" t="str">
        <f>IFERROR(__xludf.DUMMYFUNCTION("""COMPUTED_VALUE"""),"[Environmental Awareness 10]
Conviction +2 ")</f>
        <v>[Environmental Awareness 10]
Conviction +2 </v>
      </c>
      <c r="C17" s="448" t="str">
        <f>IFERROR(__xludf.DUMMYFUNCTION("""COMPUTED_VALUE"""),"[WIS 5]
Conviction +4")</f>
        <v>[WIS 5]
Conviction +4</v>
      </c>
      <c r="D17" s="448"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49">
        <f>IFERROR(__xludf.DUMMYFUNCTION("""COMPUTED_VALUE"""),18.0)</f>
        <v>18</v>
      </c>
      <c r="F17" s="448"/>
      <c r="G17" s="448"/>
      <c r="H17" s="448"/>
      <c r="I17" s="448"/>
      <c r="J17" s="448"/>
      <c r="K17" s="448"/>
      <c r="L17" s="448"/>
      <c r="M17" s="448"/>
      <c r="N17" s="448"/>
      <c r="O17" s="448"/>
      <c r="P17" s="448"/>
      <c r="Q17" s="448"/>
      <c r="R17" s="448"/>
      <c r="S17" s="448"/>
      <c r="T17" s="448"/>
      <c r="U17" s="448"/>
      <c r="V17" s="448"/>
    </row>
    <row r="18">
      <c r="A18" s="448" t="str">
        <f>IFERROR(__xludf.DUMMYFUNCTION("""COMPUTED_VALUE"""),"Master of Disguise")</f>
        <v>Master of Disguise</v>
      </c>
      <c r="B18" s="448"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48" t="str">
        <f>IFERROR(__xludf.DUMMYFUNCTION("""COMPUTED_VALUE"""),"-[]
")</f>
        <v>-[]
</v>
      </c>
      <c r="D18" s="448" t="str">
        <f>IFERROR(__xludf.DUMMYFUNCTION("""COMPUTED_VALUE"""),"-[]
")</f>
        <v>-[]
</v>
      </c>
      <c r="E18" s="449">
        <f>IFERROR(__xludf.DUMMYFUNCTION("""COMPUTED_VALUE"""),15.0)</f>
        <v>15</v>
      </c>
      <c r="F18" s="448"/>
      <c r="G18" s="448"/>
      <c r="H18" s="448"/>
      <c r="I18" s="448"/>
      <c r="J18" s="448"/>
      <c r="K18" s="448"/>
      <c r="L18" s="448"/>
      <c r="M18" s="448"/>
      <c r="N18" s="448"/>
      <c r="O18" s="448"/>
      <c r="P18" s="448"/>
      <c r="Q18" s="448"/>
      <c r="R18" s="448"/>
      <c r="S18" s="448"/>
      <c r="T18" s="448"/>
      <c r="U18" s="448"/>
      <c r="V18" s="448"/>
    </row>
    <row r="19">
      <c r="A19" s="448" t="str">
        <f>IFERROR(__xludf.DUMMYFUNCTION("""COMPUTED_VALUE"""),"Meditation")</f>
        <v>Meditation</v>
      </c>
      <c r="B19" s="448" t="str">
        <f>IFERROR(__xludf.DUMMYFUNCTION("""COMPUTED_VALUE"""),"[]
Double recovery for all short rest Frequency spent")</f>
        <v>[]
Double recovery for all short rest Frequency spent</v>
      </c>
      <c r="C19" s="448" t="str">
        <f>IFERROR(__xludf.DUMMYFUNCTION("""COMPUTED_VALUE"""),"-[]
")</f>
        <v>-[]
</v>
      </c>
      <c r="D19" s="448" t="str">
        <f>IFERROR(__xludf.DUMMYFUNCTION("""COMPUTED_VALUE"""),"-[]
")</f>
        <v>-[]
</v>
      </c>
      <c r="E19" s="449">
        <f>IFERROR(__xludf.DUMMYFUNCTION("""COMPUTED_VALUE"""),5.0)</f>
        <v>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IFERROR(__xludf.DUMMYFUNCTION("""COMPUTED_VALUE"""),"Easy to Find Work")</f>
        <v>Easy to Find Work</v>
      </c>
      <c r="B20" s="448" t="str">
        <f>IFERROR(__xludf.DUMMYFUNCTION("""COMPUTED_VALUE"""),"[]
You have no issues integrating into the local populace and making connections via oddjobs.")</f>
        <v>[]
You have no issues integrating into the local populace and making connections via oddjobs.</v>
      </c>
      <c r="C20" s="448" t="str">
        <f>IFERROR(__xludf.DUMMYFUNCTION("""COMPUTED_VALUE"""),"-[]
")</f>
        <v>-[]
</v>
      </c>
      <c r="D20" s="448" t="str">
        <f>IFERROR(__xludf.DUMMYFUNCTION("""COMPUTED_VALUE"""),"-[]
")</f>
        <v>-[]
</v>
      </c>
      <c r="E20" s="449">
        <f>IFERROR(__xludf.DUMMYFUNCTION("""COMPUTED_VALUE"""),5.0)</f>
        <v>5</v>
      </c>
      <c r="F20" s="448"/>
      <c r="G20" s="448"/>
      <c r="H20" s="448"/>
      <c r="I20" s="448"/>
      <c r="J20" s="448"/>
      <c r="K20" s="448"/>
      <c r="L20" s="448"/>
      <c r="M20" s="448"/>
      <c r="N20" s="448"/>
      <c r="O20" s="448"/>
      <c r="P20" s="448"/>
      <c r="Q20" s="448"/>
      <c r="R20" s="448"/>
      <c r="S20" s="448"/>
      <c r="T20" s="448"/>
      <c r="U20" s="448"/>
      <c r="V20" s="448"/>
    </row>
    <row r="21">
      <c r="A21" s="448" t="str">
        <f>IFERROR(__xludf.DUMMYFUNCTION("""COMPUTED_VALUE"""),"Natural Sportsman")</f>
        <v>Natural Sportsman</v>
      </c>
      <c r="B21" s="448" t="str">
        <f>IFERROR(__xludf.DUMMYFUNCTION("""COMPUTED_VALUE"""),"[]
Any attribute points spent during the course of a sport is doubled.")</f>
        <v>[]
Any attribute points spent during the course of a sport is doubled.</v>
      </c>
      <c r="C21" s="448" t="str">
        <f>IFERROR(__xludf.DUMMYFUNCTION("""COMPUTED_VALUE"""),"-[]
")</f>
        <v>-[]
</v>
      </c>
      <c r="D21" s="448" t="str">
        <f>IFERROR(__xludf.DUMMYFUNCTION("""COMPUTED_VALUE"""),"-[]
")</f>
        <v>-[]
</v>
      </c>
      <c r="E21" s="449">
        <f>IFERROR(__xludf.DUMMYFUNCTION("""COMPUTED_VALUE"""),5.0)</f>
        <v>5</v>
      </c>
      <c r="F21" s="448"/>
      <c r="G21" s="448"/>
      <c r="H21" s="448"/>
      <c r="I21" s="448"/>
      <c r="J21" s="448"/>
      <c r="K21" s="448"/>
      <c r="L21" s="448"/>
      <c r="M21" s="448"/>
      <c r="N21" s="448"/>
      <c r="O21" s="448"/>
      <c r="P21" s="448"/>
      <c r="Q21" s="448"/>
      <c r="R21" s="448"/>
      <c r="S21" s="448"/>
      <c r="T21" s="448"/>
      <c r="U21" s="448"/>
      <c r="V21" s="448"/>
    </row>
    <row r="22">
      <c r="A22" s="448" t="str">
        <f>IFERROR(__xludf.DUMMYFUNCTION("""COMPUTED_VALUE"""),"University Contacts")</f>
        <v>University Contacts</v>
      </c>
      <c r="B22" s="448"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48" t="str">
        <f>IFERROR(__xludf.DUMMYFUNCTION("""COMPUTED_VALUE"""),"-[]
")</f>
        <v>-[]
</v>
      </c>
      <c r="D22" s="448" t="str">
        <f>IFERROR(__xludf.DUMMYFUNCTION("""COMPUTED_VALUE"""),"-[]
")</f>
        <v>-[]
</v>
      </c>
      <c r="E22" s="449">
        <f>IFERROR(__xludf.DUMMYFUNCTION("""COMPUTED_VALUE"""),5.0)</f>
        <v>5</v>
      </c>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""Learning!B3:B""),""SELECT * WHERE Col1 IS NOT NULL"",0)"),"Fast Learner")</f>
        <v>Fast Learner</v>
      </c>
      <c r="B1" s="448"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48"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48"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49">
        <f>IFERROR(__xludf.DUMMYFUNCTION("QUERY(IMPORTRANGE(""1koQqL7bV1rMPtlmhZblwVeK5weyiTfFQ3POD_grK7Rc"", ""Learning!C3:C""),""SELECT * WHERE Col1 IS NOT NULL"",0)"),9.0)</f>
        <v>9</v>
      </c>
      <c r="F1" s="448"/>
      <c r="G1" s="448"/>
      <c r="H1" s="448"/>
      <c r="I1" s="448"/>
      <c r="J1" s="448"/>
      <c r="K1" s="448"/>
      <c r="L1" s="448"/>
      <c r="M1" s="448"/>
      <c r="N1" s="448"/>
      <c r="O1" s="448"/>
      <c r="P1" s="448"/>
      <c r="Q1" s="448"/>
      <c r="R1" s="448"/>
      <c r="S1" s="448"/>
      <c r="T1" s="448"/>
      <c r="U1" s="448"/>
      <c r="V1" s="448"/>
    </row>
    <row r="2">
      <c r="A2" s="451" t="str">
        <f>IFERROR(__xludf.DUMMYFUNCTION("""COMPUTED_VALUE"""),"Gifted")</f>
        <v>Gifted</v>
      </c>
      <c r="B2" s="451" t="str">
        <f>IFERROR(__xludf.DUMMYFUNCTION("""COMPUTED_VALUE"""),"[CHA 4]
When a skill is increased from level 0 to 1, gain 2 extra levels.")</f>
        <v>[CHA 4]
When a skill is increased from level 0 to 1, gain 2 extra levels.</v>
      </c>
      <c r="C2" s="451" t="str">
        <f>IFERROR(__xludf.DUMMYFUNCTION("""COMPUTED_VALUE"""),"-[]")</f>
        <v>-[]</v>
      </c>
      <c r="D2" s="451" t="str">
        <f>IFERROR(__xludf.DUMMYFUNCTION("""COMPUTED_VALUE"""),"-[]")</f>
        <v>-[]</v>
      </c>
      <c r="E2" s="449">
        <f>IFERROR(__xludf.DUMMYFUNCTION("""COMPUTED_VALUE"""),10.0)</f>
        <v>10</v>
      </c>
      <c r="F2" s="448"/>
      <c r="G2" s="448"/>
      <c r="H2" s="448"/>
      <c r="I2" s="448"/>
      <c r="J2" s="448"/>
      <c r="K2" s="448"/>
      <c r="L2" s="448"/>
      <c r="M2" s="448"/>
      <c r="N2" s="448"/>
      <c r="O2" s="448"/>
      <c r="P2" s="448"/>
      <c r="Q2" s="448"/>
      <c r="R2" s="448"/>
      <c r="S2" s="448"/>
      <c r="T2" s="448"/>
      <c r="U2" s="448"/>
      <c r="V2" s="448"/>
    </row>
    <row r="3">
      <c r="A3" s="448" t="str">
        <f>IFERROR(__xludf.DUMMYFUNCTION("""COMPUTED_VALUE"""),"Hive Mind")</f>
        <v>Hive Mind</v>
      </c>
      <c r="B3" s="448"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48"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48"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49">
        <f>IFERROR(__xludf.DUMMYFUNCTION("""COMPUTED_VALUE"""),15.0)</f>
        <v>15</v>
      </c>
      <c r="F3" s="448"/>
      <c r="G3" s="448"/>
      <c r="H3" s="448"/>
      <c r="I3" s="448"/>
      <c r="J3" s="448"/>
      <c r="K3" s="448"/>
      <c r="L3" s="448"/>
      <c r="M3" s="448"/>
      <c r="N3" s="448"/>
      <c r="O3" s="448"/>
      <c r="P3" s="448"/>
      <c r="Q3" s="448"/>
      <c r="R3" s="448"/>
      <c r="S3" s="448"/>
      <c r="T3" s="448"/>
      <c r="U3" s="448"/>
      <c r="V3" s="448"/>
    </row>
    <row r="4">
      <c r="A4" s="448" t="str">
        <f>IFERROR(__xludf.DUMMYFUNCTION("""COMPUTED_VALUE"""),"Jack of All Trades")</f>
        <v>Jack of All Trades</v>
      </c>
      <c r="B4" s="448"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48" t="str">
        <f>IFERROR(__xludf.DUMMYFUNCTION("""COMPUTED_VALUE"""),"-[]")</f>
        <v>-[]</v>
      </c>
      <c r="D4" s="448" t="str">
        <f>IFERROR(__xludf.DUMMYFUNCTION("""COMPUTED_VALUE"""),"-[]")</f>
        <v>-[]</v>
      </c>
      <c r="E4" s="449">
        <f>IFERROR(__xludf.DUMMYFUNCTION("""COMPUTED_VALUE"""),6.0)</f>
        <v>6</v>
      </c>
      <c r="F4" s="448"/>
      <c r="G4" s="448"/>
      <c r="H4" s="448"/>
      <c r="I4" s="448"/>
      <c r="J4" s="448"/>
      <c r="K4" s="448"/>
      <c r="L4" s="448"/>
      <c r="M4" s="448"/>
      <c r="N4" s="448"/>
      <c r="O4" s="448"/>
      <c r="P4" s="448"/>
      <c r="Q4" s="448"/>
      <c r="R4" s="448"/>
      <c r="S4" s="448"/>
      <c r="T4" s="448"/>
      <c r="U4" s="448"/>
      <c r="V4" s="448"/>
    </row>
    <row r="5">
      <c r="A5" s="448" t="str">
        <f>IFERROR(__xludf.DUMMYFUNCTION("""COMPUTED_VALUE"""),"Knowledge is Power")</f>
        <v>Knowledge is Power</v>
      </c>
      <c r="B5" s="448" t="str">
        <f>IFERROR(__xludf.DUMMYFUNCTION("""COMPUTED_VALUE"""),"[INT 3]
If you roll a 10 on a skill training check then you gain an extra level on that skill.")</f>
        <v>[INT 3]
If you roll a 10 on a skill training check then you gain an extra level on that skill.</v>
      </c>
      <c r="C5" s="448"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48"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49">
        <f>IFERROR(__xludf.DUMMYFUNCTION("""COMPUTED_VALUE"""),7.0)</f>
        <v>7</v>
      </c>
      <c r="F5" s="448"/>
      <c r="G5" s="448"/>
      <c r="H5" s="448"/>
      <c r="I5" s="448"/>
      <c r="J5" s="448"/>
      <c r="K5" s="448"/>
      <c r="L5" s="448"/>
      <c r="M5" s="448"/>
      <c r="N5" s="448"/>
      <c r="O5" s="448"/>
      <c r="P5" s="448"/>
      <c r="Q5" s="448"/>
      <c r="R5" s="448"/>
      <c r="S5" s="448"/>
      <c r="T5" s="448"/>
      <c r="U5" s="448"/>
      <c r="V5" s="448"/>
    </row>
    <row r="6">
      <c r="A6" s="448" t="str">
        <f>IFERROR(__xludf.DUMMYFUNCTION("""COMPUTED_VALUE"""),"Muscle Memory")</f>
        <v>Muscle Memory</v>
      </c>
      <c r="B6" s="448"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48" t="str">
        <f>IFERROR(__xludf.DUMMYFUNCTION("""COMPUTED_VALUE"""),"-[]")</f>
        <v>-[]</v>
      </c>
      <c r="D6" s="448" t="str">
        <f>IFERROR(__xludf.DUMMYFUNCTION("""COMPUTED_VALUE"""),"-[]")</f>
        <v>-[]</v>
      </c>
      <c r="E6" s="449">
        <f>IFERROR(__xludf.DUMMYFUNCTION("""COMPUTED_VALUE"""),17.0)</f>
        <v>17</v>
      </c>
      <c r="F6" s="448"/>
      <c r="G6" s="448"/>
      <c r="H6" s="448"/>
      <c r="I6" s="448"/>
      <c r="J6" s="448"/>
      <c r="K6" s="448"/>
      <c r="L6" s="448"/>
      <c r="M6" s="448"/>
      <c r="N6" s="448"/>
      <c r="O6" s="448"/>
      <c r="P6" s="448"/>
      <c r="Q6" s="448"/>
      <c r="R6" s="448"/>
      <c r="S6" s="448"/>
      <c r="T6" s="448"/>
      <c r="U6" s="448"/>
      <c r="V6" s="448"/>
    </row>
    <row r="7">
      <c r="A7" s="448" t="str">
        <f>IFERROR(__xludf.DUMMYFUNCTION("""COMPUTED_VALUE"""),"Scatterbrained")</f>
        <v>Scatterbrained</v>
      </c>
      <c r="B7" s="448" t="str">
        <f>IFERROR(__xludf.DUMMYFUNCTION("""COMPUTED_VALUE"""),"[INT 4]
At the end of a session you may change one trainable skill to another of the same skill class.")</f>
        <v>[INT 4]
At the end of a session you may change one trainable skill to another of the same skill class.</v>
      </c>
      <c r="C7" s="448" t="str">
        <f>IFERROR(__xludf.DUMMYFUNCTION("""COMPUTED_VALUE"""),"-[]")</f>
        <v>-[]</v>
      </c>
      <c r="D7" s="448" t="str">
        <f>IFERROR(__xludf.DUMMYFUNCTION("""COMPUTED_VALUE"""),"-[]")</f>
        <v>-[]</v>
      </c>
      <c r="E7" s="449">
        <f>IFERROR(__xludf.DUMMYFUNCTION("""COMPUTED_VALUE"""),7.0)</f>
        <v>7</v>
      </c>
      <c r="F7" s="448"/>
      <c r="G7" s="448"/>
      <c r="H7" s="448"/>
      <c r="I7" s="448"/>
      <c r="J7" s="448"/>
      <c r="K7" s="448"/>
      <c r="L7" s="448"/>
      <c r="M7" s="448"/>
      <c r="N7" s="448"/>
      <c r="O7" s="448"/>
      <c r="P7" s="448"/>
      <c r="Q7" s="448"/>
      <c r="R7" s="448"/>
      <c r="S7" s="448"/>
      <c r="T7" s="448"/>
      <c r="U7" s="448"/>
      <c r="V7" s="448"/>
    </row>
    <row r="8">
      <c r="A8" s="448" t="str">
        <f>IFERROR(__xludf.DUMMYFUNCTION("""COMPUTED_VALUE"""),"Self Teacher")</f>
        <v>Self Teacher</v>
      </c>
      <c r="B8" s="448"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48" t="str">
        <f>IFERROR(__xludf.DUMMYFUNCTION("""COMPUTED_VALUE"""),"-[]")</f>
        <v>-[]</v>
      </c>
      <c r="D8" s="448" t="str">
        <f>IFERROR(__xludf.DUMMYFUNCTION("""COMPUTED_VALUE"""),"-[]")</f>
        <v>-[]</v>
      </c>
      <c r="E8" s="449">
        <f>IFERROR(__xludf.DUMMYFUNCTION("""COMPUTED_VALUE"""),5.0)</f>
        <v>5</v>
      </c>
      <c r="F8" s="448"/>
      <c r="G8" s="448"/>
      <c r="H8" s="448"/>
      <c r="I8" s="448"/>
      <c r="J8" s="448"/>
      <c r="K8" s="448"/>
      <c r="L8" s="448"/>
      <c r="M8" s="448"/>
      <c r="N8" s="448"/>
      <c r="O8" s="448"/>
      <c r="P8" s="448"/>
      <c r="Q8" s="448"/>
      <c r="R8" s="448"/>
      <c r="S8" s="448"/>
      <c r="T8" s="448"/>
      <c r="U8" s="448"/>
      <c r="V8" s="448"/>
    </row>
    <row r="9">
      <c r="A9" s="448"/>
      <c r="B9" s="448"/>
      <c r="C9" s="448"/>
      <c r="D9" s="448"/>
      <c r="E9" s="449"/>
      <c r="F9" s="448"/>
      <c r="G9" s="448"/>
      <c r="H9" s="448"/>
      <c r="I9" s="448"/>
      <c r="J9" s="448"/>
      <c r="K9" s="448"/>
      <c r="L9" s="448"/>
      <c r="M9" s="448"/>
      <c r="N9" s="448"/>
      <c r="O9" s="448"/>
      <c r="P9" s="448"/>
      <c r="Q9" s="448"/>
      <c r="R9" s="448"/>
      <c r="S9" s="448"/>
      <c r="T9" s="448"/>
      <c r="U9" s="448"/>
      <c r="V9" s="448"/>
    </row>
    <row r="10">
      <c r="A10" s="448"/>
      <c r="B10" s="448"/>
      <c r="C10" s="448"/>
      <c r="D10" s="448"/>
      <c r="E10" s="449"/>
      <c r="F10" s="448"/>
      <c r="G10" s="448"/>
      <c r="H10" s="448"/>
      <c r="I10" s="448"/>
      <c r="J10" s="448"/>
      <c r="K10" s="448"/>
      <c r="L10" s="448"/>
      <c r="M10" s="448"/>
      <c r="N10" s="448"/>
      <c r="O10" s="448"/>
      <c r="P10" s="448"/>
      <c r="Q10" s="448"/>
      <c r="R10" s="448"/>
      <c r="S10" s="448"/>
      <c r="T10" s="448"/>
      <c r="U10" s="448"/>
      <c r="V10" s="448"/>
    </row>
    <row r="11">
      <c r="A11" s="448"/>
      <c r="B11" s="448"/>
      <c r="C11" s="448"/>
      <c r="D11" s="448"/>
      <c r="E11" s="449"/>
      <c r="F11" s="448"/>
      <c r="G11" s="448"/>
      <c r="H11" s="448"/>
      <c r="I11" s="448"/>
      <c r="J11" s="448"/>
      <c r="K11" s="448"/>
      <c r="L11" s="448"/>
      <c r="M11" s="448"/>
      <c r="N11" s="448"/>
      <c r="O11" s="448"/>
      <c r="P11" s="448"/>
      <c r="Q11" s="448"/>
      <c r="R11" s="448"/>
      <c r="S11" s="448"/>
      <c r="T11" s="448"/>
      <c r="U11" s="448"/>
      <c r="V11" s="448"/>
    </row>
    <row r="12">
      <c r="A12" s="448"/>
      <c r="B12" s="448"/>
      <c r="C12" s="448"/>
      <c r="D12" s="448"/>
      <c r="E12" s="449"/>
      <c r="F12" s="448"/>
      <c r="G12" s="448"/>
      <c r="H12" s="448"/>
      <c r="I12" s="448"/>
      <c r="J12" s="448"/>
      <c r="K12" s="448"/>
      <c r="L12" s="448"/>
      <c r="M12" s="448"/>
      <c r="N12" s="448"/>
      <c r="O12" s="448"/>
      <c r="P12" s="448"/>
      <c r="Q12" s="448"/>
      <c r="R12" s="448"/>
      <c r="S12" s="448"/>
      <c r="T12" s="448"/>
      <c r="U12" s="448"/>
      <c r="V12" s="448"/>
    </row>
    <row r="13">
      <c r="A13" s="448"/>
      <c r="B13" s="448"/>
      <c r="C13" s="448"/>
      <c r="D13" s="448"/>
      <c r="E13" s="449"/>
      <c r="F13" s="448"/>
      <c r="G13" s="448"/>
      <c r="H13" s="448"/>
      <c r="I13" s="448"/>
      <c r="J13" s="448"/>
      <c r="K13" s="448"/>
      <c r="L13" s="448"/>
      <c r="M13" s="448"/>
      <c r="N13" s="448"/>
      <c r="O13" s="448"/>
      <c r="P13" s="448"/>
      <c r="Q13" s="448"/>
      <c r="R13" s="448"/>
      <c r="S13" s="448"/>
      <c r="T13" s="448"/>
      <c r="U13" s="448"/>
      <c r="V13" s="448"/>
    </row>
    <row r="14">
      <c r="A14" s="448"/>
      <c r="B14" s="448"/>
      <c r="C14" s="448"/>
      <c r="D14" s="448"/>
      <c r="E14" s="449"/>
      <c r="F14" s="448"/>
      <c r="G14" s="448"/>
      <c r="H14" s="448"/>
      <c r="I14" s="448"/>
      <c r="J14" s="448"/>
      <c r="K14" s="448"/>
      <c r="L14" s="448"/>
      <c r="M14" s="448"/>
      <c r="N14" s="448"/>
      <c r="O14" s="448"/>
      <c r="P14" s="448"/>
      <c r="Q14" s="448"/>
      <c r="R14" s="448"/>
      <c r="S14" s="448"/>
      <c r="T14" s="448"/>
      <c r="U14" s="448"/>
      <c r="V14" s="448"/>
    </row>
    <row r="15">
      <c r="A15" s="448"/>
      <c r="B15" s="448"/>
      <c r="C15" s="448"/>
      <c r="D15" s="448"/>
      <c r="E15" s="449"/>
      <c r="F15" s="448"/>
      <c r="G15" s="448"/>
      <c r="H15" s="448"/>
      <c r="I15" s="448"/>
      <c r="J15" s="448"/>
      <c r="K15" s="448"/>
      <c r="L15" s="448"/>
      <c r="M15" s="448"/>
      <c r="N15" s="448"/>
      <c r="O15" s="448"/>
      <c r="P15" s="448"/>
      <c r="Q15" s="448"/>
      <c r="R15" s="448"/>
      <c r="S15" s="448"/>
      <c r="T15" s="448"/>
      <c r="U15" s="448"/>
      <c r="V15" s="448"/>
    </row>
    <row r="16">
      <c r="A16" s="448"/>
      <c r="B16" s="448"/>
      <c r="C16" s="448"/>
      <c r="D16" s="448"/>
      <c r="E16" s="449"/>
      <c r="F16" s="448"/>
      <c r="G16" s="448"/>
      <c r="H16" s="448"/>
      <c r="I16" s="448"/>
      <c r="J16" s="448"/>
      <c r="K16" s="448"/>
      <c r="L16" s="448"/>
      <c r="M16" s="448"/>
      <c r="N16" s="448"/>
      <c r="O16" s="448"/>
      <c r="P16" s="448"/>
      <c r="Q16" s="448"/>
      <c r="R16" s="448"/>
      <c r="S16" s="448"/>
      <c r="T16" s="448"/>
      <c r="U16" s="448"/>
      <c r="V16" s="448"/>
    </row>
    <row r="17">
      <c r="A17" s="448"/>
      <c r="B17" s="448"/>
      <c r="C17" s="448"/>
      <c r="D17" s="448"/>
      <c r="E17" s="449"/>
      <c r="F17" s="448"/>
      <c r="G17" s="448"/>
      <c r="H17" s="448"/>
      <c r="I17" s="448"/>
      <c r="J17" s="448"/>
      <c r="K17" s="448"/>
      <c r="L17" s="448"/>
      <c r="M17" s="448"/>
      <c r="N17" s="448"/>
      <c r="O17" s="448"/>
      <c r="P17" s="448"/>
      <c r="Q17" s="448"/>
      <c r="R17" s="448"/>
      <c r="S17" s="448"/>
      <c r="T17" s="448"/>
      <c r="U17" s="448"/>
      <c r="V17" s="448"/>
    </row>
    <row r="18">
      <c r="A18" s="448"/>
      <c r="B18" s="448"/>
      <c r="C18" s="448"/>
      <c r="D18" s="448"/>
      <c r="E18" s="449"/>
      <c r="F18" s="448"/>
      <c r="G18" s="448"/>
      <c r="H18" s="448"/>
      <c r="I18" s="448"/>
      <c r="J18" s="448"/>
      <c r="K18" s="448"/>
      <c r="L18" s="448"/>
      <c r="M18" s="448"/>
      <c r="N18" s="448"/>
      <c r="O18" s="448"/>
      <c r="P18" s="448"/>
      <c r="Q18" s="448"/>
      <c r="R18" s="448"/>
      <c r="S18" s="448"/>
      <c r="T18" s="448"/>
      <c r="U18" s="448"/>
      <c r="V18" s="448"/>
    </row>
    <row r="19">
      <c r="A19" s="448"/>
      <c r="B19" s="448"/>
      <c r="C19" s="448"/>
      <c r="D19" s="448"/>
      <c r="E19" s="449"/>
      <c r="F19" s="448"/>
      <c r="G19" s="448"/>
      <c r="H19" s="448"/>
      <c r="I19" s="448"/>
      <c r="J19" s="448"/>
      <c r="K19" s="448"/>
      <c r="L19" s="448"/>
      <c r="M19" s="448"/>
      <c r="N19" s="448"/>
      <c r="O19" s="448"/>
      <c r="P19" s="448"/>
      <c r="Q19" s="448"/>
      <c r="R19" s="448"/>
      <c r="S19" s="448"/>
      <c r="T19" s="448"/>
      <c r="U19" s="448"/>
      <c r="V19" s="448"/>
    </row>
    <row r="20">
      <c r="A20" s="448"/>
      <c r="B20" s="448"/>
      <c r="C20" s="448"/>
      <c r="D20" s="448"/>
      <c r="E20" s="449"/>
      <c r="F20" s="448"/>
      <c r="G20" s="448"/>
      <c r="H20" s="448"/>
      <c r="I20" s="448"/>
      <c r="J20" s="448"/>
      <c r="K20" s="448"/>
      <c r="L20" s="448"/>
      <c r="M20" s="448"/>
      <c r="N20" s="448"/>
      <c r="O20" s="448"/>
      <c r="P20" s="448"/>
      <c r="Q20" s="448"/>
      <c r="R20" s="448"/>
      <c r="S20" s="448"/>
      <c r="T20" s="448"/>
      <c r="U20" s="448"/>
      <c r="V20" s="448"/>
    </row>
    <row r="21">
      <c r="A21" s="448"/>
      <c r="B21" s="448"/>
      <c r="C21" s="448"/>
      <c r="D21" s="448"/>
      <c r="E21" s="449"/>
      <c r="F21" s="448"/>
      <c r="G21" s="448"/>
      <c r="H21" s="448"/>
      <c r="I21" s="448"/>
      <c r="J21" s="448"/>
      <c r="K21" s="448"/>
      <c r="L21" s="448"/>
      <c r="M21" s="448"/>
      <c r="N21" s="448"/>
      <c r="O21" s="448"/>
      <c r="P21" s="448"/>
      <c r="Q21" s="448"/>
      <c r="R21" s="448"/>
      <c r="S21" s="448"/>
      <c r="T21" s="448"/>
      <c r="U21" s="448"/>
      <c r="V21" s="448"/>
    </row>
    <row r="22">
      <c r="A22" s="448"/>
      <c r="B22" s="448"/>
      <c r="C22" s="448"/>
      <c r="D22" s="448"/>
      <c r="E22" s="449"/>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""Social!B3:B""),""SELECT * WHERE Col1 IS NOT NULL"",0)"),"Alluring Spark")</f>
        <v>Alluring Spark</v>
      </c>
      <c r="B1" s="448"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48"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48"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49">
        <f>IFERROR(__xludf.DUMMYFUNCTION("QUERY(IMPORTRANGE(""1koQqL7bV1rMPtlmhZblwVeK5weyiTfFQ3POD_grK7Rc"", ""Social!C3:C""),""SELECT * WHERE Col1 IS NOT NULL"",0)"),7.0)</f>
        <v>7</v>
      </c>
      <c r="F1" s="448"/>
      <c r="G1" s="448"/>
      <c r="H1" s="448"/>
      <c r="I1" s="448"/>
      <c r="J1" s="448"/>
      <c r="K1" s="448"/>
      <c r="L1" s="448"/>
      <c r="M1" s="448"/>
      <c r="N1" s="448"/>
      <c r="O1" s="448"/>
      <c r="P1" s="448"/>
      <c r="Q1" s="448"/>
      <c r="R1" s="448"/>
      <c r="S1" s="448"/>
      <c r="T1" s="448"/>
      <c r="U1" s="448"/>
      <c r="V1" s="448"/>
    </row>
    <row r="2">
      <c r="A2" s="451" t="str">
        <f>IFERROR(__xludf.DUMMYFUNCTION("""COMPUTED_VALUE"""),"Diplomatic Immunity in (X)")</f>
        <v>Diplomatic Immunity in (X)</v>
      </c>
      <c r="B2" s="451"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51" t="str">
        <f>IFERROR(__xludf.DUMMYFUNCTION("""COMPUTED_VALUE"""),"[Law 14]
  Even if murder is involved the law can only detain and extradite you.")</f>
        <v>[Law 14]
  Even if murder is involved the law can only detain and extradite you.</v>
      </c>
      <c r="D2" s="451" t="str">
        <f>IFERROR(__xludf.DUMMYFUNCTION("""COMPUTED_VALUE"""),"[Law 16]
The law can't touch you.")</f>
        <v>[Law 16]
The law can't touch you.</v>
      </c>
      <c r="E2" s="449">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IFERROR(__xludf.DUMMYFUNCTION("""COMPUTED_VALUE"""),"Heavenly Beauty")</f>
        <v>Heavenly Beauty</v>
      </c>
      <c r="B3" s="448"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48"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48"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49">
        <f>IFERROR(__xludf.DUMMYFUNCTION("""COMPUTED_VALUE"""),20.0)</f>
        <v>20</v>
      </c>
      <c r="F3" s="448"/>
      <c r="G3" s="448"/>
      <c r="H3" s="448"/>
      <c r="I3" s="448"/>
      <c r="J3" s="448"/>
      <c r="K3" s="448"/>
      <c r="L3" s="448"/>
      <c r="M3" s="448"/>
      <c r="N3" s="448"/>
      <c r="O3" s="448"/>
      <c r="P3" s="448"/>
      <c r="Q3" s="448"/>
      <c r="R3" s="448"/>
      <c r="S3" s="448"/>
      <c r="T3" s="448"/>
      <c r="U3" s="448"/>
      <c r="V3" s="448"/>
    </row>
    <row r="4">
      <c r="A4" s="448" t="str">
        <f>IFERROR(__xludf.DUMMYFUNCTION("""COMPUTED_VALUE"""),"Letting Off Steam")</f>
        <v>Letting Off Steam</v>
      </c>
      <c r="B4" s="448" t="str">
        <f>IFERROR(__xludf.DUMMYFUNCTION("""COMPUTED_VALUE"""),"[None]
Successful intimidation skill checks reduce your strain by the score of the skill check -2.")</f>
        <v>[None]
Successful intimidation skill checks reduce your strain by the score of the skill check -2.</v>
      </c>
      <c r="C4" s="448"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48"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49">
        <f>IFERROR(__xludf.DUMMYFUNCTION("""COMPUTED_VALUE"""),10.0)</f>
        <v>10</v>
      </c>
      <c r="F4" s="448"/>
      <c r="G4" s="448"/>
      <c r="H4" s="448"/>
      <c r="I4" s="448"/>
      <c r="J4" s="448"/>
      <c r="K4" s="448"/>
      <c r="L4" s="448"/>
      <c r="M4" s="448"/>
      <c r="N4" s="448"/>
      <c r="O4" s="448"/>
      <c r="P4" s="448"/>
      <c r="Q4" s="448"/>
      <c r="R4" s="448"/>
      <c r="S4" s="448"/>
      <c r="T4" s="448"/>
      <c r="U4" s="448"/>
      <c r="V4" s="448"/>
    </row>
    <row r="5">
      <c r="A5" s="448" t="str">
        <f>IFERROR(__xludf.DUMMYFUNCTION("""COMPUTED_VALUE"""),"You Have No Power Over Me!")</f>
        <v>You Have No Power Over Me!</v>
      </c>
      <c r="B5" s="448" t="str">
        <f>IFERROR(__xludf.DUMMYFUNCTION("""COMPUTED_VALUE"""),"[WIS 4]
Others may not apply their beauty modifier to checks against you.")</f>
        <v>[WIS 4]
Others may not apply their beauty modifier to checks against you.</v>
      </c>
      <c r="C5" s="448"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48"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49">
        <f>IFERROR(__xludf.DUMMYFUNCTION("""COMPUTED_VALUE"""),15.0)</f>
        <v>15</v>
      </c>
      <c r="F5" s="448"/>
      <c r="G5" s="448"/>
      <c r="H5" s="448"/>
      <c r="I5" s="448"/>
      <c r="J5" s="448"/>
      <c r="K5" s="448"/>
      <c r="L5" s="448"/>
      <c r="M5" s="448"/>
      <c r="N5" s="448"/>
      <c r="O5" s="448"/>
      <c r="P5" s="448"/>
      <c r="Q5" s="448"/>
      <c r="R5" s="448"/>
      <c r="S5" s="448"/>
      <c r="T5" s="448"/>
      <c r="U5" s="448"/>
      <c r="V5" s="448"/>
    </row>
    <row r="6">
      <c r="A6" s="448"/>
      <c r="B6" s="448"/>
      <c r="C6" s="448"/>
      <c r="D6" s="448"/>
      <c r="E6" s="449"/>
      <c r="F6" s="448"/>
      <c r="G6" s="448"/>
      <c r="H6" s="448"/>
      <c r="I6" s="448"/>
      <c r="J6" s="448"/>
      <c r="K6" s="448"/>
      <c r="L6" s="448"/>
      <c r="M6" s="448"/>
      <c r="N6" s="448"/>
      <c r="O6" s="448"/>
      <c r="P6" s="448"/>
      <c r="Q6" s="448"/>
      <c r="R6" s="448"/>
      <c r="S6" s="448"/>
      <c r="T6" s="448"/>
      <c r="U6" s="448"/>
      <c r="V6" s="448"/>
    </row>
    <row r="7">
      <c r="A7" s="448"/>
      <c r="B7" s="448"/>
      <c r="C7" s="448"/>
      <c r="D7" s="448"/>
      <c r="E7" s="449"/>
      <c r="F7" s="448"/>
      <c r="G7" s="448"/>
      <c r="H7" s="448"/>
      <c r="I7" s="448"/>
      <c r="J7" s="448"/>
      <c r="K7" s="448"/>
      <c r="L7" s="448"/>
      <c r="M7" s="448"/>
      <c r="N7" s="448"/>
      <c r="O7" s="448"/>
      <c r="P7" s="448"/>
      <c r="Q7" s="448"/>
      <c r="R7" s="448"/>
      <c r="S7" s="448"/>
      <c r="T7" s="448"/>
      <c r="U7" s="448"/>
      <c r="V7" s="448"/>
    </row>
    <row r="8">
      <c r="A8" s="448"/>
      <c r="B8" s="448"/>
      <c r="C8" s="448"/>
      <c r="D8" s="448"/>
      <c r="E8" s="449"/>
      <c r="F8" s="448"/>
      <c r="G8" s="448"/>
      <c r="H8" s="448"/>
      <c r="I8" s="448"/>
      <c r="J8" s="448"/>
      <c r="K8" s="448"/>
      <c r="L8" s="448"/>
      <c r="M8" s="448"/>
      <c r="N8" s="448"/>
      <c r="O8" s="448"/>
      <c r="P8" s="448"/>
      <c r="Q8" s="448"/>
      <c r="R8" s="448"/>
      <c r="S8" s="448"/>
      <c r="T8" s="448"/>
      <c r="U8" s="448"/>
      <c r="V8" s="448"/>
    </row>
    <row r="9">
      <c r="A9" s="448"/>
      <c r="B9" s="448"/>
      <c r="C9" s="448"/>
      <c r="D9" s="448"/>
      <c r="E9" s="449"/>
      <c r="F9" s="448"/>
      <c r="G9" s="448"/>
      <c r="H9" s="448"/>
      <c r="I9" s="448"/>
      <c r="J9" s="448"/>
      <c r="K9" s="448"/>
      <c r="L9" s="448"/>
      <c r="M9" s="448"/>
      <c r="N9" s="448"/>
      <c r="O9" s="448"/>
      <c r="P9" s="448"/>
      <c r="Q9" s="448"/>
      <c r="R9" s="448"/>
      <c r="S9" s="448"/>
      <c r="T9" s="448"/>
      <c r="U9" s="448"/>
      <c r="V9" s="448"/>
    </row>
    <row r="10">
      <c r="A10" s="448"/>
      <c r="B10" s="448"/>
      <c r="C10" s="448"/>
      <c r="D10" s="448"/>
      <c r="E10" s="449"/>
      <c r="F10" s="448"/>
      <c r="G10" s="448"/>
      <c r="H10" s="448"/>
      <c r="I10" s="448"/>
      <c r="J10" s="448"/>
      <c r="K10" s="448"/>
      <c r="L10" s="448"/>
      <c r="M10" s="448"/>
      <c r="N10" s="448"/>
      <c r="O10" s="448"/>
      <c r="P10" s="448"/>
      <c r="Q10" s="448"/>
      <c r="R10" s="448"/>
      <c r="S10" s="448"/>
      <c r="T10" s="448"/>
      <c r="U10" s="448"/>
      <c r="V10" s="448"/>
    </row>
    <row r="11">
      <c r="A11" s="448"/>
      <c r="B11" s="448"/>
      <c r="C11" s="448"/>
      <c r="D11" s="448"/>
      <c r="E11" s="449"/>
      <c r="F11" s="448"/>
      <c r="G11" s="448"/>
      <c r="H11" s="448"/>
      <c r="I11" s="448"/>
      <c r="J11" s="448"/>
      <c r="K11" s="448"/>
      <c r="L11" s="448"/>
      <c r="M11" s="448"/>
      <c r="N11" s="448"/>
      <c r="O11" s="448"/>
      <c r="P11" s="448"/>
      <c r="Q11" s="448"/>
      <c r="R11" s="448"/>
      <c r="S11" s="448"/>
      <c r="T11" s="448"/>
      <c r="U11" s="448"/>
      <c r="V11" s="448"/>
    </row>
    <row r="12">
      <c r="A12" s="448"/>
      <c r="B12" s="448"/>
      <c r="C12" s="448"/>
      <c r="D12" s="448"/>
      <c r="E12" s="449"/>
      <c r="F12" s="448"/>
      <c r="G12" s="448"/>
      <c r="H12" s="448"/>
      <c r="I12" s="448"/>
      <c r="J12" s="448"/>
      <c r="K12" s="448"/>
      <c r="L12" s="448"/>
      <c r="M12" s="448"/>
      <c r="N12" s="448"/>
      <c r="O12" s="448"/>
      <c r="P12" s="448"/>
      <c r="Q12" s="448"/>
      <c r="R12" s="448"/>
      <c r="S12" s="448"/>
      <c r="T12" s="448"/>
      <c r="U12" s="448"/>
      <c r="V12" s="448"/>
    </row>
    <row r="13">
      <c r="A13" s="448"/>
      <c r="B13" s="448"/>
      <c r="C13" s="448"/>
      <c r="D13" s="448"/>
      <c r="E13" s="449"/>
      <c r="F13" s="448"/>
      <c r="G13" s="448"/>
      <c r="H13" s="448"/>
      <c r="I13" s="448"/>
      <c r="J13" s="448"/>
      <c r="K13" s="448"/>
      <c r="L13" s="448"/>
      <c r="M13" s="448"/>
      <c r="N13" s="448"/>
      <c r="O13" s="448"/>
      <c r="P13" s="448"/>
      <c r="Q13" s="448"/>
      <c r="R13" s="448"/>
      <c r="S13" s="448"/>
      <c r="T13" s="448"/>
      <c r="U13" s="448"/>
      <c r="V13" s="448"/>
    </row>
    <row r="14">
      <c r="A14" s="448"/>
      <c r="B14" s="448"/>
      <c r="C14" s="448"/>
      <c r="D14" s="448"/>
      <c r="E14" s="449"/>
      <c r="F14" s="448"/>
      <c r="G14" s="448"/>
      <c r="H14" s="448"/>
      <c r="I14" s="448"/>
      <c r="J14" s="448"/>
      <c r="K14" s="448"/>
      <c r="L14" s="448"/>
      <c r="M14" s="448"/>
      <c r="N14" s="448"/>
      <c r="O14" s="448"/>
      <c r="P14" s="448"/>
      <c r="Q14" s="448"/>
      <c r="R14" s="448"/>
      <c r="S14" s="448"/>
      <c r="T14" s="448"/>
      <c r="U14" s="448"/>
      <c r="V14" s="448"/>
    </row>
    <row r="15">
      <c r="A15" s="448"/>
      <c r="B15" s="448"/>
      <c r="C15" s="448"/>
      <c r="D15" s="448"/>
      <c r="E15" s="449"/>
      <c r="F15" s="448"/>
      <c r="G15" s="448"/>
      <c r="H15" s="448"/>
      <c r="I15" s="448"/>
      <c r="J15" s="448"/>
      <c r="K15" s="448"/>
      <c r="L15" s="448"/>
      <c r="M15" s="448"/>
      <c r="N15" s="448"/>
      <c r="O15" s="448"/>
      <c r="P15" s="448"/>
      <c r="Q15" s="448"/>
      <c r="R15" s="448"/>
      <c r="S15" s="448"/>
      <c r="T15" s="448"/>
      <c r="U15" s="448"/>
      <c r="V15" s="448"/>
    </row>
    <row r="16">
      <c r="A16" s="448"/>
      <c r="B16" s="448"/>
      <c r="C16" s="448"/>
      <c r="D16" s="448"/>
      <c r="E16" s="449"/>
      <c r="F16" s="448"/>
      <c r="G16" s="448"/>
      <c r="H16" s="448"/>
      <c r="I16" s="448"/>
      <c r="J16" s="448"/>
      <c r="K16" s="448"/>
      <c r="L16" s="448"/>
      <c r="M16" s="448"/>
      <c r="N16" s="448"/>
      <c r="O16" s="448"/>
      <c r="P16" s="448"/>
      <c r="Q16" s="448"/>
      <c r="R16" s="448"/>
      <c r="S16" s="448"/>
      <c r="T16" s="448"/>
      <c r="U16" s="448"/>
      <c r="V16" s="448"/>
    </row>
    <row r="17">
      <c r="A17" s="448"/>
      <c r="B17" s="448"/>
      <c r="C17" s="448"/>
      <c r="D17" s="448"/>
      <c r="E17" s="449"/>
      <c r="F17" s="448"/>
      <c r="G17" s="448"/>
      <c r="H17" s="448"/>
      <c r="I17" s="448"/>
      <c r="J17" s="448"/>
      <c r="K17" s="448"/>
      <c r="L17" s="448"/>
      <c r="M17" s="448"/>
      <c r="N17" s="448"/>
      <c r="O17" s="448"/>
      <c r="P17" s="448"/>
      <c r="Q17" s="448"/>
      <c r="R17" s="448"/>
      <c r="S17" s="448"/>
      <c r="T17" s="448"/>
      <c r="U17" s="448"/>
      <c r="V17" s="448"/>
    </row>
    <row r="18">
      <c r="A18" s="448"/>
      <c r="B18" s="448"/>
      <c r="C18" s="448"/>
      <c r="D18" s="448"/>
      <c r="E18" s="449"/>
      <c r="F18" s="448"/>
      <c r="G18" s="448"/>
      <c r="H18" s="448"/>
      <c r="I18" s="448"/>
      <c r="J18" s="448"/>
      <c r="K18" s="448"/>
      <c r="L18" s="448"/>
      <c r="M18" s="448"/>
      <c r="N18" s="448"/>
      <c r="O18" s="448"/>
      <c r="P18" s="448"/>
      <c r="Q18" s="448"/>
      <c r="R18" s="448"/>
      <c r="S18" s="448"/>
      <c r="T18" s="448"/>
      <c r="U18" s="448"/>
      <c r="V18" s="448"/>
    </row>
    <row r="19">
      <c r="A19" s="448"/>
      <c r="B19" s="448"/>
      <c r="C19" s="448"/>
      <c r="D19" s="448"/>
      <c r="E19" s="449"/>
      <c r="F19" s="448"/>
      <c r="G19" s="448"/>
      <c r="H19" s="448"/>
      <c r="I19" s="448"/>
      <c r="J19" s="448"/>
      <c r="K19" s="448"/>
      <c r="L19" s="448"/>
      <c r="M19" s="448"/>
      <c r="N19" s="448"/>
      <c r="O19" s="448"/>
      <c r="P19" s="448"/>
      <c r="Q19" s="448"/>
      <c r="R19" s="448"/>
      <c r="S19" s="448"/>
      <c r="T19" s="448"/>
      <c r="U19" s="448"/>
      <c r="V19" s="448"/>
    </row>
    <row r="20">
      <c r="A20" s="448"/>
      <c r="B20" s="448"/>
      <c r="C20" s="448"/>
      <c r="D20" s="448"/>
      <c r="E20" s="449"/>
      <c r="F20" s="448"/>
      <c r="G20" s="448"/>
      <c r="H20" s="448"/>
      <c r="I20" s="448"/>
      <c r="J20" s="448"/>
      <c r="K20" s="448"/>
      <c r="L20" s="448"/>
      <c r="M20" s="448"/>
      <c r="N20" s="448"/>
      <c r="O20" s="448"/>
      <c r="P20" s="448"/>
      <c r="Q20" s="448"/>
      <c r="R20" s="448"/>
      <c r="S20" s="448"/>
      <c r="T20" s="448"/>
      <c r="U20" s="448"/>
      <c r="V20" s="448"/>
    </row>
    <row r="21">
      <c r="A21" s="448"/>
      <c r="B21" s="448"/>
      <c r="C21" s="448"/>
      <c r="D21" s="448"/>
      <c r="E21" s="449"/>
      <c r="F21" s="448"/>
      <c r="G21" s="448"/>
      <c r="H21" s="448"/>
      <c r="I21" s="448"/>
      <c r="J21" s="448"/>
      <c r="K21" s="448"/>
      <c r="L21" s="448"/>
      <c r="M21" s="448"/>
      <c r="N21" s="448"/>
      <c r="O21" s="448"/>
      <c r="P21" s="448"/>
      <c r="Q21" s="448"/>
      <c r="R21" s="448"/>
      <c r="S21" s="448"/>
      <c r="T21" s="448"/>
      <c r="U21" s="448"/>
      <c r="V21" s="448"/>
    </row>
    <row r="22">
      <c r="A22" s="448"/>
      <c r="B22" s="448"/>
      <c r="C22" s="448"/>
      <c r="D22" s="448"/>
      <c r="E22" s="449"/>
      <c r="F22" s="448"/>
      <c r="G22" s="448"/>
      <c r="H22" s="448"/>
      <c r="I22" s="448"/>
      <c r="J22" s="448"/>
      <c r="K22" s="448"/>
      <c r="L22" s="448"/>
      <c r="M22" s="448"/>
      <c r="N22" s="448"/>
      <c r="O22" s="448"/>
      <c r="P22" s="448"/>
      <c r="Q22" s="448"/>
      <c r="R22" s="448"/>
      <c r="S22" s="448"/>
      <c r="T22" s="448"/>
      <c r="U22" s="448"/>
      <c r="V22" s="448"/>
    </row>
    <row r="23">
      <c r="A23" s="448"/>
      <c r="B23" s="448"/>
      <c r="C23" s="448"/>
      <c r="D23" s="448"/>
      <c r="E23" s="449"/>
      <c r="F23" s="448"/>
      <c r="G23" s="448"/>
      <c r="H23" s="448"/>
      <c r="I23" s="448"/>
      <c r="J23" s="448"/>
      <c r="K23" s="448"/>
      <c r="L23" s="448"/>
      <c r="M23" s="448"/>
      <c r="N23" s="448"/>
      <c r="O23" s="448"/>
      <c r="P23" s="448"/>
      <c r="Q23" s="448"/>
      <c r="R23" s="448"/>
      <c r="S23" s="448"/>
      <c r="T23" s="448"/>
      <c r="U23" s="448"/>
      <c r="V23" s="448"/>
    </row>
    <row r="24">
      <c r="A24" s="448"/>
      <c r="B24" s="448"/>
      <c r="C24" s="448"/>
      <c r="D24" s="448"/>
      <c r="E24" s="449"/>
      <c r="F24" s="448"/>
      <c r="G24" s="448"/>
      <c r="H24" s="448"/>
      <c r="I24" s="448"/>
      <c r="J24" s="448"/>
      <c r="K24" s="448"/>
      <c r="L24" s="448"/>
      <c r="M24" s="448"/>
      <c r="N24" s="448"/>
      <c r="O24" s="448"/>
      <c r="P24" s="448"/>
      <c r="Q24" s="448"/>
      <c r="R24" s="448"/>
      <c r="S24" s="448"/>
      <c r="T24" s="448"/>
      <c r="U24" s="448"/>
      <c r="V24" s="448"/>
    </row>
    <row r="25">
      <c r="A25" s="448"/>
      <c r="B25" s="448"/>
      <c r="C25" s="448"/>
      <c r="D25" s="448"/>
      <c r="E25" s="449"/>
      <c r="F25" s="448"/>
      <c r="G25" s="448"/>
      <c r="H25" s="448"/>
      <c r="I25" s="448"/>
      <c r="J25" s="448"/>
      <c r="K25" s="448"/>
      <c r="L25" s="448"/>
      <c r="M25" s="448"/>
      <c r="N25" s="448"/>
      <c r="O25" s="448"/>
      <c r="P25" s="448"/>
      <c r="Q25" s="448"/>
      <c r="R25" s="448"/>
      <c r="S25" s="448"/>
      <c r="T25" s="448"/>
      <c r="U25" s="448"/>
      <c r="V25" s="448"/>
    </row>
    <row r="26">
      <c r="A26" s="448"/>
      <c r="B26" s="448"/>
      <c r="C26" s="448"/>
      <c r="D26" s="448"/>
      <c r="E26" s="449"/>
      <c r="F26" s="448"/>
      <c r="G26" s="448"/>
      <c r="H26" s="448"/>
      <c r="I26" s="448"/>
      <c r="J26" s="448"/>
      <c r="K26" s="448"/>
      <c r="L26" s="448"/>
      <c r="M26" s="448"/>
      <c r="N26" s="448"/>
      <c r="O26" s="448"/>
      <c r="P26" s="448"/>
      <c r="Q26" s="448"/>
      <c r="R26" s="448"/>
      <c r="S26" s="448"/>
      <c r="T26" s="448"/>
      <c r="U26" s="448"/>
      <c r="V26" s="448"/>
    </row>
    <row r="27">
      <c r="A27" s="448"/>
      <c r="B27" s="448"/>
      <c r="C27" s="448"/>
      <c r="D27" s="448"/>
      <c r="E27" s="449"/>
      <c r="F27" s="448"/>
      <c r="G27" s="448"/>
      <c r="H27" s="448"/>
      <c r="I27" s="448"/>
      <c r="J27" s="448"/>
      <c r="K27" s="448"/>
      <c r="L27" s="448"/>
      <c r="M27" s="448"/>
      <c r="N27" s="448"/>
      <c r="O27" s="448"/>
      <c r="P27" s="448"/>
      <c r="Q27" s="448"/>
      <c r="R27" s="448"/>
      <c r="S27" s="448"/>
      <c r="T27" s="448"/>
      <c r="U27" s="448"/>
      <c r="V27" s="448"/>
    </row>
    <row r="28">
      <c r="A28" s="448"/>
      <c r="B28" s="448"/>
      <c r="C28" s="448"/>
      <c r="D28" s="448"/>
      <c r="E28" s="449"/>
      <c r="F28" s="448"/>
      <c r="G28" s="448"/>
      <c r="H28" s="448"/>
      <c r="I28" s="448"/>
      <c r="J28" s="448"/>
      <c r="K28" s="448"/>
      <c r="L28" s="448"/>
      <c r="M28" s="448"/>
      <c r="N28" s="448"/>
      <c r="O28" s="448"/>
      <c r="P28" s="448"/>
      <c r="Q28" s="448"/>
      <c r="R28" s="448"/>
      <c r="S28" s="448"/>
      <c r="T28" s="448"/>
      <c r="U28" s="448"/>
      <c r="V28" s="448"/>
    </row>
    <row r="29">
      <c r="A29" s="448"/>
      <c r="B29" s="448"/>
      <c r="C29" s="448"/>
      <c r="D29" s="448"/>
      <c r="E29" s="449"/>
      <c r="F29" s="448"/>
      <c r="G29" s="448"/>
      <c r="H29" s="448"/>
      <c r="I29" s="448"/>
      <c r="J29" s="448"/>
      <c r="K29" s="448"/>
      <c r="L29" s="448"/>
      <c r="M29" s="448"/>
      <c r="N29" s="448"/>
      <c r="O29" s="448"/>
      <c r="P29" s="448"/>
      <c r="Q29" s="448"/>
      <c r="R29" s="448"/>
      <c r="S29" s="448"/>
      <c r="T29" s="448"/>
      <c r="U29" s="448"/>
      <c r="V29" s="448"/>
    </row>
    <row r="30">
      <c r="A30" s="448"/>
      <c r="B30" s="448"/>
      <c r="C30" s="448"/>
      <c r="D30" s="448"/>
      <c r="E30" s="449"/>
      <c r="F30" s="448"/>
      <c r="G30" s="448"/>
      <c r="H30" s="448"/>
      <c r="I30" s="448"/>
      <c r="J30" s="448"/>
      <c r="K30" s="448"/>
      <c r="L30" s="448"/>
      <c r="M30" s="448"/>
      <c r="N30" s="448"/>
      <c r="O30" s="448"/>
      <c r="P30" s="448"/>
      <c r="Q30" s="448"/>
      <c r="R30" s="448"/>
      <c r="S30" s="448"/>
      <c r="T30" s="448"/>
      <c r="U30" s="448"/>
      <c r="V30" s="448"/>
    </row>
    <row r="31">
      <c r="A31" s="448"/>
      <c r="B31" s="448"/>
      <c r="C31" s="448"/>
      <c r="D31" s="448"/>
      <c r="E31" s="449"/>
      <c r="F31" s="448"/>
      <c r="G31" s="448"/>
      <c r="H31" s="448"/>
      <c r="I31" s="448"/>
      <c r="J31" s="448"/>
      <c r="K31" s="448"/>
      <c r="L31" s="448"/>
      <c r="M31" s="448"/>
      <c r="N31" s="448"/>
      <c r="O31" s="448"/>
      <c r="P31" s="448"/>
      <c r="Q31" s="448"/>
      <c r="R31" s="448"/>
      <c r="S31" s="448"/>
      <c r="T31" s="448"/>
      <c r="U31" s="448"/>
      <c r="V31" s="448"/>
    </row>
    <row r="32">
      <c r="A32" s="448"/>
      <c r="B32" s="448"/>
      <c r="C32" s="448"/>
      <c r="D32" s="448"/>
      <c r="E32" s="449"/>
      <c r="F32" s="448"/>
      <c r="G32" s="448"/>
      <c r="H32" s="448"/>
      <c r="I32" s="448"/>
      <c r="J32" s="448"/>
      <c r="K32" s="448"/>
      <c r="L32" s="448"/>
      <c r="M32" s="448"/>
      <c r="N32" s="448"/>
      <c r="O32" s="448"/>
      <c r="P32" s="448"/>
      <c r="Q32" s="448"/>
      <c r="R32" s="448"/>
      <c r="S32" s="448"/>
      <c r="T32" s="448"/>
      <c r="U32" s="448"/>
      <c r="V32" s="448"/>
    </row>
    <row r="33">
      <c r="A33" s="448"/>
      <c r="B33" s="448"/>
      <c r="C33" s="448"/>
      <c r="D33" s="448"/>
      <c r="E33" s="449"/>
      <c r="F33" s="448"/>
      <c r="G33" s="448"/>
      <c r="H33" s="448"/>
      <c r="I33" s="448"/>
      <c r="J33" s="448"/>
      <c r="K33" s="448"/>
      <c r="L33" s="448"/>
      <c r="M33" s="448"/>
      <c r="N33" s="448"/>
      <c r="O33" s="448"/>
      <c r="P33" s="448"/>
      <c r="Q33" s="448"/>
      <c r="R33" s="448"/>
      <c r="S33" s="448"/>
      <c r="T33" s="448"/>
      <c r="U33" s="448"/>
      <c r="V33" s="448"/>
    </row>
    <row r="34">
      <c r="A34" s="448"/>
      <c r="B34" s="448"/>
      <c r="C34" s="448"/>
      <c r="D34" s="448"/>
      <c r="E34" s="449"/>
      <c r="F34" s="448"/>
      <c r="G34" s="448"/>
      <c r="H34" s="448"/>
      <c r="I34" s="448"/>
      <c r="J34" s="448"/>
      <c r="K34" s="448"/>
      <c r="L34" s="448"/>
      <c r="M34" s="448"/>
      <c r="N34" s="448"/>
      <c r="O34" s="448"/>
      <c r="P34" s="448"/>
      <c r="Q34" s="448"/>
      <c r="R34" s="448"/>
      <c r="S34" s="448"/>
      <c r="T34" s="448"/>
      <c r="U34" s="448"/>
      <c r="V34" s="448"/>
    </row>
    <row r="35">
      <c r="A35" s="448"/>
      <c r="B35" s="448"/>
      <c r="C35" s="448"/>
      <c r="D35" s="448"/>
      <c r="E35" s="449"/>
      <c r="F35" s="448"/>
      <c r="G35" s="448"/>
      <c r="H35" s="448"/>
      <c r="I35" s="448"/>
      <c r="J35" s="448"/>
      <c r="K35" s="448"/>
      <c r="L35" s="448"/>
      <c r="M35" s="448"/>
      <c r="N35" s="448"/>
      <c r="O35" s="448"/>
      <c r="P35" s="448"/>
      <c r="Q35" s="448"/>
      <c r="R35" s="448"/>
      <c r="S35" s="448"/>
      <c r="T35" s="448"/>
      <c r="U35" s="448"/>
      <c r="V35" s="448"/>
    </row>
    <row r="36">
      <c r="A36" s="448"/>
      <c r="B36" s="448"/>
      <c r="C36" s="448"/>
      <c r="D36" s="448"/>
      <c r="E36" s="449"/>
      <c r="F36" s="448"/>
      <c r="G36" s="448"/>
      <c r="H36" s="448"/>
      <c r="I36" s="448"/>
      <c r="J36" s="448"/>
      <c r="K36" s="448"/>
      <c r="L36" s="448"/>
      <c r="M36" s="448"/>
      <c r="N36" s="448"/>
      <c r="O36" s="448"/>
      <c r="P36" s="448"/>
      <c r="Q36" s="448"/>
      <c r="R36" s="448"/>
      <c r="S36" s="448"/>
      <c r="T36" s="448"/>
      <c r="U36" s="448"/>
      <c r="V36" s="448"/>
    </row>
    <row r="37">
      <c r="A37" s="448"/>
      <c r="B37" s="448"/>
      <c r="C37" s="448"/>
      <c r="D37" s="448"/>
      <c r="E37" s="449"/>
      <c r="F37" s="448"/>
      <c r="G37" s="448"/>
      <c r="H37" s="448"/>
      <c r="I37" s="448"/>
      <c r="J37" s="448"/>
      <c r="K37" s="448"/>
      <c r="L37" s="448"/>
      <c r="M37" s="448"/>
      <c r="N37" s="448"/>
      <c r="O37" s="448"/>
      <c r="P37" s="448"/>
      <c r="Q37" s="448"/>
      <c r="R37" s="448"/>
      <c r="S37" s="448"/>
      <c r="T37" s="448"/>
      <c r="U37" s="448"/>
      <c r="V37" s="448"/>
    </row>
    <row r="38">
      <c r="A38" s="448"/>
      <c r="B38" s="448"/>
      <c r="C38" s="448"/>
      <c r="D38" s="448"/>
      <c r="E38" s="449"/>
      <c r="F38" s="448"/>
      <c r="G38" s="448"/>
      <c r="H38" s="448"/>
      <c r="I38" s="448"/>
      <c r="J38" s="448"/>
      <c r="K38" s="448"/>
      <c r="L38" s="448"/>
      <c r="M38" s="448"/>
      <c r="N38" s="448"/>
      <c r="O38" s="448"/>
      <c r="P38" s="448"/>
      <c r="Q38" s="448"/>
      <c r="R38" s="448"/>
      <c r="S38" s="448"/>
      <c r="T38" s="448"/>
      <c r="U38" s="448"/>
      <c r="V38" s="448"/>
    </row>
    <row r="39">
      <c r="A39" s="448"/>
      <c r="B39" s="448"/>
      <c r="C39" s="448"/>
      <c r="D39" s="448"/>
      <c r="E39" s="449"/>
      <c r="F39" s="448"/>
      <c r="G39" s="448"/>
      <c r="H39" s="448"/>
      <c r="I39" s="448"/>
      <c r="J39" s="448"/>
      <c r="K39" s="448"/>
      <c r="L39" s="448"/>
      <c r="M39" s="448"/>
      <c r="N39" s="448"/>
      <c r="O39" s="448"/>
      <c r="P39" s="448"/>
      <c r="Q39" s="448"/>
      <c r="R39" s="448"/>
      <c r="S39" s="448"/>
      <c r="T39" s="448"/>
      <c r="U39" s="448"/>
      <c r="V39" s="448"/>
    </row>
    <row r="40">
      <c r="A40" s="448"/>
      <c r="B40" s="448"/>
      <c r="C40" s="448"/>
      <c r="D40" s="448"/>
      <c r="E40" s="449"/>
      <c r="F40" s="448"/>
      <c r="G40" s="448"/>
      <c r="H40" s="448"/>
      <c r="I40" s="448"/>
      <c r="J40" s="448"/>
      <c r="K40" s="448"/>
      <c r="L40" s="448"/>
      <c r="M40" s="448"/>
      <c r="N40" s="448"/>
      <c r="O40" s="448"/>
      <c r="P40" s="448"/>
      <c r="Q40" s="448"/>
      <c r="R40" s="448"/>
      <c r="S40" s="448"/>
      <c r="T40" s="448"/>
      <c r="U40" s="448"/>
      <c r="V40" s="448"/>
    </row>
    <row r="41">
      <c r="A41" s="448"/>
      <c r="B41" s="448"/>
      <c r="C41" s="448"/>
      <c r="D41" s="448"/>
      <c r="E41" s="449"/>
      <c r="F41" s="448"/>
      <c r="G41" s="448"/>
      <c r="H41" s="448"/>
      <c r="I41" s="448"/>
      <c r="J41" s="448"/>
      <c r="K41" s="448"/>
      <c r="L41" s="448"/>
      <c r="M41" s="448"/>
      <c r="N41" s="448"/>
      <c r="O41" s="448"/>
      <c r="P41" s="448"/>
      <c r="Q41" s="448"/>
      <c r="R41" s="448"/>
      <c r="S41" s="448"/>
      <c r="T41" s="448"/>
      <c r="U41" s="448"/>
      <c r="V41" s="448"/>
    </row>
    <row r="42">
      <c r="A42" s="448"/>
      <c r="B42" s="448"/>
      <c r="C42" s="448"/>
      <c r="D42" s="448"/>
      <c r="E42" s="449"/>
      <c r="F42" s="448"/>
      <c r="G42" s="448"/>
      <c r="H42" s="448"/>
      <c r="I42" s="448"/>
      <c r="J42" s="448"/>
      <c r="K42" s="448"/>
      <c r="L42" s="448"/>
      <c r="M42" s="448"/>
      <c r="N42" s="448"/>
      <c r="O42" s="448"/>
      <c r="P42" s="448"/>
      <c r="Q42" s="448"/>
      <c r="R42" s="448"/>
      <c r="S42" s="448"/>
      <c r="T42" s="448"/>
      <c r="U42" s="448"/>
      <c r="V42" s="448"/>
    </row>
    <row r="43">
      <c r="A43" s="448"/>
      <c r="B43" s="448"/>
      <c r="C43" s="448"/>
      <c r="D43" s="448"/>
      <c r="E43" s="449"/>
      <c r="F43" s="448"/>
      <c r="G43" s="448"/>
      <c r="H43" s="448"/>
      <c r="I43" s="448"/>
      <c r="J43" s="448"/>
      <c r="K43" s="448"/>
      <c r="L43" s="448"/>
      <c r="M43" s="448"/>
      <c r="N43" s="448"/>
      <c r="O43" s="448"/>
      <c r="P43" s="448"/>
      <c r="Q43" s="448"/>
      <c r="R43" s="448"/>
      <c r="S43" s="448"/>
      <c r="T43" s="448"/>
      <c r="U43" s="448"/>
      <c r="V43" s="448"/>
    </row>
    <row r="44">
      <c r="A44" s="448"/>
      <c r="B44" s="448"/>
      <c r="C44" s="448"/>
      <c r="D44" s="448"/>
      <c r="E44" s="449"/>
      <c r="F44" s="448"/>
      <c r="G44" s="448"/>
      <c r="H44" s="448"/>
      <c r="I44" s="448"/>
      <c r="J44" s="448"/>
      <c r="K44" s="448"/>
      <c r="L44" s="448"/>
      <c r="M44" s="448"/>
      <c r="N44" s="448"/>
      <c r="O44" s="448"/>
      <c r="P44" s="448"/>
      <c r="Q44" s="448"/>
      <c r="R44" s="448"/>
      <c r="S44" s="448"/>
      <c r="T44" s="448"/>
      <c r="U44" s="448"/>
      <c r="V44" s="448"/>
    </row>
    <row r="45">
      <c r="A45" s="448"/>
      <c r="B45" s="448"/>
      <c r="C45" s="448"/>
      <c r="D45" s="448"/>
      <c r="E45" s="449"/>
      <c r="F45" s="448"/>
      <c r="G45" s="448"/>
      <c r="H45" s="448"/>
      <c r="I45" s="448"/>
      <c r="J45" s="448"/>
      <c r="K45" s="448"/>
      <c r="L45" s="448"/>
      <c r="M45" s="448"/>
      <c r="N45" s="448"/>
      <c r="O45" s="448"/>
      <c r="P45" s="448"/>
      <c r="Q45" s="448"/>
      <c r="R45" s="448"/>
      <c r="S45" s="448"/>
      <c r="T45" s="448"/>
      <c r="U45" s="448"/>
      <c r="V45" s="448"/>
    </row>
    <row r="46">
      <c r="A46" s="448"/>
      <c r="B46" s="448"/>
      <c r="C46" s="448"/>
      <c r="D46" s="448"/>
      <c r="E46" s="449"/>
      <c r="F46" s="448"/>
      <c r="G46" s="448"/>
      <c r="H46" s="448"/>
      <c r="I46" s="448"/>
      <c r="J46" s="448"/>
      <c r="K46" s="448"/>
      <c r="L46" s="448"/>
      <c r="M46" s="448"/>
      <c r="N46" s="448"/>
      <c r="O46" s="448"/>
      <c r="P46" s="448"/>
      <c r="Q46" s="448"/>
      <c r="R46" s="448"/>
      <c r="S46" s="448"/>
      <c r="T46" s="448"/>
      <c r="U46" s="448"/>
      <c r="V46" s="448"/>
    </row>
    <row r="47">
      <c r="A47" s="448"/>
      <c r="B47" s="448"/>
      <c r="C47" s="448"/>
      <c r="D47" s="448"/>
      <c r="E47" s="449"/>
      <c r="F47" s="448"/>
      <c r="G47" s="448"/>
      <c r="H47" s="448"/>
      <c r="I47" s="448"/>
      <c r="J47" s="448"/>
      <c r="K47" s="448"/>
      <c r="L47" s="448"/>
      <c r="M47" s="448"/>
      <c r="N47" s="448"/>
      <c r="O47" s="448"/>
      <c r="P47" s="448"/>
      <c r="Q47" s="448"/>
      <c r="R47" s="448"/>
      <c r="S47" s="448"/>
      <c r="T47" s="448"/>
      <c r="U47" s="448"/>
      <c r="V47" s="448"/>
    </row>
    <row r="48">
      <c r="A48" s="448"/>
      <c r="B48" s="448"/>
      <c r="C48" s="448"/>
      <c r="D48" s="448"/>
      <c r="E48" s="449"/>
      <c r="F48" s="448"/>
      <c r="G48" s="448"/>
      <c r="H48" s="448"/>
      <c r="I48" s="448"/>
      <c r="J48" s="448"/>
      <c r="K48" s="448"/>
      <c r="L48" s="448"/>
      <c r="M48" s="448"/>
      <c r="N48" s="448"/>
      <c r="O48" s="448"/>
      <c r="P48" s="448"/>
      <c r="Q48" s="448"/>
      <c r="R48" s="448"/>
      <c r="S48" s="448"/>
      <c r="T48" s="448"/>
      <c r="U48" s="448"/>
      <c r="V48" s="448"/>
    </row>
    <row r="49">
      <c r="A49" s="448"/>
      <c r="B49" s="448"/>
      <c r="C49" s="448"/>
      <c r="D49" s="448"/>
      <c r="E49" s="449"/>
      <c r="F49" s="448"/>
      <c r="G49" s="448"/>
      <c r="H49" s="448"/>
      <c r="I49" s="448"/>
      <c r="J49" s="448"/>
      <c r="K49" s="448"/>
      <c r="L49" s="448"/>
      <c r="M49" s="448"/>
      <c r="N49" s="448"/>
      <c r="O49" s="448"/>
      <c r="P49" s="448"/>
      <c r="Q49" s="448"/>
      <c r="R49" s="448"/>
      <c r="S49" s="448"/>
      <c r="T49" s="448"/>
      <c r="U49" s="448"/>
      <c r="V49" s="448"/>
    </row>
    <row r="50">
      <c r="A50" s="448"/>
      <c r="B50" s="448"/>
      <c r="C50" s="448"/>
      <c r="D50" s="448"/>
      <c r="E50" s="449"/>
      <c r="F50" s="448"/>
      <c r="G50" s="448"/>
      <c r="H50" s="448"/>
      <c r="I50" s="448"/>
      <c r="J50" s="448"/>
      <c r="K50" s="448"/>
      <c r="L50" s="448"/>
      <c r="M50" s="448"/>
      <c r="N50" s="448"/>
      <c r="O50" s="448"/>
      <c r="P50" s="448"/>
      <c r="Q50" s="448"/>
      <c r="R50" s="448"/>
      <c r="S50" s="448"/>
      <c r="T50" s="448"/>
      <c r="U50" s="448"/>
      <c r="V50" s="448"/>
    </row>
    <row r="51">
      <c r="A51" s="448"/>
      <c r="B51" s="448"/>
      <c r="C51" s="448"/>
      <c r="D51" s="448"/>
      <c r="E51" s="449"/>
      <c r="F51" s="448"/>
      <c r="G51" s="448"/>
      <c r="H51" s="448"/>
      <c r="I51" s="448"/>
      <c r="J51" s="448"/>
      <c r="K51" s="448"/>
      <c r="L51" s="448"/>
      <c r="M51" s="448"/>
      <c r="N51" s="448"/>
      <c r="O51" s="448"/>
      <c r="P51" s="448"/>
      <c r="Q51" s="448"/>
      <c r="R51" s="448"/>
      <c r="S51" s="448"/>
      <c r="T51" s="448"/>
      <c r="U51" s="448"/>
      <c r="V51" s="448"/>
    </row>
    <row r="52">
      <c r="A52" s="448"/>
      <c r="B52" s="448"/>
      <c r="C52" s="448"/>
      <c r="D52" s="448"/>
      <c r="E52" s="449"/>
      <c r="F52" s="448"/>
      <c r="G52" s="448"/>
      <c r="H52" s="448"/>
      <c r="I52" s="448"/>
      <c r="J52" s="448"/>
      <c r="K52" s="448"/>
      <c r="L52" s="448"/>
      <c r="M52" s="448"/>
      <c r="N52" s="448"/>
      <c r="O52" s="448"/>
      <c r="P52" s="448"/>
      <c r="Q52" s="448"/>
      <c r="R52" s="448"/>
      <c r="S52" s="448"/>
      <c r="T52" s="448"/>
      <c r="U52" s="448"/>
      <c r="V52" s="448"/>
    </row>
    <row r="53">
      <c r="A53" s="448"/>
      <c r="B53" s="448"/>
      <c r="C53" s="448"/>
      <c r="D53" s="448"/>
      <c r="E53" s="449"/>
      <c r="F53" s="448"/>
      <c r="G53" s="448"/>
      <c r="H53" s="448"/>
      <c r="I53" s="448"/>
      <c r="J53" s="448"/>
      <c r="K53" s="448"/>
      <c r="L53" s="448"/>
      <c r="M53" s="448"/>
      <c r="N53" s="448"/>
      <c r="O53" s="448"/>
      <c r="P53" s="448"/>
      <c r="Q53" s="448"/>
      <c r="R53" s="448"/>
      <c r="S53" s="448"/>
      <c r="T53" s="448"/>
      <c r="U53" s="448"/>
      <c r="V53" s="448"/>
    </row>
    <row r="54">
      <c r="A54" s="448"/>
      <c r="B54" s="448"/>
      <c r="C54" s="448"/>
      <c r="D54" s="448"/>
      <c r="E54" s="449"/>
      <c r="F54" s="448"/>
      <c r="G54" s="448"/>
      <c r="H54" s="448"/>
      <c r="I54" s="448"/>
      <c r="J54" s="448"/>
      <c r="K54" s="448"/>
      <c r="L54" s="448"/>
      <c r="M54" s="448"/>
      <c r="N54" s="448"/>
      <c r="O54" s="448"/>
      <c r="P54" s="448"/>
      <c r="Q54" s="448"/>
      <c r="R54" s="448"/>
      <c r="S54" s="448"/>
      <c r="T54" s="448"/>
      <c r="U54" s="448"/>
      <c r="V54" s="448"/>
    </row>
    <row r="55">
      <c r="A55" s="448"/>
      <c r="B55" s="448"/>
      <c r="C55" s="448"/>
      <c r="D55" s="448"/>
      <c r="E55" s="449"/>
      <c r="F55" s="448"/>
      <c r="G55" s="448"/>
      <c r="H55" s="448"/>
      <c r="I55" s="448"/>
      <c r="J55" s="448"/>
      <c r="K55" s="448"/>
      <c r="L55" s="448"/>
      <c r="M55" s="448"/>
      <c r="N55" s="448"/>
      <c r="O55" s="448"/>
      <c r="P55" s="448"/>
      <c r="Q55" s="448"/>
      <c r="R55" s="448"/>
      <c r="S55" s="448"/>
      <c r="T55" s="448"/>
      <c r="U55" s="448"/>
      <c r="V55" s="448"/>
    </row>
    <row r="56">
      <c r="A56" s="448"/>
      <c r="B56" s="448"/>
      <c r="C56" s="448"/>
      <c r="D56" s="448"/>
      <c r="E56" s="449"/>
      <c r="F56" s="448"/>
      <c r="G56" s="448"/>
      <c r="H56" s="448"/>
      <c r="I56" s="448"/>
      <c r="J56" s="448"/>
      <c r="K56" s="448"/>
      <c r="L56" s="448"/>
      <c r="M56" s="448"/>
      <c r="N56" s="448"/>
      <c r="O56" s="448"/>
      <c r="P56" s="448"/>
      <c r="Q56" s="448"/>
      <c r="R56" s="448"/>
      <c r="S56" s="448"/>
      <c r="T56" s="448"/>
      <c r="U56" s="448"/>
      <c r="V56" s="448"/>
    </row>
    <row r="57">
      <c r="A57" s="448"/>
      <c r="B57" s="448"/>
      <c r="C57" s="448"/>
      <c r="D57" s="448"/>
      <c r="E57" s="449"/>
      <c r="F57" s="448"/>
      <c r="G57" s="448"/>
      <c r="H57" s="448"/>
      <c r="I57" s="448"/>
      <c r="J57" s="448"/>
      <c r="K57" s="448"/>
      <c r="L57" s="448"/>
      <c r="M57" s="448"/>
      <c r="N57" s="448"/>
      <c r="O57" s="448"/>
      <c r="P57" s="448"/>
      <c r="Q57" s="448"/>
      <c r="R57" s="448"/>
      <c r="S57" s="448"/>
      <c r="T57" s="448"/>
      <c r="U57" s="448"/>
      <c r="V57" s="448"/>
    </row>
    <row r="58">
      <c r="A58" s="448"/>
      <c r="B58" s="448"/>
      <c r="C58" s="448"/>
      <c r="D58" s="448"/>
      <c r="E58" s="449"/>
      <c r="F58" s="448"/>
      <c r="G58" s="448"/>
      <c r="H58" s="448"/>
      <c r="I58" s="448"/>
      <c r="J58" s="448"/>
      <c r="K58" s="448"/>
      <c r="L58" s="448"/>
      <c r="M58" s="448"/>
      <c r="N58" s="448"/>
      <c r="O58" s="448"/>
      <c r="P58" s="448"/>
      <c r="Q58" s="448"/>
      <c r="R58" s="448"/>
      <c r="S58" s="448"/>
      <c r="T58" s="448"/>
      <c r="U58" s="448"/>
      <c r="V58" s="448"/>
    </row>
    <row r="59">
      <c r="A59" s="448"/>
      <c r="B59" s="448"/>
      <c r="C59" s="448"/>
      <c r="D59" s="448"/>
      <c r="E59" s="449"/>
      <c r="F59" s="448"/>
      <c r="G59" s="448"/>
      <c r="H59" s="448"/>
      <c r="I59" s="448"/>
      <c r="J59" s="448"/>
      <c r="K59" s="448"/>
      <c r="L59" s="448"/>
      <c r="M59" s="448"/>
      <c r="N59" s="448"/>
      <c r="O59" s="448"/>
      <c r="P59" s="448"/>
      <c r="Q59" s="448"/>
      <c r="R59" s="448"/>
      <c r="S59" s="448"/>
      <c r="T59" s="448"/>
      <c r="U59" s="448"/>
      <c r="V59" s="448"/>
    </row>
    <row r="60">
      <c r="A60" s="448"/>
      <c r="B60" s="448"/>
      <c r="C60" s="448"/>
      <c r="D60" s="448"/>
      <c r="E60" s="449"/>
      <c r="F60" s="448"/>
      <c r="G60" s="448"/>
      <c r="H60" s="448"/>
      <c r="I60" s="448"/>
      <c r="J60" s="448"/>
      <c r="K60" s="448"/>
      <c r="L60" s="448"/>
      <c r="M60" s="448"/>
      <c r="N60" s="448"/>
      <c r="O60" s="448"/>
      <c r="P60" s="448"/>
      <c r="Q60" s="448"/>
      <c r="R60" s="448"/>
      <c r="S60" s="448"/>
      <c r="T60" s="448"/>
      <c r="U60" s="448"/>
      <c r="V60" s="448"/>
    </row>
    <row r="61">
      <c r="A61" s="448"/>
      <c r="B61" s="448"/>
      <c r="C61" s="448"/>
      <c r="D61" s="448"/>
      <c r="E61" s="449"/>
      <c r="F61" s="448"/>
      <c r="G61" s="448"/>
      <c r="H61" s="448"/>
      <c r="I61" s="448"/>
      <c r="J61" s="448"/>
      <c r="K61" s="448"/>
      <c r="L61" s="448"/>
      <c r="M61" s="448"/>
      <c r="N61" s="448"/>
      <c r="O61" s="448"/>
      <c r="P61" s="448"/>
      <c r="Q61" s="448"/>
      <c r="R61" s="448"/>
      <c r="S61" s="448"/>
      <c r="T61" s="448"/>
      <c r="U61" s="448"/>
      <c r="V61" s="448"/>
    </row>
    <row r="62">
      <c r="A62" s="448"/>
      <c r="B62" s="448"/>
      <c r="C62" s="448"/>
      <c r="D62" s="448"/>
      <c r="E62" s="449"/>
      <c r="F62" s="448"/>
      <c r="G62" s="448"/>
      <c r="H62" s="448"/>
      <c r="I62" s="448"/>
      <c r="J62" s="448"/>
      <c r="K62" s="448"/>
      <c r="L62" s="448"/>
      <c r="M62" s="448"/>
      <c r="N62" s="448"/>
      <c r="O62" s="448"/>
      <c r="P62" s="448"/>
      <c r="Q62" s="448"/>
      <c r="R62" s="448"/>
      <c r="S62" s="448"/>
      <c r="T62" s="448"/>
      <c r="U62" s="448"/>
      <c r="V62" s="448"/>
    </row>
    <row r="63">
      <c r="A63" s="448"/>
      <c r="B63" s="448"/>
      <c r="C63" s="448"/>
      <c r="D63" s="448"/>
      <c r="E63" s="449"/>
      <c r="F63" s="448"/>
      <c r="G63" s="448"/>
      <c r="H63" s="448"/>
      <c r="I63" s="448"/>
      <c r="J63" s="448"/>
      <c r="K63" s="448"/>
      <c r="L63" s="448"/>
      <c r="M63" s="448"/>
      <c r="N63" s="448"/>
      <c r="O63" s="448"/>
      <c r="P63" s="448"/>
      <c r="Q63" s="448"/>
      <c r="R63" s="448"/>
      <c r="S63" s="448"/>
      <c r="T63" s="448"/>
      <c r="U63" s="448"/>
      <c r="V63" s="448"/>
    </row>
    <row r="64">
      <c r="A64" s="448"/>
      <c r="B64" s="448"/>
      <c r="C64" s="448"/>
      <c r="D64" s="448"/>
      <c r="E64" s="449"/>
      <c r="F64" s="448"/>
      <c r="G64" s="448"/>
      <c r="H64" s="448"/>
      <c r="I64" s="448"/>
      <c r="J64" s="448"/>
      <c r="K64" s="448"/>
      <c r="L64" s="448"/>
      <c r="M64" s="448"/>
      <c r="N64" s="448"/>
      <c r="O64" s="448"/>
      <c r="P64" s="448"/>
      <c r="Q64" s="448"/>
      <c r="R64" s="448"/>
      <c r="S64" s="448"/>
      <c r="T64" s="448"/>
      <c r="U64" s="448"/>
      <c r="V64" s="448"/>
    </row>
    <row r="65">
      <c r="A65" s="448"/>
      <c r="B65" s="448"/>
      <c r="C65" s="448"/>
      <c r="D65" s="448"/>
      <c r="E65" s="449"/>
      <c r="F65" s="448"/>
      <c r="G65" s="448"/>
      <c r="H65" s="448"/>
      <c r="I65" s="448"/>
      <c r="J65" s="448"/>
      <c r="K65" s="448"/>
      <c r="L65" s="448"/>
      <c r="M65" s="448"/>
      <c r="N65" s="448"/>
      <c r="O65" s="448"/>
      <c r="P65" s="448"/>
      <c r="Q65" s="448"/>
      <c r="R65" s="448"/>
      <c r="S65" s="448"/>
      <c r="T65" s="448"/>
      <c r="U65" s="448"/>
      <c r="V65" s="448"/>
    </row>
    <row r="66">
      <c r="A66" s="448"/>
      <c r="B66" s="448"/>
      <c r="C66" s="448"/>
      <c r="D66" s="448"/>
      <c r="E66" s="449"/>
      <c r="F66" s="448"/>
      <c r="G66" s="448"/>
      <c r="H66" s="448"/>
      <c r="I66" s="448"/>
      <c r="J66" s="448"/>
      <c r="K66" s="448"/>
      <c r="L66" s="448"/>
      <c r="M66" s="448"/>
      <c r="N66" s="448"/>
      <c r="O66" s="448"/>
      <c r="P66" s="448"/>
      <c r="Q66" s="448"/>
      <c r="R66" s="448"/>
      <c r="S66" s="448"/>
      <c r="T66" s="448"/>
      <c r="U66" s="448"/>
      <c r="V66" s="448"/>
    </row>
    <row r="67">
      <c r="A67" s="448"/>
      <c r="B67" s="448"/>
      <c r="C67" s="448"/>
      <c r="D67" s="448"/>
      <c r="E67" s="449"/>
      <c r="F67" s="448"/>
      <c r="G67" s="448"/>
      <c r="H67" s="448"/>
      <c r="I67" s="448"/>
      <c r="J67" s="448"/>
      <c r="K67" s="448"/>
      <c r="L67" s="448"/>
      <c r="M67" s="448"/>
      <c r="N67" s="448"/>
      <c r="O67" s="448"/>
      <c r="P67" s="448"/>
      <c r="Q67" s="448"/>
      <c r="R67" s="448"/>
      <c r="S67" s="448"/>
      <c r="T67" s="448"/>
      <c r="U67" s="448"/>
      <c r="V67" s="448"/>
    </row>
    <row r="68">
      <c r="A68" s="448"/>
      <c r="B68" s="448"/>
      <c r="C68" s="448"/>
      <c r="D68" s="448"/>
      <c r="E68" s="449"/>
      <c r="F68" s="448"/>
      <c r="G68" s="448"/>
      <c r="H68" s="448"/>
      <c r="I68" s="448"/>
      <c r="J68" s="448"/>
      <c r="K68" s="448"/>
      <c r="L68" s="448"/>
      <c r="M68" s="448"/>
      <c r="N68" s="448"/>
      <c r="O68" s="448"/>
      <c r="P68" s="448"/>
      <c r="Q68" s="448"/>
      <c r="R68" s="448"/>
      <c r="S68" s="448"/>
      <c r="T68" s="448"/>
      <c r="U68" s="448"/>
      <c r="V68" s="448"/>
    </row>
    <row r="69">
      <c r="A69" s="448"/>
      <c r="B69" s="448"/>
      <c r="C69" s="448"/>
      <c r="D69" s="448"/>
      <c r="E69" s="449"/>
      <c r="F69" s="448"/>
      <c r="G69" s="448"/>
      <c r="H69" s="448"/>
      <c r="I69" s="448"/>
      <c r="J69" s="448"/>
      <c r="K69" s="448"/>
      <c r="L69" s="448"/>
      <c r="M69" s="448"/>
      <c r="N69" s="448"/>
      <c r="O69" s="448"/>
      <c r="P69" s="448"/>
      <c r="Q69" s="448"/>
      <c r="R69" s="448"/>
      <c r="S69" s="448"/>
      <c r="T69" s="448"/>
      <c r="U69" s="448"/>
      <c r="V69" s="448"/>
    </row>
    <row r="70">
      <c r="A70" s="448"/>
      <c r="B70" s="448"/>
      <c r="C70" s="448"/>
      <c r="D70" s="448"/>
      <c r="E70" s="449"/>
      <c r="F70" s="448"/>
      <c r="G70" s="448"/>
      <c r="H70" s="448"/>
      <c r="I70" s="448"/>
      <c r="J70" s="448"/>
      <c r="K70" s="448"/>
      <c r="L70" s="448"/>
      <c r="M70" s="448"/>
      <c r="N70" s="448"/>
      <c r="O70" s="448"/>
      <c r="P70" s="448"/>
      <c r="Q70" s="448"/>
      <c r="R70" s="448"/>
      <c r="S70" s="448"/>
      <c r="T70" s="448"/>
      <c r="U70" s="448"/>
      <c r="V70" s="448"/>
    </row>
    <row r="71">
      <c r="A71" s="448"/>
      <c r="B71" s="448"/>
      <c r="C71" s="448"/>
      <c r="D71" s="448"/>
      <c r="E71" s="449"/>
      <c r="F71" s="448"/>
      <c r="G71" s="448"/>
      <c r="H71" s="448"/>
      <c r="I71" s="448"/>
      <c r="J71" s="448"/>
      <c r="K71" s="448"/>
      <c r="L71" s="448"/>
      <c r="M71" s="448"/>
      <c r="N71" s="448"/>
      <c r="O71" s="448"/>
      <c r="P71" s="448"/>
      <c r="Q71" s="448"/>
      <c r="R71" s="448"/>
      <c r="S71" s="448"/>
      <c r="T71" s="448"/>
      <c r="U71" s="448"/>
      <c r="V71" s="448"/>
    </row>
    <row r="72">
      <c r="A72" s="448"/>
      <c r="B72" s="448"/>
      <c r="C72" s="448"/>
      <c r="D72" s="448"/>
      <c r="E72" s="449"/>
      <c r="F72" s="448"/>
      <c r="G72" s="448"/>
      <c r="H72" s="448"/>
      <c r="I72" s="448"/>
      <c r="J72" s="448"/>
      <c r="K72" s="448"/>
      <c r="L72" s="448"/>
      <c r="M72" s="448"/>
      <c r="N72" s="448"/>
      <c r="O72" s="448"/>
      <c r="P72" s="448"/>
      <c r="Q72" s="448"/>
      <c r="R72" s="448"/>
      <c r="S72" s="448"/>
      <c r="T72" s="448"/>
      <c r="U72" s="448"/>
      <c r="V72" s="448"/>
    </row>
    <row r="73">
      <c r="A73" s="448"/>
      <c r="B73" s="448"/>
      <c r="C73" s="448"/>
      <c r="D73" s="448"/>
      <c r="E73" s="449"/>
      <c r="F73" s="448"/>
      <c r="G73" s="448"/>
      <c r="H73" s="448"/>
      <c r="I73" s="448"/>
      <c r="J73" s="448"/>
      <c r="K73" s="448"/>
      <c r="L73" s="448"/>
      <c r="M73" s="448"/>
      <c r="N73" s="448"/>
      <c r="O73" s="448"/>
      <c r="P73" s="448"/>
      <c r="Q73" s="448"/>
      <c r="R73" s="448"/>
      <c r="S73" s="448"/>
      <c r="T73" s="448"/>
      <c r="U73" s="448"/>
      <c r="V73" s="448"/>
    </row>
    <row r="74">
      <c r="A74" s="448"/>
      <c r="B74" s="448"/>
      <c r="C74" s="448"/>
      <c r="D74" s="448"/>
      <c r="E74" s="449"/>
      <c r="F74" s="448"/>
      <c r="G74" s="448"/>
      <c r="H74" s="448"/>
      <c r="I74" s="448"/>
      <c r="J74" s="448"/>
      <c r="K74" s="448"/>
      <c r="L74" s="448"/>
      <c r="M74" s="448"/>
      <c r="N74" s="448"/>
      <c r="O74" s="448"/>
      <c r="P74" s="448"/>
      <c r="Q74" s="448"/>
      <c r="R74" s="448"/>
      <c r="S74" s="448"/>
      <c r="T74" s="448"/>
      <c r="U74" s="448"/>
      <c r="V74" s="448"/>
    </row>
    <row r="75">
      <c r="A75" s="448"/>
      <c r="B75" s="448"/>
      <c r="C75" s="448"/>
      <c r="D75" s="448"/>
      <c r="E75" s="449"/>
      <c r="F75" s="448"/>
      <c r="G75" s="448"/>
      <c r="H75" s="448"/>
      <c r="I75" s="448"/>
      <c r="J75" s="448"/>
      <c r="K75" s="448"/>
      <c r="L75" s="448"/>
      <c r="M75" s="448"/>
      <c r="N75" s="448"/>
      <c r="O75" s="448"/>
      <c r="P75" s="448"/>
      <c r="Q75" s="448"/>
      <c r="R75" s="448"/>
      <c r="S75" s="448"/>
      <c r="T75" s="448"/>
      <c r="U75" s="448"/>
      <c r="V75" s="448"/>
    </row>
    <row r="76">
      <c r="A76" s="448"/>
      <c r="B76" s="448"/>
      <c r="C76" s="448"/>
      <c r="D76" s="448"/>
      <c r="E76" s="449"/>
      <c r="F76" s="448"/>
      <c r="G76" s="448"/>
      <c r="H76" s="448"/>
      <c r="I76" s="448"/>
      <c r="J76" s="448"/>
      <c r="K76" s="448"/>
      <c r="L76" s="448"/>
      <c r="M76" s="448"/>
      <c r="N76" s="448"/>
      <c r="O76" s="448"/>
      <c r="P76" s="448"/>
      <c r="Q76" s="448"/>
      <c r="R76" s="448"/>
      <c r="S76" s="448"/>
      <c r="T76" s="448"/>
      <c r="U76" s="448"/>
      <c r="V76" s="448"/>
    </row>
    <row r="77">
      <c r="A77" s="448"/>
      <c r="B77" s="448"/>
      <c r="C77" s="448"/>
      <c r="D77" s="448"/>
      <c r="E77" s="449"/>
      <c r="F77" s="448"/>
      <c r="G77" s="448"/>
      <c r="H77" s="448"/>
      <c r="I77" s="448"/>
      <c r="J77" s="448"/>
      <c r="K77" s="448"/>
      <c r="L77" s="448"/>
      <c r="M77" s="448"/>
      <c r="N77" s="448"/>
      <c r="O77" s="448"/>
      <c r="P77" s="448"/>
      <c r="Q77" s="448"/>
      <c r="R77" s="448"/>
      <c r="S77" s="448"/>
      <c r="T77" s="448"/>
      <c r="U77" s="448"/>
      <c r="V77" s="448"/>
    </row>
    <row r="78">
      <c r="A78" s="448"/>
      <c r="B78" s="448"/>
      <c r="C78" s="448"/>
      <c r="D78" s="448"/>
      <c r="E78" s="449"/>
      <c r="F78" s="448"/>
      <c r="G78" s="448"/>
      <c r="H78" s="448"/>
      <c r="I78" s="448"/>
      <c r="J78" s="448"/>
      <c r="K78" s="448"/>
      <c r="L78" s="448"/>
      <c r="M78" s="448"/>
      <c r="N78" s="448"/>
      <c r="O78" s="448"/>
      <c r="P78" s="448"/>
      <c r="Q78" s="448"/>
      <c r="R78" s="448"/>
      <c r="S78" s="448"/>
      <c r="T78" s="448"/>
      <c r="U78" s="448"/>
      <c r="V78" s="448"/>
    </row>
    <row r="79">
      <c r="A79" s="448"/>
      <c r="B79" s="448"/>
      <c r="C79" s="448"/>
      <c r="D79" s="448"/>
      <c r="E79" s="449"/>
      <c r="F79" s="448"/>
      <c r="G79" s="448"/>
      <c r="H79" s="448"/>
      <c r="I79" s="448"/>
      <c r="J79" s="448"/>
      <c r="K79" s="448"/>
      <c r="L79" s="448"/>
      <c r="M79" s="448"/>
      <c r="N79" s="448"/>
      <c r="O79" s="448"/>
      <c r="P79" s="448"/>
      <c r="Q79" s="448"/>
      <c r="R79" s="448"/>
      <c r="S79" s="448"/>
      <c r="T79" s="448"/>
      <c r="U79" s="448"/>
      <c r="V79" s="448"/>
    </row>
    <row r="80">
      <c r="A80" s="448"/>
      <c r="B80" s="448"/>
      <c r="C80" s="448"/>
      <c r="D80" s="448"/>
      <c r="E80" s="449"/>
      <c r="F80" s="448"/>
      <c r="G80" s="448"/>
      <c r="H80" s="448"/>
      <c r="I80" s="448"/>
      <c r="J80" s="448"/>
      <c r="K80" s="448"/>
      <c r="L80" s="448"/>
      <c r="M80" s="448"/>
      <c r="N80" s="448"/>
      <c r="O80" s="448"/>
      <c r="P80" s="448"/>
      <c r="Q80" s="448"/>
      <c r="R80" s="448"/>
      <c r="S80" s="448"/>
      <c r="T80" s="448"/>
      <c r="U80" s="448"/>
      <c r="V80" s="448"/>
    </row>
    <row r="81">
      <c r="A81" s="448"/>
      <c r="B81" s="448"/>
      <c r="C81" s="448"/>
      <c r="D81" s="448"/>
      <c r="E81" s="449"/>
      <c r="F81" s="448"/>
      <c r="G81" s="448"/>
      <c r="H81" s="448"/>
      <c r="I81" s="448"/>
      <c r="J81" s="448"/>
      <c r="K81" s="448"/>
      <c r="L81" s="448"/>
      <c r="M81" s="448"/>
      <c r="N81" s="448"/>
      <c r="O81" s="448"/>
      <c r="P81" s="448"/>
      <c r="Q81" s="448"/>
      <c r="R81" s="448"/>
      <c r="S81" s="448"/>
      <c r="T81" s="448"/>
      <c r="U81" s="448"/>
      <c r="V81" s="448"/>
    </row>
    <row r="82">
      <c r="A82" s="448"/>
      <c r="B82" s="448"/>
      <c r="C82" s="448"/>
      <c r="D82" s="448"/>
      <c r="E82" s="449"/>
      <c r="F82" s="448"/>
      <c r="G82" s="448"/>
      <c r="H82" s="448"/>
      <c r="I82" s="448"/>
      <c r="J82" s="448"/>
      <c r="K82" s="448"/>
      <c r="L82" s="448"/>
      <c r="M82" s="448"/>
      <c r="N82" s="448"/>
      <c r="O82" s="448"/>
      <c r="P82" s="448"/>
      <c r="Q82" s="448"/>
      <c r="R82" s="448"/>
      <c r="S82" s="448"/>
      <c r="T82" s="448"/>
      <c r="U82" s="448"/>
      <c r="V82" s="448"/>
    </row>
    <row r="83">
      <c r="A83" s="448"/>
      <c r="B83" s="448"/>
      <c r="C83" s="448"/>
      <c r="D83" s="448"/>
      <c r="E83" s="449"/>
      <c r="F83" s="448"/>
      <c r="G83" s="448"/>
      <c r="H83" s="448"/>
      <c r="I83" s="448"/>
      <c r="J83" s="448"/>
      <c r="K83" s="448"/>
      <c r="L83" s="448"/>
      <c r="M83" s="448"/>
      <c r="N83" s="448"/>
      <c r="O83" s="448"/>
      <c r="P83" s="448"/>
      <c r="Q83" s="448"/>
      <c r="R83" s="448"/>
      <c r="S83" s="448"/>
      <c r="T83" s="448"/>
      <c r="U83" s="448"/>
      <c r="V83" s="448"/>
    </row>
    <row r="84">
      <c r="A84" s="448"/>
      <c r="B84" s="448"/>
      <c r="C84" s="448"/>
      <c r="D84" s="448"/>
      <c r="E84" s="449"/>
      <c r="F84" s="448"/>
      <c r="G84" s="448"/>
      <c r="H84" s="448"/>
      <c r="I84" s="448"/>
      <c r="J84" s="448"/>
      <c r="K84" s="448"/>
      <c r="L84" s="448"/>
      <c r="M84" s="448"/>
      <c r="N84" s="448"/>
      <c r="O84" s="448"/>
      <c r="P84" s="448"/>
      <c r="Q84" s="448"/>
      <c r="R84" s="448"/>
      <c r="S84" s="448"/>
      <c r="T84" s="448"/>
      <c r="U84" s="448"/>
      <c r="V84" s="448"/>
    </row>
    <row r="85">
      <c r="A85" s="448"/>
      <c r="B85" s="448"/>
      <c r="C85" s="448"/>
      <c r="D85" s="448"/>
      <c r="E85" s="449"/>
      <c r="F85" s="448"/>
      <c r="G85" s="448"/>
      <c r="H85" s="448"/>
      <c r="I85" s="448"/>
      <c r="J85" s="448"/>
      <c r="K85" s="448"/>
      <c r="L85" s="448"/>
      <c r="M85" s="448"/>
      <c r="N85" s="448"/>
      <c r="O85" s="448"/>
      <c r="P85" s="448"/>
      <c r="Q85" s="448"/>
      <c r="R85" s="448"/>
      <c r="S85" s="448"/>
      <c r="T85" s="448"/>
      <c r="U85" s="448"/>
      <c r="V85" s="448"/>
    </row>
    <row r="86">
      <c r="A86" s="448"/>
      <c r="B86" s="448"/>
      <c r="C86" s="448"/>
      <c r="D86" s="448"/>
      <c r="E86" s="449"/>
      <c r="F86" s="448"/>
      <c r="G86" s="448"/>
      <c r="H86" s="448"/>
      <c r="I86" s="448"/>
      <c r="J86" s="448"/>
      <c r="K86" s="448"/>
      <c r="L86" s="448"/>
      <c r="M86" s="448"/>
      <c r="N86" s="448"/>
      <c r="O86" s="448"/>
      <c r="P86" s="448"/>
      <c r="Q86" s="448"/>
      <c r="R86" s="448"/>
      <c r="S86" s="448"/>
      <c r="T86" s="448"/>
      <c r="U86" s="448"/>
      <c r="V86" s="448"/>
    </row>
    <row r="87">
      <c r="A87" s="448"/>
      <c r="B87" s="448"/>
      <c r="C87" s="448"/>
      <c r="D87" s="448"/>
      <c r="E87" s="449"/>
      <c r="F87" s="448"/>
      <c r="G87" s="448"/>
      <c r="H87" s="448"/>
      <c r="I87" s="448"/>
      <c r="J87" s="448"/>
      <c r="K87" s="448"/>
      <c r="L87" s="448"/>
      <c r="M87" s="448"/>
      <c r="N87" s="448"/>
      <c r="O87" s="448"/>
      <c r="P87" s="448"/>
      <c r="Q87" s="448"/>
      <c r="R87" s="448"/>
      <c r="S87" s="448"/>
      <c r="T87" s="448"/>
      <c r="U87" s="448"/>
      <c r="V87" s="448"/>
    </row>
    <row r="88">
      <c r="A88" s="448"/>
      <c r="B88" s="448"/>
      <c r="C88" s="448"/>
      <c r="D88" s="448"/>
      <c r="E88" s="449"/>
      <c r="F88" s="448"/>
      <c r="G88" s="448"/>
      <c r="H88" s="448"/>
      <c r="I88" s="448"/>
      <c r="J88" s="448"/>
      <c r="K88" s="448"/>
      <c r="L88" s="448"/>
      <c r="M88" s="448"/>
      <c r="N88" s="448"/>
      <c r="O88" s="448"/>
      <c r="P88" s="448"/>
      <c r="Q88" s="448"/>
      <c r="R88" s="448"/>
      <c r="S88" s="448"/>
      <c r="T88" s="448"/>
      <c r="U88" s="448"/>
      <c r="V88" s="448"/>
    </row>
    <row r="89">
      <c r="A89" s="448"/>
      <c r="B89" s="448"/>
      <c r="C89" s="448"/>
      <c r="D89" s="448"/>
      <c r="E89" s="449"/>
      <c r="F89" s="448"/>
      <c r="G89" s="448"/>
      <c r="H89" s="448"/>
      <c r="I89" s="448"/>
      <c r="J89" s="448"/>
      <c r="K89" s="448"/>
      <c r="L89" s="448"/>
      <c r="M89" s="448"/>
      <c r="N89" s="448"/>
      <c r="O89" s="448"/>
      <c r="P89" s="448"/>
      <c r="Q89" s="448"/>
      <c r="R89" s="448"/>
      <c r="S89" s="448"/>
      <c r="T89" s="448"/>
      <c r="U89" s="448"/>
      <c r="V89" s="448"/>
    </row>
    <row r="90">
      <c r="A90" s="448"/>
      <c r="B90" s="448"/>
      <c r="C90" s="448"/>
      <c r="D90" s="448"/>
      <c r="E90" s="449"/>
      <c r="F90" s="448"/>
      <c r="G90" s="448"/>
      <c r="H90" s="448"/>
      <c r="I90" s="448"/>
      <c r="J90" s="448"/>
      <c r="K90" s="448"/>
      <c r="L90" s="448"/>
      <c r="M90" s="448"/>
      <c r="N90" s="448"/>
      <c r="O90" s="448"/>
      <c r="P90" s="448"/>
      <c r="Q90" s="448"/>
      <c r="R90" s="448"/>
      <c r="S90" s="448"/>
      <c r="T90" s="448"/>
      <c r="U90" s="448"/>
      <c r="V90" s="448"/>
    </row>
    <row r="91">
      <c r="A91" s="448"/>
      <c r="B91" s="448"/>
      <c r="C91" s="448"/>
      <c r="D91" s="448"/>
      <c r="E91" s="449"/>
      <c r="F91" s="448"/>
      <c r="G91" s="448"/>
      <c r="H91" s="448"/>
      <c r="I91" s="448"/>
      <c r="J91" s="448"/>
      <c r="K91" s="448"/>
      <c r="L91" s="448"/>
      <c r="M91" s="448"/>
      <c r="N91" s="448"/>
      <c r="O91" s="448"/>
      <c r="P91" s="448"/>
      <c r="Q91" s="448"/>
      <c r="R91" s="448"/>
      <c r="S91" s="448"/>
      <c r="T91" s="448"/>
      <c r="U91" s="448"/>
      <c r="V91" s="448"/>
    </row>
    <row r="92">
      <c r="A92" s="448"/>
      <c r="B92" s="448"/>
      <c r="C92" s="448"/>
      <c r="D92" s="448"/>
      <c r="E92" s="449"/>
      <c r="F92" s="448"/>
      <c r="G92" s="448"/>
      <c r="H92" s="448"/>
      <c r="I92" s="448"/>
      <c r="J92" s="448"/>
      <c r="K92" s="448"/>
      <c r="L92" s="448"/>
      <c r="M92" s="448"/>
      <c r="N92" s="448"/>
      <c r="O92" s="448"/>
      <c r="P92" s="448"/>
      <c r="Q92" s="448"/>
      <c r="R92" s="448"/>
      <c r="S92" s="448"/>
      <c r="T92" s="448"/>
      <c r="U92" s="448"/>
      <c r="V92" s="448"/>
    </row>
    <row r="93">
      <c r="A93" s="448"/>
      <c r="B93" s="448"/>
      <c r="C93" s="448"/>
      <c r="D93" s="448"/>
      <c r="E93" s="449"/>
      <c r="F93" s="448"/>
      <c r="G93" s="448"/>
      <c r="H93" s="448"/>
      <c r="I93" s="448"/>
      <c r="J93" s="448"/>
      <c r="K93" s="448"/>
      <c r="L93" s="448"/>
      <c r="M93" s="448"/>
      <c r="N93" s="448"/>
      <c r="O93" s="448"/>
      <c r="P93" s="448"/>
      <c r="Q93" s="448"/>
      <c r="R93" s="448"/>
      <c r="S93" s="448"/>
      <c r="T93" s="448"/>
      <c r="U93" s="448"/>
      <c r="V93" s="448"/>
    </row>
    <row r="94">
      <c r="A94" s="448"/>
      <c r="B94" s="448"/>
      <c r="C94" s="448"/>
      <c r="D94" s="448"/>
      <c r="E94" s="449"/>
      <c r="F94" s="448"/>
      <c r="G94" s="448"/>
      <c r="H94" s="448"/>
      <c r="I94" s="448"/>
      <c r="J94" s="448"/>
      <c r="K94" s="448"/>
      <c r="L94" s="448"/>
      <c r="M94" s="448"/>
      <c r="N94" s="448"/>
      <c r="O94" s="448"/>
      <c r="P94" s="448"/>
      <c r="Q94" s="448"/>
      <c r="R94" s="448"/>
      <c r="S94" s="448"/>
      <c r="T94" s="448"/>
      <c r="U94" s="448"/>
      <c r="V94" s="448"/>
    </row>
    <row r="95">
      <c r="A95" s="448"/>
      <c r="B95" s="448"/>
      <c r="C95" s="448"/>
      <c r="D95" s="448"/>
      <c r="E95" s="449"/>
      <c r="F95" s="448"/>
      <c r="G95" s="448"/>
      <c r="H95" s="448"/>
      <c r="I95" s="448"/>
      <c r="J95" s="448"/>
      <c r="K95" s="448"/>
      <c r="L95" s="448"/>
      <c r="M95" s="448"/>
      <c r="N95" s="448"/>
      <c r="O95" s="448"/>
      <c r="P95" s="448"/>
      <c r="Q95" s="448"/>
      <c r="R95" s="448"/>
      <c r="S95" s="448"/>
      <c r="T95" s="448"/>
      <c r="U95" s="448"/>
      <c r="V95" s="448"/>
    </row>
    <row r="96">
      <c r="A96" s="448"/>
      <c r="B96" s="448"/>
      <c r="C96" s="448"/>
      <c r="D96" s="448"/>
      <c r="E96" s="449"/>
      <c r="F96" s="448"/>
      <c r="G96" s="448"/>
      <c r="H96" s="448"/>
      <c r="I96" s="448"/>
      <c r="J96" s="448"/>
      <c r="K96" s="448"/>
      <c r="L96" s="448"/>
      <c r="M96" s="448"/>
      <c r="N96" s="448"/>
      <c r="O96" s="448"/>
      <c r="P96" s="448"/>
      <c r="Q96" s="448"/>
      <c r="R96" s="448"/>
      <c r="S96" s="448"/>
      <c r="T96" s="448"/>
      <c r="U96" s="448"/>
      <c r="V96" s="448"/>
    </row>
    <row r="97">
      <c r="A97" s="448"/>
      <c r="B97" s="448"/>
      <c r="C97" s="448"/>
      <c r="D97" s="448"/>
      <c r="E97" s="449"/>
      <c r="F97" s="448"/>
      <c r="G97" s="448"/>
      <c r="H97" s="448"/>
      <c r="I97" s="448"/>
      <c r="J97" s="448"/>
      <c r="K97" s="448"/>
      <c r="L97" s="448"/>
      <c r="M97" s="448"/>
      <c r="N97" s="448"/>
      <c r="O97" s="448"/>
      <c r="P97" s="448"/>
      <c r="Q97" s="448"/>
      <c r="R97" s="448"/>
      <c r="S97" s="448"/>
      <c r="T97" s="448"/>
      <c r="U97" s="448"/>
      <c r="V97" s="448"/>
    </row>
    <row r="98">
      <c r="A98" s="448"/>
      <c r="B98" s="448"/>
      <c r="C98" s="448"/>
      <c r="D98" s="448"/>
      <c r="E98" s="449"/>
      <c r="F98" s="448"/>
      <c r="G98" s="448"/>
      <c r="H98" s="448"/>
      <c r="I98" s="448"/>
      <c r="J98" s="448"/>
      <c r="K98" s="448"/>
      <c r="L98" s="448"/>
      <c r="M98" s="448"/>
      <c r="N98" s="448"/>
      <c r="O98" s="448"/>
      <c r="P98" s="448"/>
      <c r="Q98" s="448"/>
      <c r="R98" s="448"/>
      <c r="S98" s="448"/>
      <c r="T98" s="448"/>
      <c r="U98" s="448"/>
      <c r="V98" s="448"/>
    </row>
    <row r="99">
      <c r="A99" s="448"/>
      <c r="B99" s="448"/>
      <c r="C99" s="448"/>
      <c r="D99" s="448"/>
      <c r="E99" s="449"/>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9"/>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9"/>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9"/>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9"/>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9"/>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9"/>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9"/>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9"/>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9"/>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9"/>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9"/>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9"/>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9"/>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9"/>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9"/>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9"/>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9"/>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9"/>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9"/>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9"/>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9"/>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9"/>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9"/>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9"/>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9"/>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9"/>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9"/>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9"/>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9"/>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9"/>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9"/>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9"/>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9"/>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9"/>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9"/>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9"/>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9"/>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9"/>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9"/>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9"/>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9"/>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9"/>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9"/>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9"/>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9"/>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9"/>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9"/>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9"/>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9"/>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9"/>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9"/>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9"/>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9"/>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9"/>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9"/>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9"/>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9"/>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9"/>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9"/>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9"/>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9"/>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9"/>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9"/>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9"/>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9"/>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9"/>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9"/>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9"/>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9"/>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9"/>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9"/>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9"/>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9"/>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9"/>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9"/>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9"/>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9"/>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9"/>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9"/>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9"/>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9"/>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9"/>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9"/>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9"/>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9"/>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9"/>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9"/>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9"/>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9"/>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9"/>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9"/>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9"/>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9"/>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9"/>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9"/>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9"/>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9"/>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9"/>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9"/>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9"/>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9"/>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9"/>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9"/>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9"/>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9"/>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9"/>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9"/>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9"/>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9"/>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9"/>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9"/>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9"/>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9"/>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9"/>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9"/>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9"/>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9"/>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9"/>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9"/>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9"/>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9"/>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9"/>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9"/>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9"/>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9"/>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9"/>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9"/>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9"/>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9"/>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9"/>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9"/>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9"/>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9"/>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9"/>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9"/>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9"/>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9"/>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9"/>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9"/>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9"/>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9"/>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9"/>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9"/>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9"/>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9"/>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9"/>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9"/>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9"/>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9"/>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9"/>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9"/>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9"/>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9"/>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9"/>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9"/>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9"/>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9"/>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9"/>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9"/>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9"/>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9"/>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9"/>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9"/>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9"/>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9"/>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9"/>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9"/>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9"/>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9"/>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9"/>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9"/>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9"/>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9"/>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9"/>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9"/>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9"/>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9"/>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9"/>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9"/>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9"/>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9"/>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9"/>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9"/>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9"/>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9"/>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9"/>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9"/>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9"/>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9"/>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9"/>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9"/>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9"/>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9"/>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9"/>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9"/>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9"/>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9"/>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9"/>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9"/>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9"/>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9"/>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9"/>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9"/>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9"/>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9"/>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9"/>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9"/>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9"/>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9"/>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9"/>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9"/>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9"/>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9"/>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9"/>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9"/>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9"/>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9"/>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9"/>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9"/>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9"/>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9"/>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9"/>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9"/>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9"/>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9"/>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9"/>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9"/>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9"/>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9"/>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9"/>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9"/>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9"/>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9"/>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9"/>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9"/>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9"/>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9"/>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9"/>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9"/>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9"/>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9"/>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9"/>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9"/>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9"/>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9"/>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9"/>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9"/>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9"/>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9"/>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9"/>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9"/>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9"/>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9"/>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9"/>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9"/>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9"/>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9"/>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9"/>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9"/>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9"/>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9"/>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9"/>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9"/>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9"/>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9"/>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9"/>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9"/>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9"/>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9"/>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9"/>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9"/>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9"/>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9"/>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9"/>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9"/>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9"/>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9"/>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9"/>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9"/>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9"/>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9"/>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9"/>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9"/>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9"/>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9"/>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9"/>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9"/>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9"/>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9"/>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9"/>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9"/>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9"/>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9"/>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9"/>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9"/>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9"/>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9"/>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9"/>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9"/>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9"/>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9"/>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9"/>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9"/>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9"/>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9"/>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9"/>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9"/>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9"/>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9"/>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9"/>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9"/>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9"/>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9"/>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9"/>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9"/>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9"/>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9"/>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9"/>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9"/>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9"/>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9"/>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9"/>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9"/>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9"/>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9"/>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9"/>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9"/>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9"/>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9"/>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9"/>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9"/>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9"/>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9"/>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9"/>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9"/>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9"/>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9"/>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9"/>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9"/>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9"/>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9"/>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9"/>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9"/>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9"/>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9"/>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9"/>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9"/>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9"/>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9"/>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9"/>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9"/>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9"/>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9"/>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9"/>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9"/>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9"/>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9"/>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9"/>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9"/>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9"/>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9"/>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9"/>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9"/>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9"/>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9"/>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9"/>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9"/>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9"/>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9"/>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9"/>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9"/>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9"/>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9"/>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9"/>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9"/>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9"/>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9"/>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9"/>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9"/>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9"/>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9"/>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9"/>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9"/>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9"/>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9"/>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9"/>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9"/>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9"/>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9"/>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9"/>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9"/>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9"/>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9"/>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9"/>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9"/>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9"/>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9"/>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9"/>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9"/>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9"/>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9"/>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9"/>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9"/>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9"/>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9"/>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9"/>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9"/>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9"/>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9"/>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9"/>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9"/>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9"/>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9"/>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9"/>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9"/>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9"/>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9"/>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9"/>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9"/>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9"/>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9"/>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9"/>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9"/>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9"/>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9"/>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9"/>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9"/>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9"/>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9"/>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9"/>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9"/>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9"/>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9"/>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9"/>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9"/>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9"/>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9"/>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9"/>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9"/>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9"/>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9"/>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9"/>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9"/>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9"/>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9"/>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9"/>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9"/>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9"/>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9"/>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9"/>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9"/>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9"/>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9"/>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9"/>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9"/>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9"/>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9"/>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9"/>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9"/>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9"/>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9"/>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9"/>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9"/>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9"/>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9"/>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9"/>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9"/>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9"/>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9"/>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9"/>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9"/>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9"/>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9"/>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9"/>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9"/>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9"/>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9"/>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9"/>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9"/>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9"/>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9"/>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9"/>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9"/>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9"/>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9"/>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9"/>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9"/>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9"/>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9"/>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9"/>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9"/>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9"/>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9"/>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9"/>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9"/>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9"/>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9"/>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9"/>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9"/>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9"/>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9"/>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9"/>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9"/>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9"/>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9"/>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9"/>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9"/>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9"/>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9"/>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9"/>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9"/>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9"/>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9"/>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9"/>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9"/>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9"/>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9"/>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9"/>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9"/>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9"/>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9"/>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9"/>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9"/>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9"/>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9"/>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9"/>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9"/>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9"/>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9"/>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9"/>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9"/>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9"/>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9"/>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9"/>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9"/>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9"/>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9"/>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9"/>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9"/>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9"/>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9"/>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9"/>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9"/>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9"/>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9"/>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9"/>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9"/>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9"/>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9"/>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9"/>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9"/>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9"/>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9"/>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9"/>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9"/>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9"/>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9"/>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9"/>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9"/>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9"/>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9"/>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9"/>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9"/>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9"/>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9"/>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9"/>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9"/>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9"/>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9"/>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9"/>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9"/>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9"/>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9"/>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9"/>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9"/>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9"/>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9"/>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9"/>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9"/>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9"/>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9"/>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9"/>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9"/>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9"/>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9"/>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9"/>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9"/>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9"/>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9"/>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9"/>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9"/>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9"/>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9"/>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9"/>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9"/>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9"/>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9"/>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9"/>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9"/>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9"/>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9"/>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9"/>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9"/>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9"/>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9"/>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9"/>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9"/>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9"/>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9"/>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9"/>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9"/>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9"/>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9"/>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9"/>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9"/>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9"/>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9"/>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9"/>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9"/>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9"/>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9"/>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9"/>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9"/>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9"/>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9"/>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9"/>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9"/>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9"/>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9"/>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9"/>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9"/>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9"/>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9"/>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9"/>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9"/>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9"/>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9"/>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9"/>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9"/>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9"/>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9"/>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9"/>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9"/>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9"/>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9"/>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9"/>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9"/>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9"/>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9"/>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9"/>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9"/>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9"/>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9"/>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9"/>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9"/>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9"/>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9"/>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9"/>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9"/>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9"/>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9"/>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9"/>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9"/>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9"/>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9"/>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9"/>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9"/>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9"/>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9"/>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9"/>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9"/>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9"/>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9"/>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9"/>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9"/>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9"/>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9"/>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9"/>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9"/>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9"/>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9"/>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9"/>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9"/>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9"/>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9"/>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9"/>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9"/>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9"/>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9"/>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9"/>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9"/>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9"/>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9"/>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9"/>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9"/>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9"/>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9"/>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9"/>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9"/>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9"/>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9"/>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9"/>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9"/>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9"/>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9"/>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9"/>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9"/>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9"/>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9"/>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9"/>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9"/>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9"/>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9"/>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9"/>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9"/>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9"/>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9"/>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9"/>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9"/>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9"/>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9"/>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9"/>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9"/>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9"/>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9"/>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9"/>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9"/>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9"/>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9"/>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9"/>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9"/>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9"/>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9"/>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9"/>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9"/>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9"/>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9"/>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9"/>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9"/>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9"/>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9"/>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9"/>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9"/>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9"/>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9"/>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9"/>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9"/>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9"/>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9"/>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9"/>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9"/>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9"/>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9"/>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9"/>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9"/>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9"/>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9"/>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9"/>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9"/>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9"/>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9"/>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9"/>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9"/>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9"/>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9"/>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9"/>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9"/>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9"/>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9"/>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9"/>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9"/>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9"/>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9"/>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9"/>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9"/>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9"/>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9"/>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9"/>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9"/>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9"/>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9"/>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9"/>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9"/>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9"/>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9"/>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9"/>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9"/>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9"/>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9"/>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9"/>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9"/>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9"/>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9"/>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9"/>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9"/>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9"/>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9"/>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9"/>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9"/>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9"/>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9"/>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9"/>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9"/>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9"/>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9"/>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9"/>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9"/>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9"/>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9"/>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9"/>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9"/>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9"/>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9"/>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9"/>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9"/>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9"/>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9"/>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9"/>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9"/>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9"/>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9"/>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9"/>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9"/>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9"/>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9"/>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9"/>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9"/>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9"/>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9"/>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9"/>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9"/>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9"/>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9"/>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9"/>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9"/>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9"/>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9"/>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9"/>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9"/>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9"/>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9"/>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9"/>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9"/>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9"/>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9"/>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9"/>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9"/>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9"/>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9"/>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9"/>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9"/>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9"/>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9"/>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9"/>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9"/>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9"/>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9"/>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9"/>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9"/>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9"/>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9"/>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9"/>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9"/>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9"/>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9"/>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9"/>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9"/>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9"/>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9"/>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9"/>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9"/>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9"/>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9"/>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9"/>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9"/>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9"/>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9"/>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9"/>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9"/>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9"/>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9"/>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9"/>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9"/>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9"/>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9"/>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9"/>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9"/>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9"/>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9"/>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9"/>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9"/>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9"/>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9"/>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9"/>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9"/>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9"/>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9"/>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9"/>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9"/>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9"/>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9"/>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""Magic!B3:B""),""SELECT * WHERE Col1 IS NOT NULL"",0)"),"Chaotic Spark")</f>
        <v>Chaotic Spark</v>
      </c>
      <c r="B1" s="448"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48" t="str">
        <f>IFERROR(__xludf.DUMMYFUNCTION("QUERY(IMPORTRANGE(""1koQqL7bV1rMPtlmhZblwVeK5weyiTfFQ3POD_grK7Rc"",""Magic!$E$3:$E""),""select Col1 where Col1 is not null AND Col1 contains '['"",0)"),"-[]")</f>
        <v>-[]</v>
      </c>
      <c r="D1" s="448" t="str">
        <f>IFERROR(__xludf.DUMMYFUNCTION("QUERY(IMPORTRANGE(""1koQqL7bV1rMPtlmhZblwVeK5weyiTfFQ3POD_grK7Rc"",""Magic!$F$3:$F""),""select Col1 where Col1 is not null AND Col1 contains '['"",0)"),"-[]")</f>
        <v>-[]</v>
      </c>
      <c r="E1" s="448">
        <f>IFERROR(__xludf.DUMMYFUNCTION("QUERY(IMPORTRANGE(""1koQqL7bV1rMPtlmhZblwVeK5weyiTfFQ3POD_grK7Rc"", ""Magic!C3:C""),""SELECT * WHERE Col1 IS NOT NULL"",0)"),13.0)</f>
        <v>13</v>
      </c>
      <c r="F1" s="448"/>
      <c r="G1" s="448"/>
      <c r="H1" s="448"/>
      <c r="I1" s="448"/>
      <c r="J1" s="448"/>
      <c r="K1" s="448"/>
      <c r="L1" s="448"/>
      <c r="M1" s="448"/>
      <c r="N1" s="448"/>
      <c r="O1" s="448"/>
      <c r="P1" s="448"/>
      <c r="Q1" s="448"/>
      <c r="R1" s="448"/>
      <c r="S1" s="448"/>
      <c r="T1" s="448"/>
      <c r="U1" s="448"/>
      <c r="V1" s="448"/>
    </row>
    <row r="2">
      <c r="A2" s="451" t="str">
        <f>IFERROR(__xludf.DUMMYFUNCTION("""COMPUTED_VALUE"""),"Enchanted Performer")</f>
        <v>Enchanted Performer</v>
      </c>
      <c r="B2" s="451"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51" t="str">
        <f>IFERROR(__xludf.DUMMYFUNCTION("""COMPUTED_VALUE"""),"-[]")</f>
        <v>-[]</v>
      </c>
      <c r="D2" s="451" t="str">
        <f>IFERROR(__xludf.DUMMYFUNCTION("""COMPUTED_VALUE"""),"-[]")</f>
        <v>-[]</v>
      </c>
      <c r="E2" s="448">
        <f>IFERROR(__xludf.DUMMYFUNCTION("""COMPUTED_VALUE"""),15.0)</f>
        <v>15</v>
      </c>
      <c r="F2" s="448"/>
      <c r="G2" s="448"/>
      <c r="H2" s="448"/>
      <c r="I2" s="448"/>
      <c r="J2" s="448"/>
      <c r="K2" s="448"/>
      <c r="L2" s="448"/>
      <c r="M2" s="448"/>
      <c r="N2" s="448"/>
      <c r="O2" s="448"/>
      <c r="P2" s="448"/>
      <c r="Q2" s="448"/>
      <c r="R2" s="448"/>
      <c r="S2" s="448"/>
      <c r="T2" s="448"/>
      <c r="U2" s="448"/>
      <c r="V2" s="448"/>
    </row>
    <row r="3">
      <c r="A3" s="448" t="str">
        <f>IFERROR(__xludf.DUMMYFUNCTION("""COMPUTED_VALUE"""),"Ritualist")</f>
        <v>Ritualist</v>
      </c>
      <c r="B3" s="448"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48" t="str">
        <f>IFERROR(__xludf.DUMMYFUNCTION("""COMPUTED_VALUE"""),"-[]")</f>
        <v>-[]</v>
      </c>
      <c r="D3" s="448" t="str">
        <f>IFERROR(__xludf.DUMMYFUNCTION("""COMPUTED_VALUE"""),"-[]")</f>
        <v>-[]</v>
      </c>
      <c r="E3" s="448">
        <f>IFERROR(__xludf.DUMMYFUNCTION("""COMPUTED_VALUE"""),10.0)</f>
        <v>10</v>
      </c>
      <c r="F3" s="448"/>
      <c r="G3" s="448"/>
      <c r="H3" s="448"/>
      <c r="I3" s="448"/>
      <c r="J3" s="448"/>
      <c r="K3" s="448"/>
      <c r="L3" s="448"/>
      <c r="M3" s="448"/>
      <c r="N3" s="448"/>
      <c r="O3" s="448"/>
      <c r="P3" s="448"/>
      <c r="Q3" s="448"/>
      <c r="R3" s="448"/>
      <c r="S3" s="448"/>
      <c r="T3" s="448"/>
      <c r="U3" s="448"/>
      <c r="V3" s="448"/>
    </row>
    <row r="4">
      <c r="A4" s="448" t="str">
        <f>IFERROR(__xludf.DUMMYFUNCTION("""COMPUTED_VALUE"""),"Altruistic Spark")</f>
        <v>Altruistic Spark</v>
      </c>
      <c r="B4" s="448" t="str">
        <f>IFERROR(__xludf.DUMMYFUNCTION("""COMPUTED_VALUE"""),"[Positive or Neutral Attunement]
Monkey Paws from raw casting can only be directed at you. ")</f>
        <v>[Positive or Neutral Attunement]
Monkey Paws from raw casting can only be directed at you. </v>
      </c>
      <c r="C4" s="448" t="str">
        <f>IFERROR(__xludf.DUMMYFUNCTION("""COMPUTED_VALUE"""),"-[]")</f>
        <v>-[]</v>
      </c>
      <c r="D4" s="448" t="str">
        <f>IFERROR(__xludf.DUMMYFUNCTION("""COMPUTED_VALUE"""),"-[]")</f>
        <v>-[]</v>
      </c>
      <c r="E4" s="448">
        <f>IFERROR(__xludf.DUMMYFUNCTION("""COMPUTED_VALUE"""),8.0)</f>
        <v>8</v>
      </c>
      <c r="F4" s="448"/>
      <c r="G4" s="448"/>
      <c r="H4" s="448"/>
      <c r="I4" s="448"/>
      <c r="J4" s="448"/>
      <c r="K4" s="448"/>
      <c r="L4" s="448"/>
      <c r="M4" s="448"/>
      <c r="N4" s="448"/>
      <c r="O4" s="448"/>
      <c r="P4" s="448"/>
      <c r="Q4" s="448"/>
      <c r="R4" s="448"/>
      <c r="S4" s="448"/>
      <c r="T4" s="448"/>
      <c r="U4" s="448"/>
      <c r="V4" s="448"/>
    </row>
    <row r="5">
      <c r="A5" s="448" t="str">
        <f>IFERROR(__xludf.DUMMYFUNCTION("""COMPUTED_VALUE"""),"Attunement (X)")</f>
        <v>Attunement (X)</v>
      </c>
      <c r="B5" s="448"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48" t="str">
        <f>IFERROR(__xludf.DUMMYFUNCTION("""COMPUTED_VALUE"""),"-[]")</f>
        <v>-[]</v>
      </c>
      <c r="D5" s="448" t="str">
        <f>IFERROR(__xludf.DUMMYFUNCTION("""COMPUTED_VALUE"""),"-[]")</f>
        <v>-[]</v>
      </c>
      <c r="E5" s="448">
        <f>IFERROR(__xludf.DUMMYFUNCTION("""COMPUTED_VALUE"""),15.0)</f>
        <v>15</v>
      </c>
      <c r="F5" s="448"/>
      <c r="G5" s="448"/>
      <c r="H5" s="448"/>
      <c r="I5" s="448"/>
      <c r="J5" s="448"/>
      <c r="K5" s="448"/>
      <c r="L5" s="448"/>
      <c r="M5" s="448"/>
      <c r="N5" s="448"/>
      <c r="O5" s="448"/>
      <c r="P5" s="448"/>
      <c r="Q5" s="448"/>
      <c r="R5" s="448"/>
      <c r="S5" s="448"/>
      <c r="T5" s="448"/>
      <c r="U5" s="448"/>
      <c r="V5" s="448"/>
    </row>
    <row r="6">
      <c r="A6" s="448" t="str">
        <f>IFERROR(__xludf.DUMMYFUNCTION("""COMPUTED_VALUE"""),"Battery Body")</f>
        <v>Battery Body</v>
      </c>
      <c r="B6" s="448" t="str">
        <f>IFERROR(__xludf.DUMMYFUNCTION("""COMPUTED_VALUE"""),"[Any Domains of Magic Skill 4; Arcane Knowledge 5]
You can store 5 mana within your body.")</f>
        <v>[Any Domains of Magic Skill 4; Arcane Knowledge 5]
You can store 5 mana within your body.</v>
      </c>
      <c r="C6" s="448" t="str">
        <f>IFERROR(__xludf.DUMMYFUNCTION("""COMPUTED_VALUE"""),"[Any Domains of Magic Skill 6; Arcane Knowledge 10]
You can store 10 mana within your body.")</f>
        <v>[Any Domains of Magic Skill 6; Arcane Knowledge 10]
You can store 10 mana within your body.</v>
      </c>
      <c r="D6" s="448" t="str">
        <f>IFERROR(__xludf.DUMMYFUNCTION("""COMPUTED_VALUE"""),"[Any Domains of Magic Skill 8; Arcane Knowledge 15]
You can store 15 mana within your body.")</f>
        <v>[Any Domains of Magic Skill 8; Arcane Knowledge 15]
You can store 15 mana within your body.</v>
      </c>
      <c r="E6" s="448">
        <f>IFERROR(__xludf.DUMMYFUNCTION("""COMPUTED_VALUE"""),14.0)</f>
        <v>14</v>
      </c>
      <c r="F6" s="448"/>
      <c r="G6" s="448"/>
      <c r="H6" s="448"/>
      <c r="I6" s="448"/>
      <c r="J6" s="448"/>
      <c r="K6" s="448"/>
      <c r="L6" s="448"/>
      <c r="M6" s="448"/>
      <c r="N6" s="448"/>
      <c r="O6" s="448"/>
      <c r="P6" s="448"/>
      <c r="Q6" s="448"/>
      <c r="R6" s="448"/>
      <c r="S6" s="448"/>
      <c r="T6" s="448"/>
      <c r="U6" s="448"/>
      <c r="V6" s="448"/>
    </row>
    <row r="7">
      <c r="A7" s="448" t="str">
        <f>IFERROR(__xludf.DUMMYFUNCTION("""COMPUTED_VALUE"""),"Blessed Arcana")</f>
        <v>Blessed Arcana</v>
      </c>
      <c r="B7" s="448"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48"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48"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48">
        <f>IFERROR(__xludf.DUMMYFUNCTION("""COMPUTED_VALUE"""),7.0)</f>
        <v>7</v>
      </c>
      <c r="F7" s="448"/>
      <c r="G7" s="448"/>
      <c r="H7" s="448"/>
      <c r="I7" s="448"/>
      <c r="J7" s="448"/>
      <c r="K7" s="448"/>
      <c r="L7" s="448"/>
      <c r="M7" s="448"/>
      <c r="N7" s="448"/>
      <c r="O7" s="448"/>
      <c r="P7" s="448"/>
      <c r="Q7" s="448"/>
      <c r="R7" s="448"/>
      <c r="S7" s="448"/>
      <c r="T7" s="448"/>
      <c r="U7" s="448"/>
      <c r="V7" s="448"/>
    </row>
    <row r="8">
      <c r="A8" s="448" t="str">
        <f>IFERROR(__xludf.DUMMYFUNCTION("""COMPUTED_VALUE"""),"Demonic Arts")</f>
        <v>Demonic Arts</v>
      </c>
      <c r="B8" s="448"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48"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48"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48">
        <f>IFERROR(__xludf.DUMMYFUNCTION("""COMPUTED_VALUE"""),7.0)</f>
        <v>7</v>
      </c>
      <c r="F8" s="448"/>
      <c r="G8" s="448"/>
      <c r="H8" s="448"/>
      <c r="I8" s="448"/>
      <c r="J8" s="448"/>
      <c r="K8" s="448"/>
      <c r="L8" s="448"/>
      <c r="M8" s="448"/>
      <c r="N8" s="448"/>
      <c r="O8" s="448"/>
      <c r="P8" s="448"/>
      <c r="Q8" s="448"/>
      <c r="R8" s="448"/>
      <c r="S8" s="448"/>
      <c r="T8" s="448"/>
      <c r="U8" s="448"/>
      <c r="V8" s="448"/>
    </row>
    <row r="9">
      <c r="A9" s="448" t="str">
        <f>IFERROR(__xludf.DUMMYFUNCTION("""COMPUTED_VALUE"""),"Esther Conduit")</f>
        <v>Esther Conduit</v>
      </c>
      <c r="B9" s="448"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48"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48"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48">
        <f>IFERROR(__xludf.DUMMYFUNCTION("""COMPUTED_VALUE"""),10.0)</f>
        <v>10</v>
      </c>
      <c r="F9" s="448"/>
      <c r="G9" s="448"/>
      <c r="H9" s="448"/>
      <c r="I9" s="448"/>
      <c r="J9" s="448"/>
      <c r="K9" s="448"/>
      <c r="L9" s="448"/>
      <c r="M9" s="448"/>
      <c r="N9" s="448"/>
      <c r="O9" s="448"/>
      <c r="P9" s="448"/>
      <c r="Q9" s="448"/>
      <c r="R9" s="448"/>
      <c r="S9" s="448"/>
      <c r="T9" s="448"/>
      <c r="U9" s="448"/>
      <c r="V9" s="448"/>
    </row>
    <row r="10">
      <c r="A10" s="448" t="str">
        <f>IFERROR(__xludf.DUMMYFUNCTION("""COMPUTED_VALUE"""),"Feel the Esther")</f>
        <v>Feel the Esther</v>
      </c>
      <c r="B10" s="448"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48" t="str">
        <f>IFERROR(__xludf.DUMMYFUNCTION("""COMPUTED_VALUE"""),"-[]")</f>
        <v>-[]</v>
      </c>
      <c r="D10" s="448" t="str">
        <f>IFERROR(__xludf.DUMMYFUNCTION("""COMPUTED_VALUE"""),"-[]")</f>
        <v>-[]</v>
      </c>
      <c r="E10" s="448">
        <f>IFERROR(__xludf.DUMMYFUNCTION("""COMPUTED_VALUE"""),5.0)</f>
        <v>5</v>
      </c>
      <c r="F10" s="448"/>
      <c r="G10" s="448"/>
      <c r="H10" s="448"/>
      <c r="I10" s="448"/>
      <c r="J10" s="448"/>
      <c r="K10" s="448"/>
      <c r="L10" s="448"/>
      <c r="M10" s="448"/>
      <c r="N10" s="448"/>
      <c r="O10" s="448"/>
      <c r="P10" s="448"/>
      <c r="Q10" s="448"/>
      <c r="R10" s="448"/>
      <c r="S10" s="448"/>
      <c r="T10" s="448"/>
      <c r="U10" s="448"/>
      <c r="V10" s="448"/>
    </row>
    <row r="11">
      <c r="A11" s="448" t="str">
        <f>IFERROR(__xludf.DUMMYFUNCTION("""COMPUTED_VALUE"""),"Parsley, Sage, Rosemary, and Thyme")</f>
        <v>Parsley, Sage, Rosemary, and Thyme</v>
      </c>
      <c r="B11" s="448"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48"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48"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48">
        <f>IFERROR(__xludf.DUMMYFUNCTION("""COMPUTED_VALUE"""),12.0)</f>
        <v>12</v>
      </c>
      <c r="F11" s="448"/>
      <c r="G11" s="448"/>
      <c r="H11" s="448"/>
      <c r="I11" s="448"/>
      <c r="J11" s="448"/>
      <c r="K11" s="448"/>
      <c r="L11" s="448"/>
      <c r="M11" s="448"/>
      <c r="N11" s="448"/>
      <c r="O11" s="448"/>
      <c r="P11" s="448"/>
      <c r="Q11" s="448"/>
      <c r="R11" s="448"/>
      <c r="S11" s="448"/>
      <c r="T11" s="448"/>
      <c r="U11" s="448"/>
      <c r="V11" s="448"/>
    </row>
    <row r="12">
      <c r="A12" s="448" t="str">
        <f>IFERROR(__xludf.DUMMYFUNCTION("""COMPUTED_VALUE"""),"Sacred Exchange")</f>
        <v>Sacred Exchange</v>
      </c>
      <c r="B12" s="448" t="str">
        <f>IFERROR(__xludf.DUMMYFUNCTION("""COMPUTED_VALUE"""),"[The Hunger or Arcane Knowledge 8]
You may freely consume 1 available Mana to instantly regain 1 Fortitude.")</f>
        <v>[The Hunger or Arcane Knowledge 8]
You may freely consume 1 available Mana to instantly regain 1 Fortitude.</v>
      </c>
      <c r="C12" s="448" t="str">
        <f>IFERROR(__xludf.DUMMYFUNCTION("""COMPUTED_VALUE"""),"-[]")</f>
        <v>-[]</v>
      </c>
      <c r="D12" s="448" t="str">
        <f>IFERROR(__xludf.DUMMYFUNCTION("""COMPUTED_VALUE"""),"-[]")</f>
        <v>-[]</v>
      </c>
      <c r="E12" s="448">
        <f>IFERROR(__xludf.DUMMYFUNCTION("""COMPUTED_VALUE"""),5.0)</f>
        <v>5</v>
      </c>
      <c r="F12" s="448"/>
      <c r="G12" s="448"/>
      <c r="H12" s="448"/>
      <c r="I12" s="448"/>
      <c r="J12" s="448"/>
      <c r="K12" s="448"/>
      <c r="L12" s="448"/>
      <c r="M12" s="448"/>
      <c r="N12" s="448"/>
      <c r="O12" s="448"/>
      <c r="P12" s="448"/>
      <c r="Q12" s="448"/>
      <c r="R12" s="448"/>
      <c r="S12" s="448"/>
      <c r="T12" s="448"/>
      <c r="U12" s="448"/>
      <c r="V12" s="448"/>
    </row>
    <row r="13">
      <c r="A13" s="448" t="str">
        <f>IFERROR(__xludf.DUMMYFUNCTION("""COMPUTED_VALUE"""),"Selfish Spark")</f>
        <v>Selfish Spark</v>
      </c>
      <c r="B13" s="448"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48" t="str">
        <f>IFERROR(__xludf.DUMMYFUNCTION("""COMPUTED_VALUE"""),"-[]")</f>
        <v>-[]</v>
      </c>
      <c r="D13" s="448" t="str">
        <f>IFERROR(__xludf.DUMMYFUNCTION("""COMPUTED_VALUE"""),"-[]")</f>
        <v>-[]</v>
      </c>
      <c r="E13" s="448">
        <f>IFERROR(__xludf.DUMMYFUNCTION("""COMPUTED_VALUE"""),10.0)</f>
        <v>10</v>
      </c>
      <c r="F13" s="448"/>
      <c r="G13" s="448"/>
      <c r="H13" s="448"/>
      <c r="I13" s="448"/>
      <c r="J13" s="448"/>
      <c r="K13" s="448"/>
      <c r="L13" s="448"/>
      <c r="M13" s="448"/>
      <c r="N13" s="448"/>
      <c r="O13" s="448"/>
      <c r="P13" s="448"/>
      <c r="Q13" s="448"/>
      <c r="R13" s="448"/>
      <c r="S13" s="448"/>
      <c r="T13" s="448"/>
      <c r="U13" s="448"/>
      <c r="V13" s="448"/>
    </row>
    <row r="14">
      <c r="A14" s="448" t="str">
        <f>IFERROR(__xludf.DUMMYFUNCTION("""COMPUTED_VALUE"""),"Karmic Power")</f>
        <v>Karmic Power</v>
      </c>
      <c r="B14" s="448" t="str">
        <f>IFERROR(__xludf.DUMMYFUNCTION("""COMPUTED_VALUE"""),"[None]
You may use Karma as if it was Mana stored in your body.")</f>
        <v>[None]
You may use Karma as if it was Mana stored in your body.</v>
      </c>
      <c r="C14" s="448" t="str">
        <f>IFERROR(__xludf.DUMMYFUNCTION("""COMPUTED_VALUE"""),"-[]")</f>
        <v>-[]</v>
      </c>
      <c r="D14" s="448" t="str">
        <f>IFERROR(__xludf.DUMMYFUNCTION("""COMPUTED_VALUE"""),"-[]")</f>
        <v>-[]</v>
      </c>
      <c r="E14" s="448">
        <f>IFERROR(__xludf.DUMMYFUNCTION("""COMPUTED_VALUE"""),20.0)</f>
        <v>20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IFERROR(__xludf.DUMMYFUNCTION("""COMPUTED_VALUE"""),"Don't Break My Concentration")</f>
        <v>Don't Break My Concentration</v>
      </c>
      <c r="B15" s="448"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48"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48"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48">
        <f>IFERROR(__xludf.DUMMYFUNCTION("""COMPUTED_VALUE"""),20.0)</f>
        <v>20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IFERROR(__xludf.DUMMYFUNCTION("""COMPUTED_VALUE"""),"Attunement Unlocked")</f>
        <v>Attunement Unlocked</v>
      </c>
      <c r="B16" s="448"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48"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48"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48">
        <f>IFERROR(__xludf.DUMMYFUNCTION("""COMPUTED_VALUE"""),25.0)</f>
        <v>25</v>
      </c>
      <c r="F16" s="448"/>
      <c r="G16" s="448"/>
      <c r="H16" s="448"/>
      <c r="I16" s="448"/>
      <c r="J16" s="448"/>
      <c r="K16" s="448"/>
      <c r="L16" s="448"/>
      <c r="M16" s="448"/>
      <c r="N16" s="448"/>
      <c r="O16" s="448"/>
      <c r="P16" s="448"/>
      <c r="Q16" s="448"/>
      <c r="R16" s="448"/>
      <c r="S16" s="448"/>
      <c r="T16" s="448"/>
      <c r="U16" s="448"/>
      <c r="V16" s="448"/>
    </row>
    <row r="17">
      <c r="A17" s="448"/>
      <c r="B17" s="448"/>
      <c r="C17" s="448"/>
      <c r="D17" s="448"/>
      <c r="E17" s="448"/>
      <c r="F17" s="448"/>
      <c r="G17" s="448"/>
      <c r="H17" s="448"/>
      <c r="I17" s="448"/>
      <c r="J17" s="448"/>
      <c r="K17" s="448"/>
      <c r="L17" s="448"/>
      <c r="M17" s="448"/>
      <c r="N17" s="448"/>
      <c r="O17" s="448"/>
      <c r="P17" s="448"/>
      <c r="Q17" s="448"/>
      <c r="R17" s="448"/>
      <c r="S17" s="448"/>
      <c r="T17" s="448"/>
      <c r="U17" s="448"/>
      <c r="V17" s="448"/>
    </row>
    <row r="18">
      <c r="A18" s="448"/>
      <c r="B18" s="448"/>
      <c r="C18" s="448"/>
      <c r="D18" s="448"/>
      <c r="E18" s="448"/>
      <c r="F18" s="448"/>
      <c r="G18" s="448"/>
      <c r="H18" s="448"/>
      <c r="I18" s="448"/>
      <c r="J18" s="448"/>
      <c r="K18" s="448"/>
      <c r="L18" s="448"/>
      <c r="M18" s="448"/>
      <c r="N18" s="448"/>
      <c r="O18" s="448"/>
      <c r="P18" s="448"/>
      <c r="Q18" s="448"/>
      <c r="R18" s="448"/>
      <c r="S18" s="448"/>
      <c r="T18" s="448"/>
      <c r="U18" s="448"/>
      <c r="V18" s="448"/>
    </row>
    <row r="19">
      <c r="A19" s="448"/>
      <c r="B19" s="448"/>
      <c r="C19" s="448"/>
      <c r="D19" s="448"/>
      <c r="E19" s="448"/>
      <c r="F19" s="448"/>
      <c r="G19" s="448"/>
      <c r="H19" s="448"/>
      <c r="I19" s="448"/>
      <c r="J19" s="448"/>
      <c r="K19" s="448"/>
      <c r="L19" s="448"/>
      <c r="M19" s="448"/>
      <c r="N19" s="448"/>
      <c r="O19" s="448"/>
      <c r="P19" s="448"/>
      <c r="Q19" s="448"/>
      <c r="R19" s="448"/>
      <c r="S19" s="448"/>
      <c r="T19" s="448"/>
      <c r="U19" s="448"/>
      <c r="V19" s="448"/>
    </row>
    <row r="20">
      <c r="A20" s="448"/>
      <c r="B20" s="448"/>
      <c r="C20" s="448"/>
      <c r="D20" s="448"/>
      <c r="E20" s="448"/>
      <c r="F20" s="448"/>
      <c r="G20" s="448"/>
      <c r="H20" s="448"/>
      <c r="I20" s="448"/>
      <c r="J20" s="448"/>
      <c r="K20" s="448"/>
      <c r="L20" s="448"/>
      <c r="M20" s="448"/>
      <c r="N20" s="448"/>
      <c r="O20" s="448"/>
      <c r="P20" s="448"/>
      <c r="Q20" s="448"/>
      <c r="R20" s="448"/>
      <c r="S20" s="448"/>
      <c r="T20" s="448"/>
      <c r="U20" s="448"/>
      <c r="V20" s="448"/>
    </row>
    <row r="21">
      <c r="A21" s="448"/>
      <c r="B21" s="448"/>
      <c r="C21" s="448"/>
      <c r="D21" s="448"/>
      <c r="E21" s="448"/>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""Supernatural!B3:B""),""SELECT * WHERE Col1 IS NOT NULL"",0)"),"Ancient Soul")</f>
        <v>Ancient Soul</v>
      </c>
      <c r="B1" s="448"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48" t="str">
        <f>IFERROR(__xludf.DUMMYFUNCTION("QUERY(IMPORTRANGE(""1koQqL7bV1rMPtlmhZblwVeK5weyiTfFQ3POD_grK7Rc"",""Supernatural!$E$3:$E""),""select Col1 where Col1 is not null AND Col1 contains '['"",0)"),"-[]")</f>
        <v>-[]</v>
      </c>
      <c r="D1" s="448" t="str">
        <f>IFERROR(__xludf.DUMMYFUNCTION("QUERY(IMPORTRANGE(""1koQqL7bV1rMPtlmhZblwVeK5weyiTfFQ3POD_grK7Rc"",""Supernatural!$F$3:$F""),""select Col1 where Col1 is not null AND Col1 contains '['"",0)"),"-[]")</f>
        <v>-[]</v>
      </c>
      <c r="E1" s="448">
        <f>IFERROR(__xludf.DUMMYFUNCTION("QUERY(IMPORTRANGE(""1koQqL7bV1rMPtlmhZblwVeK5weyiTfFQ3POD_grK7Rc"", ""Supernatural!C3:C""),""SELECT * WHERE Col1 IS NOT NULL"",0)"),20.0)</f>
        <v>20</v>
      </c>
      <c r="F1" s="448"/>
      <c r="G1" s="448"/>
      <c r="H1" s="448"/>
      <c r="I1" s="448"/>
      <c r="J1" s="448"/>
      <c r="K1" s="448"/>
      <c r="L1" s="448"/>
      <c r="M1" s="448"/>
      <c r="N1" s="448"/>
      <c r="O1" s="448"/>
      <c r="P1" s="448"/>
      <c r="Q1" s="448"/>
      <c r="R1" s="448"/>
      <c r="S1" s="448"/>
      <c r="T1" s="448"/>
      <c r="U1" s="448"/>
      <c r="V1" s="448"/>
    </row>
    <row r="2">
      <c r="A2" s="451" t="str">
        <f>IFERROR(__xludf.DUMMYFUNCTION("""COMPUTED_VALUE"""),"Born Evolved")</f>
        <v>Born Evolved</v>
      </c>
      <c r="B2" s="451" t="str">
        <f>IFERROR(__xludf.DUMMYFUNCTION("""COMPUTED_VALUE"""),"[None]
All attributes +1")</f>
        <v>[None]
All attributes +1</v>
      </c>
      <c r="C2" s="451" t="str">
        <f>IFERROR(__xludf.DUMMYFUNCTION("""COMPUTED_VALUE"""),"-[]")</f>
        <v>-[]</v>
      </c>
      <c r="D2" s="451" t="str">
        <f>IFERROR(__xludf.DUMMYFUNCTION("""COMPUTED_VALUE"""),"-[]")</f>
        <v>-[]</v>
      </c>
      <c r="E2" s="448">
        <f>IFERROR(__xludf.DUMMYFUNCTION("""COMPUTED_VALUE"""),36.0)</f>
        <v>36</v>
      </c>
      <c r="F2" s="448"/>
      <c r="G2" s="448"/>
      <c r="H2" s="448"/>
      <c r="I2" s="448"/>
      <c r="J2" s="448"/>
      <c r="K2" s="448"/>
      <c r="L2" s="448"/>
      <c r="M2" s="448"/>
      <c r="N2" s="448"/>
      <c r="O2" s="448"/>
      <c r="P2" s="448"/>
      <c r="Q2" s="448"/>
      <c r="R2" s="448"/>
      <c r="S2" s="448"/>
      <c r="T2" s="448"/>
      <c r="U2" s="448"/>
      <c r="V2" s="448"/>
    </row>
    <row r="3">
      <c r="A3" s="448" t="str">
        <f>IFERROR(__xludf.DUMMYFUNCTION("""COMPUTED_VALUE"""),"Death's Hand")</f>
        <v>Death's Hand</v>
      </c>
      <c r="B3" s="448"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48" t="str">
        <f>IFERROR(__xludf.DUMMYFUNCTION("""COMPUTED_VALUE"""),"-[]")</f>
        <v>-[]</v>
      </c>
      <c r="D3" s="448" t="str">
        <f>IFERROR(__xludf.DUMMYFUNCTION("""COMPUTED_VALUE"""),"-[]")</f>
        <v>-[]</v>
      </c>
      <c r="E3" s="448">
        <f>IFERROR(__xludf.DUMMYFUNCTION("""COMPUTED_VALUE"""),20.0)</f>
        <v>20</v>
      </c>
      <c r="F3" s="448"/>
      <c r="G3" s="448"/>
      <c r="H3" s="448"/>
      <c r="I3" s="448"/>
      <c r="J3" s="448"/>
      <c r="K3" s="448"/>
      <c r="L3" s="448"/>
      <c r="M3" s="448"/>
      <c r="N3" s="448"/>
      <c r="O3" s="448"/>
      <c r="P3" s="448"/>
      <c r="Q3" s="448"/>
      <c r="R3" s="448"/>
      <c r="S3" s="448"/>
      <c r="T3" s="448"/>
      <c r="U3" s="448"/>
      <c r="V3" s="448"/>
    </row>
    <row r="4">
      <c r="A4" s="448" t="str">
        <f>IFERROR(__xludf.DUMMYFUNCTION("""COMPUTED_VALUE"""),"Eidetic Memory")</f>
        <v>Eidetic Memory</v>
      </c>
      <c r="B4" s="448"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48" t="str">
        <f>IFERROR(__xludf.DUMMYFUNCTION("""COMPUTED_VALUE"""),"-[]")</f>
        <v>-[]</v>
      </c>
      <c r="D4" s="448" t="str">
        <f>IFERROR(__xludf.DUMMYFUNCTION("""COMPUTED_VALUE"""),"-[]")</f>
        <v>-[]</v>
      </c>
      <c r="E4" s="448">
        <f>IFERROR(__xludf.DUMMYFUNCTION("""COMPUTED_VALUE"""),30.0)</f>
        <v>30</v>
      </c>
      <c r="F4" s="448"/>
      <c r="G4" s="448"/>
      <c r="H4" s="448"/>
      <c r="I4" s="448"/>
      <c r="J4" s="448"/>
      <c r="K4" s="448"/>
      <c r="L4" s="448"/>
      <c r="M4" s="448"/>
      <c r="N4" s="448"/>
      <c r="O4" s="448"/>
      <c r="P4" s="448"/>
      <c r="Q4" s="448"/>
      <c r="R4" s="448"/>
      <c r="S4" s="448"/>
      <c r="T4" s="448"/>
      <c r="U4" s="448"/>
      <c r="V4" s="448"/>
    </row>
    <row r="5">
      <c r="A5" s="448" t="str">
        <f>IFERROR(__xludf.DUMMYFUNCTION("""COMPUTED_VALUE"""),"Enthralling Aura")</f>
        <v>Enthralling Aura</v>
      </c>
      <c r="B5" s="448"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48"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48"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48">
        <f>IFERROR(__xludf.DUMMYFUNCTION("""COMPUTED_VALUE"""),15.0)</f>
        <v>15</v>
      </c>
      <c r="F5" s="448"/>
      <c r="G5" s="448"/>
      <c r="H5" s="448"/>
      <c r="I5" s="448"/>
      <c r="J5" s="448"/>
      <c r="K5" s="448"/>
      <c r="L5" s="448"/>
      <c r="M5" s="448"/>
      <c r="N5" s="448"/>
      <c r="O5" s="448"/>
      <c r="P5" s="448"/>
      <c r="Q5" s="448"/>
      <c r="R5" s="448"/>
      <c r="S5" s="448"/>
      <c r="T5" s="448"/>
      <c r="U5" s="448"/>
      <c r="V5" s="448"/>
    </row>
    <row r="6">
      <c r="A6" s="448" t="str">
        <f>IFERROR(__xludf.DUMMYFUNCTION("""COMPUTED_VALUE"""),"Flight")</f>
        <v>Flight</v>
      </c>
      <c r="B6" s="448" t="str">
        <f>IFERROR(__xludf.DUMMYFUNCTION("""COMPUTED_VALUE"""),"[None]
You have the natural ability of flight. You can fly in any direction at your movement speed.")</f>
        <v>[None]
You have the natural ability of flight. You can fly in any direction at your movement speed.</v>
      </c>
      <c r="C6" s="448" t="str">
        <f>IFERROR(__xludf.DUMMYFUNCTION("""COMPUTED_VALUE"""),"-[]")</f>
        <v>-[]</v>
      </c>
      <c r="D6" s="448" t="str">
        <f>IFERROR(__xludf.DUMMYFUNCTION("""COMPUTED_VALUE"""),"-[]")</f>
        <v>-[]</v>
      </c>
      <c r="E6" s="448">
        <f>IFERROR(__xludf.DUMMYFUNCTION("""COMPUTED_VALUE"""),20.0)</f>
        <v>20</v>
      </c>
      <c r="F6" s="448"/>
      <c r="G6" s="448"/>
      <c r="H6" s="448"/>
      <c r="I6" s="448"/>
      <c r="J6" s="448"/>
      <c r="K6" s="448"/>
      <c r="L6" s="448"/>
      <c r="M6" s="448"/>
      <c r="N6" s="448"/>
      <c r="O6" s="448"/>
      <c r="P6" s="448"/>
      <c r="Q6" s="448"/>
      <c r="R6" s="448"/>
      <c r="S6" s="448"/>
      <c r="T6" s="448"/>
      <c r="U6" s="448"/>
      <c r="V6" s="448"/>
    </row>
    <row r="7">
      <c r="A7" s="448" t="str">
        <f>IFERROR(__xludf.DUMMYFUNCTION("""COMPUTED_VALUE"""),"Healing Factor")</f>
        <v>Healing Factor</v>
      </c>
      <c r="B7" s="448" t="str">
        <f>IFERROR(__xludf.DUMMYFUNCTION("""COMPUTED_VALUE"""),"[None]
Worn body parts automaticaly heal in 6 seconds or one combat round.")</f>
        <v>[None]
Worn body parts automaticaly heal in 6 seconds or one combat round.</v>
      </c>
      <c r="C7" s="448" t="str">
        <f>IFERROR(__xludf.DUMMYFUNCTION("""COMPUTED_VALUE"""),"[CON +4]
Worn and broken body parts heal one condition in 6 seconds or one combat round.")</f>
        <v>[CON +4]
Worn and broken body parts heal one condition in 6 seconds or one combat round.</v>
      </c>
      <c r="D7" s="448"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48">
        <f>IFERROR(__xludf.DUMMYFUNCTION("""COMPUTED_VALUE"""),15.0)</f>
        <v>15</v>
      </c>
      <c r="F7" s="448"/>
      <c r="G7" s="448"/>
      <c r="H7" s="448"/>
      <c r="I7" s="448"/>
      <c r="J7" s="448"/>
      <c r="K7" s="448"/>
      <c r="L7" s="448"/>
      <c r="M7" s="448"/>
      <c r="N7" s="448"/>
      <c r="O7" s="448"/>
      <c r="P7" s="448"/>
      <c r="Q7" s="448"/>
      <c r="R7" s="448"/>
      <c r="S7" s="448"/>
      <c r="T7" s="448"/>
      <c r="U7" s="448"/>
      <c r="V7" s="448"/>
    </row>
    <row r="8">
      <c r="A8" s="448" t="str">
        <f>IFERROR(__xludf.DUMMYFUNCTION("""COMPUTED_VALUE"""),"Magic Negator (X)")</f>
        <v>Magic Negator (X)</v>
      </c>
      <c r="B8" s="448"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48" t="str">
        <f>IFERROR(__xludf.DUMMYFUNCTION("""COMPUTED_VALUE"""),"-[]")</f>
        <v>-[]</v>
      </c>
      <c r="D8" s="448" t="str">
        <f>IFERROR(__xludf.DUMMYFUNCTION("""COMPUTED_VALUE"""),"-[]")</f>
        <v>-[]</v>
      </c>
      <c r="E8" s="448">
        <f>IFERROR(__xludf.DUMMYFUNCTION("""COMPUTED_VALUE"""),17.0)</f>
        <v>17</v>
      </c>
      <c r="F8" s="448"/>
      <c r="G8" s="448"/>
      <c r="H8" s="448"/>
      <c r="I8" s="448"/>
      <c r="J8" s="448"/>
      <c r="K8" s="448"/>
      <c r="L8" s="448"/>
      <c r="M8" s="448"/>
      <c r="N8" s="448"/>
      <c r="O8" s="448"/>
      <c r="P8" s="448"/>
      <c r="Q8" s="448"/>
      <c r="R8" s="448"/>
      <c r="S8" s="448"/>
      <c r="T8" s="448"/>
      <c r="U8" s="448"/>
      <c r="V8" s="448"/>
    </row>
    <row r="9">
      <c r="A9" s="448" t="str">
        <f>IFERROR(__xludf.DUMMYFUNCTION("""COMPUTED_VALUE"""),"Precognition")</f>
        <v>Precognition</v>
      </c>
      <c r="B9" s="448"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48" t="str">
        <f>IFERROR(__xludf.DUMMYFUNCTION("""COMPUTED_VALUE"""),"-[]")</f>
        <v>-[]</v>
      </c>
      <c r="D9" s="448" t="str">
        <f>IFERROR(__xludf.DUMMYFUNCTION("""COMPUTED_VALUE"""),"-[]")</f>
        <v>-[]</v>
      </c>
      <c r="E9" s="448">
        <f>IFERROR(__xludf.DUMMYFUNCTION("""COMPUTED_VALUE"""),23.0)</f>
        <v>23</v>
      </c>
      <c r="F9" s="448"/>
      <c r="G9" s="448"/>
      <c r="H9" s="448"/>
      <c r="I9" s="448"/>
      <c r="J9" s="448"/>
      <c r="K9" s="448"/>
      <c r="L9" s="448"/>
      <c r="M9" s="448"/>
      <c r="N9" s="448"/>
      <c r="O9" s="448"/>
      <c r="P9" s="448"/>
      <c r="Q9" s="448"/>
      <c r="R9" s="448"/>
      <c r="S9" s="448"/>
      <c r="T9" s="448"/>
      <c r="U9" s="448"/>
      <c r="V9" s="448"/>
    </row>
    <row r="10">
      <c r="A10" s="448" t="str">
        <f>IFERROR(__xludf.DUMMYFUNCTION("""COMPUTED_VALUE"""),"Proof (X)")</f>
        <v>Proof (X)</v>
      </c>
      <c r="B10" s="448" t="str">
        <f>IFERROR(__xludf.DUMMYFUNCTION("""COMPUTED_VALUE"""),"[None]
Your body is naturally immune to cold, fire, electricity, or acid")</f>
        <v>[None]
Your body is naturally immune to cold, fire, electricity, or acid</v>
      </c>
      <c r="C10" s="448" t="str">
        <f>IFERROR(__xludf.DUMMYFUNCTION("""COMPUTED_VALUE"""),"-[]")</f>
        <v>-[]</v>
      </c>
      <c r="D10" s="448" t="str">
        <f>IFERROR(__xludf.DUMMYFUNCTION("""COMPUTED_VALUE"""),"-[]")</f>
        <v>-[]</v>
      </c>
      <c r="E10" s="448">
        <f>IFERROR(__xludf.DUMMYFUNCTION("""COMPUTED_VALUE"""),18.0)</f>
        <v>18</v>
      </c>
      <c r="F10" s="448"/>
      <c r="G10" s="448"/>
      <c r="H10" s="448"/>
      <c r="I10" s="448"/>
      <c r="J10" s="448"/>
      <c r="K10" s="448"/>
      <c r="L10" s="448"/>
      <c r="M10" s="448"/>
      <c r="N10" s="448"/>
      <c r="O10" s="448"/>
      <c r="P10" s="448"/>
      <c r="Q10" s="448"/>
      <c r="R10" s="448"/>
      <c r="S10" s="448"/>
      <c r="T10" s="448"/>
      <c r="U10" s="448"/>
      <c r="V10" s="448"/>
    </row>
    <row r="11">
      <c r="A11" s="448" t="str">
        <f>IFERROR(__xludf.DUMMYFUNCTION("""COMPUTED_VALUE"""),"Shapeshifter")</f>
        <v>Shapeshifter</v>
      </c>
      <c r="B11" s="448"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48" t="str">
        <f>IFERROR(__xludf.DUMMYFUNCTION("""COMPUTED_VALUE"""),"-[]")</f>
        <v>-[]</v>
      </c>
      <c r="D11" s="448" t="str">
        <f>IFERROR(__xludf.DUMMYFUNCTION("""COMPUTED_VALUE"""),"-[]")</f>
        <v>-[]</v>
      </c>
      <c r="E11" s="448">
        <f>IFERROR(__xludf.DUMMYFUNCTION("""COMPUTED_VALUE"""),15.0)</f>
        <v>15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IFERROR(__xludf.DUMMYFUNCTION("""COMPUTED_VALUE"""),"The Hunger")</f>
        <v>The Hunger</v>
      </c>
      <c r="B12" s="448"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48"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48"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48">
        <f>IFERROR(__xludf.DUMMYFUNCTION("""COMPUTED_VALUE"""),14.0)</f>
        <v>14</v>
      </c>
      <c r="F12" s="448"/>
      <c r="G12" s="448"/>
      <c r="H12" s="448"/>
      <c r="I12" s="448"/>
      <c r="J12" s="448"/>
      <c r="K12" s="448"/>
      <c r="L12" s="448"/>
      <c r="M12" s="448"/>
      <c r="N12" s="448"/>
      <c r="O12" s="448"/>
      <c r="P12" s="448"/>
      <c r="Q12" s="448"/>
      <c r="R12" s="448"/>
      <c r="S12" s="448"/>
      <c r="T12" s="448"/>
      <c r="U12" s="448"/>
      <c r="V12" s="448"/>
    </row>
    <row r="13">
      <c r="A13" s="448" t="str">
        <f>IFERROR(__xludf.DUMMYFUNCTION("""COMPUTED_VALUE"""),"The Need for Speed")</f>
        <v>The Need for Speed</v>
      </c>
      <c r="B13" s="448" t="str">
        <f>IFERROR(__xludf.DUMMYFUNCTION("""COMPUTED_VALUE"""),"1.209 Gigawatts: [None]
+2 to APT; + 6 Speed Mod")</f>
        <v>1.209 Gigawatts: [None]
+2 to APT; + 6 Speed Mod</v>
      </c>
      <c r="C13" s="448" t="str">
        <f>IFERROR(__xludf.DUMMYFUNCTION("""COMPUTED_VALUE"""),"Give Me Fuel, Give Me Fire: [Subsequent Earning]
+2 to APT; +6 Speed Mod; +8 Healing Mod;")</f>
        <v>Give Me Fuel, Give Me Fire: [Subsequent Earning]
+2 to APT; +6 Speed Mod; +8 Healing Mod;</v>
      </c>
      <c r="D13" s="448"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48">
        <f>IFERROR(__xludf.DUMMYFUNCTION("""COMPUTED_VALUE"""),14.0)</f>
        <v>14</v>
      </c>
      <c r="F13" s="448"/>
      <c r="G13" s="448"/>
      <c r="H13" s="448"/>
      <c r="I13" s="448"/>
      <c r="J13" s="448"/>
      <c r="K13" s="448"/>
      <c r="L13" s="448"/>
      <c r="M13" s="448"/>
      <c r="N13" s="448"/>
      <c r="O13" s="448"/>
      <c r="P13" s="448"/>
      <c r="Q13" s="448"/>
      <c r="R13" s="448"/>
      <c r="S13" s="448"/>
      <c r="T13" s="448"/>
      <c r="U13" s="448"/>
      <c r="V13" s="448"/>
    </row>
    <row r="14">
      <c r="A14" s="448" t="str">
        <f>IFERROR(__xludf.DUMMYFUNCTION("""COMPUTED_VALUE"""),"They're All Going to Laugh at You!")</f>
        <v>They're All Going to Laugh at You!</v>
      </c>
      <c r="B14" s="448"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48" t="str">
        <f>IFERROR(__xludf.DUMMYFUNCTION("""COMPUTED_VALUE"""),"-[]")</f>
        <v>-[]</v>
      </c>
      <c r="D14" s="448" t="str">
        <f>IFERROR(__xludf.DUMMYFUNCTION("""COMPUTED_VALUE"""),"-[]")</f>
        <v>-[]</v>
      </c>
      <c r="E14" s="448">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IFERROR(__xludf.DUMMYFUNCTION("""COMPUTED_VALUE"""),"Undead")</f>
        <v>Undead</v>
      </c>
      <c r="B15" s="448"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48" t="str">
        <f>IFERROR(__xludf.DUMMYFUNCTION("""COMPUTED_VALUE"""),"-[]")</f>
        <v>-[]</v>
      </c>
      <c r="D15" s="448" t="str">
        <f>IFERROR(__xludf.DUMMYFUNCTION("""COMPUTED_VALUE"""),"-[]")</f>
        <v>-[]</v>
      </c>
      <c r="E15" s="448">
        <f>IFERROR(__xludf.DUMMYFUNCTION("""COMPUTED_VALUE"""),13.0)</f>
        <v>13</v>
      </c>
      <c r="F15" s="448"/>
      <c r="G15" s="448"/>
      <c r="H15" s="448"/>
      <c r="I15" s="448"/>
      <c r="J15" s="448"/>
      <c r="K15" s="448"/>
      <c r="L15" s="448"/>
      <c r="M15" s="448"/>
      <c r="N15" s="448"/>
      <c r="O15" s="448"/>
      <c r="P15" s="448"/>
      <c r="Q15" s="448"/>
      <c r="R15" s="448"/>
      <c r="S15" s="448"/>
      <c r="T15" s="448"/>
      <c r="U15" s="448"/>
      <c r="V15" s="448"/>
    </row>
    <row r="16">
      <c r="A16" s="448" t="str">
        <f>IFERROR(__xludf.DUMMYFUNCTION("""COMPUTED_VALUE"""),"Unnatural Existence")</f>
        <v>Unnatural Existence</v>
      </c>
      <c r="B16" s="448" t="str">
        <f>IFERROR(__xludf.DUMMYFUNCTION("""COMPUTED_VALUE"""),"[None]
You do not need to eat, drink, or sleep. You don't lose Fortitude from a lack of any of these things.")</f>
        <v>[None]
You do not need to eat, drink, or sleep. You don't lose Fortitude from a lack of any of these things.</v>
      </c>
      <c r="C16" s="448"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48"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48">
        <f>IFERROR(__xludf.DUMMYFUNCTION("""COMPUTED_VALUE"""),24.0)</f>
        <v>24</v>
      </c>
      <c r="F16" s="448"/>
      <c r="G16" s="448"/>
      <c r="H16" s="448"/>
      <c r="I16" s="448"/>
      <c r="J16" s="448"/>
      <c r="K16" s="448"/>
      <c r="L16" s="448"/>
      <c r="M16" s="448"/>
      <c r="N16" s="448"/>
      <c r="O16" s="448"/>
      <c r="P16" s="448"/>
      <c r="Q16" s="448"/>
      <c r="R16" s="448"/>
      <c r="S16" s="448"/>
      <c r="T16" s="448"/>
      <c r="U16" s="448"/>
      <c r="V16" s="448"/>
    </row>
    <row r="17">
      <c r="A17" s="448" t="str">
        <f>IFERROR(__xludf.DUMMYFUNCTION("""COMPUTED_VALUE"""),"Voice of the Esther")</f>
        <v>Voice of the Esther</v>
      </c>
      <c r="B17" s="448"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48" t="str">
        <f>IFERROR(__xludf.DUMMYFUNCTION("""COMPUTED_VALUE"""),"-[]")</f>
        <v>-[]</v>
      </c>
      <c r="D17" s="448" t="str">
        <f>IFERROR(__xludf.DUMMYFUNCTION("""COMPUTED_VALUE"""),"-[]")</f>
        <v>-[]</v>
      </c>
      <c r="E17" s="448">
        <f>IFERROR(__xludf.DUMMYFUNCTION("""COMPUTED_VALUE"""),20.0)</f>
        <v>20</v>
      </c>
      <c r="F17" s="448"/>
      <c r="G17" s="448"/>
      <c r="H17" s="448"/>
      <c r="I17" s="448"/>
      <c r="J17" s="448"/>
      <c r="K17" s="448"/>
      <c r="L17" s="448"/>
      <c r="M17" s="448"/>
      <c r="N17" s="448"/>
      <c r="O17" s="448"/>
      <c r="P17" s="448"/>
      <c r="Q17" s="448"/>
      <c r="R17" s="448"/>
      <c r="S17" s="448"/>
      <c r="T17" s="448"/>
      <c r="U17" s="448"/>
      <c r="V17" s="448"/>
    </row>
    <row r="18">
      <c r="A18" s="448" t="str">
        <f>IFERROR(__xludf.DUMMYFUNCTION("""COMPUTED_VALUE"""),"Leyline of Ascalia")</f>
        <v>Leyline of Ascalia</v>
      </c>
      <c r="B18" s="448"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48" t="str">
        <f>IFERROR(__xludf.DUMMYFUNCTION("""COMPUTED_VALUE"""),"-[]")</f>
        <v>-[]</v>
      </c>
      <c r="D18" s="448" t="str">
        <f>IFERROR(__xludf.DUMMYFUNCTION("""COMPUTED_VALUE"""),"-[]")</f>
        <v>-[]</v>
      </c>
      <c r="E18" s="448">
        <f>IFERROR(__xludf.DUMMYFUNCTION("""COMPUTED_VALUE"""),30.0)</f>
        <v>30</v>
      </c>
      <c r="F18" s="448"/>
      <c r="G18" s="448"/>
      <c r="H18" s="448"/>
      <c r="I18" s="448"/>
      <c r="J18" s="448"/>
      <c r="K18" s="448"/>
      <c r="L18" s="448"/>
      <c r="M18" s="448"/>
      <c r="N18" s="448"/>
      <c r="O18" s="448"/>
      <c r="P18" s="448"/>
      <c r="Q18" s="448"/>
      <c r="R18" s="448"/>
      <c r="S18" s="448"/>
      <c r="T18" s="448"/>
      <c r="U18" s="448"/>
      <c r="V18" s="448"/>
    </row>
    <row r="19">
      <c r="A19" s="448" t="str">
        <f>IFERROR(__xludf.DUMMYFUNCTION("""COMPUTED_VALUE"""),"Iron Mind")</f>
        <v>Iron Mind</v>
      </c>
      <c r="B19" s="448"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48" t="str">
        <f>IFERROR(__xludf.DUMMYFUNCTION("""COMPUTED_VALUE"""),"-[]")</f>
        <v>-[]</v>
      </c>
      <c r="D19" s="448" t="str">
        <f>IFERROR(__xludf.DUMMYFUNCTION("""COMPUTED_VALUE"""),"-[]")</f>
        <v>-[]</v>
      </c>
      <c r="E19" s="448">
        <f>IFERROR(__xludf.DUMMYFUNCTION("""COMPUTED_VALUE"""),10.0)</f>
        <v>10</v>
      </c>
      <c r="F19" s="448"/>
      <c r="G19" s="448"/>
      <c r="H19" s="448"/>
      <c r="I19" s="448"/>
      <c r="J19" s="448"/>
      <c r="K19" s="448"/>
      <c r="L19" s="448"/>
      <c r="M19" s="448"/>
      <c r="N19" s="448"/>
      <c r="O19" s="448"/>
      <c r="P19" s="448"/>
      <c r="Q19" s="448"/>
      <c r="R19" s="448"/>
      <c r="S19" s="448"/>
      <c r="T19" s="448"/>
      <c r="U19" s="448"/>
      <c r="V19" s="448"/>
    </row>
    <row r="20">
      <c r="A20" s="448" t="str">
        <f>IFERROR(__xludf.DUMMYFUNCTION("""COMPUTED_VALUE"""),"Impossible Luck")</f>
        <v>Impossible Luck</v>
      </c>
      <c r="B20" s="448" t="str">
        <f>IFERROR(__xludf.DUMMYFUNCTION("""COMPUTED_VALUE"""),"[None]
+1 Mod to all Basic Skills")</f>
        <v>[None]
+1 Mod to all Basic Skills</v>
      </c>
      <c r="C20" s="448" t="str">
        <f>IFERROR(__xludf.DUMMYFUNCTION("""COMPUTED_VALUE"""),"-[]")</f>
        <v>-[]</v>
      </c>
      <c r="D20" s="448" t="str">
        <f>IFERROR(__xludf.DUMMYFUNCTION("""COMPUTED_VALUE"""),"-[]")</f>
        <v>-[]</v>
      </c>
      <c r="E20" s="448">
        <f>IFERROR(__xludf.DUMMYFUNCTION("""COMPUTED_VALUE"""),30.0)</f>
        <v>30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IFERROR(__xludf.DUMMYFUNCTION("""COMPUTED_VALUE"""),"Esther Locked")</f>
        <v>Esther Locked</v>
      </c>
      <c r="B21" s="448" t="str">
        <f>IFERROR(__xludf.DUMMYFUNCTION("""COMPUTED_VALUE"""),"[None]
Magic that targets you automatically fails")</f>
        <v>[None]
Magic that targets you automatically fails</v>
      </c>
      <c r="C21" s="448" t="str">
        <f>IFERROR(__xludf.DUMMYFUNCTION("""COMPUTED_VALUE"""),"-[]")</f>
        <v>-[]</v>
      </c>
      <c r="D21" s="448" t="str">
        <f>IFERROR(__xludf.DUMMYFUNCTION("""COMPUTED_VALUE"""),"-[]")</f>
        <v>-[]</v>
      </c>
      <c r="E21" s="448">
        <f>IFERROR(__xludf.DUMMYFUNCTION("""COMPUTED_VALUE"""),40.0)</f>
        <v>40</v>
      </c>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48" t="str">
        <f>IFERROR(__xludf.DUMMYFUNCTION("QUERY(IMPORTRANGE(""1koQqL7bV1rMPtlmhZblwVeK5weyiTfFQ3POD_grK7Rc"", ""SuperTech!B3:B""),""SELECT * WHERE Col1 IS NOT NULL"",0)"),"Machine Interfacing")</f>
        <v>Machine Interfacing</v>
      </c>
      <c r="B1" s="452"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48" t="str">
        <f>IFERROR(__xludf.DUMMYFUNCTION("QUERY(IMPORTRANGE(""1koQqL7bV1rMPtlmhZblwVeK5weyiTfFQ3POD_grK7Rc"",""SuperTech!$E$3:$E""),""select Col1 where Col1 is not null AND Col1 contains '['"",0)"),"-[]")</f>
        <v>-[]</v>
      </c>
      <c r="D1" s="448" t="str">
        <f>IFERROR(__xludf.DUMMYFUNCTION("QUERY(IMPORTRANGE(""1koQqL7bV1rMPtlmhZblwVeK5weyiTfFQ3POD_grK7Rc"",""SuperTech!$F$3:$F""),""select Col1 where Col1 is not null AND Col1 contains '['"",0)"),"-[]")</f>
        <v>-[]</v>
      </c>
      <c r="E1" s="448">
        <f>IFERROR(__xludf.DUMMYFUNCTION("QUERY(IMPORTRANGE(""1koQqL7bV1rMPtlmhZblwVeK5weyiTfFQ3POD_grK7Rc"", ""SuperTech!C3:C""),""SELECT * WHERE Col1 IS NOT NULL"",0)"),15.0)</f>
        <v>15</v>
      </c>
      <c r="F1" s="448"/>
      <c r="G1" s="448"/>
      <c r="H1" s="448"/>
      <c r="I1" s="448"/>
      <c r="J1" s="448"/>
      <c r="K1" s="448"/>
      <c r="L1" s="448"/>
      <c r="M1" s="448"/>
      <c r="N1" s="448"/>
      <c r="O1" s="448"/>
      <c r="P1" s="448"/>
      <c r="Q1" s="448"/>
      <c r="R1" s="448"/>
      <c r="S1" s="448"/>
      <c r="T1" s="448"/>
      <c r="U1" s="448"/>
      <c r="V1" s="448"/>
    </row>
    <row r="2">
      <c r="A2" s="451" t="str">
        <f>IFERROR(__xludf.DUMMYFUNCTION("""COMPUTED_VALUE"""),"Nano Sustenance (Remove)")</f>
        <v>Nano Sustenance (Remove)</v>
      </c>
      <c r="B2" s="451"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51" t="str">
        <f>IFERROR(__xludf.DUMMYFUNCTION("""COMPUTED_VALUE"""),"-[]")</f>
        <v>-[]</v>
      </c>
      <c r="D2" s="451" t="str">
        <f>IFERROR(__xludf.DUMMYFUNCTION("""COMPUTED_VALUE"""),"-[]")</f>
        <v>-[]</v>
      </c>
      <c r="E2" s="451">
        <f>IFERROR(__xludf.DUMMYFUNCTION("""COMPUTED_VALUE"""),20.0)</f>
        <v>20</v>
      </c>
      <c r="F2" s="448"/>
      <c r="G2" s="448"/>
      <c r="H2" s="448"/>
      <c r="I2" s="448"/>
      <c r="J2" s="448"/>
      <c r="K2" s="448"/>
      <c r="L2" s="448"/>
      <c r="M2" s="448"/>
      <c r="N2" s="448"/>
      <c r="O2" s="448"/>
      <c r="P2" s="448"/>
      <c r="Q2" s="448"/>
      <c r="R2" s="448"/>
      <c r="S2" s="448"/>
      <c r="T2" s="448"/>
      <c r="U2" s="448"/>
      <c r="V2" s="448"/>
    </row>
    <row r="3">
      <c r="A3" s="448" t="str">
        <f>IFERROR(__xludf.DUMMYFUNCTION("""COMPUTED_VALUE"""),"Perfect Machine (Interface Upgrade)")</f>
        <v>Perfect Machine (Interface Upgrade)</v>
      </c>
      <c r="B3" s="448"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48"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48"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48">
        <f>IFERROR(__xludf.DUMMYFUNCTION("""COMPUTED_VALUE"""),10.0)</f>
        <v>10</v>
      </c>
      <c r="F3" s="448"/>
      <c r="G3" s="448"/>
      <c r="H3" s="448"/>
      <c r="I3" s="448"/>
      <c r="J3" s="448"/>
      <c r="K3" s="448"/>
      <c r="L3" s="448"/>
      <c r="M3" s="448"/>
      <c r="N3" s="448"/>
      <c r="O3" s="448"/>
      <c r="P3" s="448"/>
      <c r="Q3" s="448"/>
      <c r="R3" s="448"/>
      <c r="S3" s="448"/>
      <c r="T3" s="448"/>
      <c r="U3" s="448"/>
      <c r="V3" s="448"/>
    </row>
    <row r="4">
      <c r="A4" s="448" t="str">
        <f>IFERROR(__xludf.DUMMYFUNCTION("""COMPUTED_VALUE"""),"Scan &amp; Replicate (Interface Upgrade)")</f>
        <v>Scan &amp; Replicate (Interface Upgrade)</v>
      </c>
      <c r="B4" s="448"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48"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48"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48">
        <f>IFERROR(__xludf.DUMMYFUNCTION("""COMPUTED_VALUE"""),15.0)</f>
        <v>15</v>
      </c>
      <c r="F4" s="448"/>
      <c r="G4" s="448"/>
      <c r="H4" s="448"/>
      <c r="I4" s="448"/>
      <c r="J4" s="448"/>
      <c r="K4" s="448"/>
      <c r="L4" s="448"/>
      <c r="M4" s="448"/>
      <c r="N4" s="448"/>
      <c r="O4" s="448"/>
      <c r="P4" s="448"/>
      <c r="Q4" s="448"/>
      <c r="R4" s="448"/>
      <c r="S4" s="448"/>
      <c r="T4" s="448"/>
      <c r="U4" s="448"/>
      <c r="V4" s="448"/>
    </row>
    <row r="5">
      <c r="A5" s="448" t="str">
        <f>IFERROR(__xludf.DUMMYFUNCTION("""COMPUTED_VALUE"""),"Matter Manipulation (Interface Upgrade)")</f>
        <v>Matter Manipulation (Interface Upgrade)</v>
      </c>
      <c r="B5" s="448"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48"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48"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48">
        <f>IFERROR(__xludf.DUMMYFUNCTION("""COMPUTED_VALUE"""),20.0)</f>
        <v>20</v>
      </c>
      <c r="F5" s="448"/>
      <c r="G5" s="448"/>
      <c r="H5" s="448"/>
      <c r="I5" s="448"/>
      <c r="J5" s="448"/>
      <c r="K5" s="448"/>
      <c r="L5" s="448"/>
      <c r="M5" s="448"/>
      <c r="N5" s="448"/>
      <c r="O5" s="448"/>
      <c r="P5" s="448"/>
      <c r="Q5" s="448"/>
      <c r="R5" s="448"/>
      <c r="S5" s="448"/>
      <c r="T5" s="448"/>
      <c r="U5" s="448"/>
      <c r="V5" s="448"/>
    </row>
    <row r="6">
      <c r="A6" s="448" t="str">
        <f>IFERROR(__xludf.DUMMYFUNCTION("""COMPUTED_VALUE"""),"Babel Translation (Interface Upgrade)")</f>
        <v>Babel Translation (Interface Upgrade)</v>
      </c>
      <c r="B6" s="448" t="str">
        <f>IFERROR(__xludf.DUMMYFUNCTION("""COMPUTED_VALUE"""),"[Nano Interface MKI]
You can understand any spoken language.")</f>
        <v>[Nano Interface MKI]
You can understand any spoken language.</v>
      </c>
      <c r="C6" s="448" t="str">
        <f>IFERROR(__xludf.DUMMYFUNCTION("""COMPUTED_VALUE"""),"[Nano Interface MKII]
You can speak and understand any language.")</f>
        <v>[Nano Interface MKII]
You can speak and understand any language.</v>
      </c>
      <c r="D6" s="448" t="str">
        <f>IFERROR(__xludf.DUMMYFUNCTION("""COMPUTED_VALUE"""),"[Nano Interface Mk III]
You can speak, read, write, and understand any language.")</f>
        <v>[Nano Interface Mk III]
You can speak, read, write, and understand any language.</v>
      </c>
      <c r="E6" s="448">
        <f>IFERROR(__xludf.DUMMYFUNCTION("""COMPUTED_VALUE"""),10.0)</f>
        <v>10</v>
      </c>
      <c r="F6" s="448"/>
      <c r="G6" s="448"/>
      <c r="H6" s="448"/>
      <c r="I6" s="448"/>
      <c r="J6" s="448"/>
      <c r="K6" s="448"/>
      <c r="L6" s="448"/>
      <c r="M6" s="448"/>
      <c r="N6" s="448"/>
      <c r="O6" s="448"/>
      <c r="P6" s="448"/>
      <c r="Q6" s="448"/>
      <c r="R6" s="448"/>
      <c r="S6" s="448"/>
      <c r="T6" s="448"/>
      <c r="U6" s="448"/>
      <c r="V6" s="448"/>
    </row>
    <row r="7">
      <c r="A7" s="448" t="str">
        <f>IFERROR(__xludf.DUMMYFUNCTION("""COMPUTED_VALUE"""),"Nanokinesis (Interface Upgrade)")</f>
        <v>Nanokinesis (Interface Upgrade)</v>
      </c>
      <c r="B7" s="448"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48"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48"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48">
        <f>IFERROR(__xludf.DUMMYFUNCTION("""COMPUTED_VALUE"""),10.0)</f>
        <v>10</v>
      </c>
      <c r="F7" s="448"/>
      <c r="G7" s="448"/>
      <c r="H7" s="448"/>
      <c r="I7" s="448"/>
      <c r="J7" s="448"/>
      <c r="K7" s="448"/>
      <c r="L7" s="448"/>
      <c r="M7" s="448"/>
      <c r="N7" s="448"/>
      <c r="O7" s="448"/>
      <c r="P7" s="448"/>
      <c r="Q7" s="448"/>
      <c r="R7" s="448"/>
      <c r="S7" s="448"/>
      <c r="T7" s="448"/>
      <c r="U7" s="448"/>
      <c r="V7" s="448"/>
    </row>
    <row r="8">
      <c r="A8" s="448" t="str">
        <f>IFERROR(__xludf.DUMMYFUNCTION("""COMPUTED_VALUE"""),"Self-repairing (Interface Upgrade)")</f>
        <v>Self-repairing (Interface Upgrade)</v>
      </c>
      <c r="B8" s="448"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48"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48"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48">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IFERROR(__xludf.DUMMYFUNCTION("""COMPUTED_VALUE"""),"If/Then (Interface Upgrade)")</f>
        <v>If/Then (Interface Upgrade)</v>
      </c>
      <c r="B9" s="448"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48"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48"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48">
        <f>IFERROR(__xludf.DUMMYFUNCTION("""COMPUTED_VALUE"""),10.0)</f>
        <v>10</v>
      </c>
      <c r="F9" s="448"/>
      <c r="G9" s="448"/>
      <c r="H9" s="448"/>
      <c r="I9" s="448"/>
      <c r="J9" s="448"/>
      <c r="K9" s="448"/>
      <c r="L9" s="448"/>
      <c r="M9" s="448"/>
      <c r="N9" s="448"/>
      <c r="O9" s="448"/>
      <c r="P9" s="448"/>
      <c r="Q9" s="448"/>
      <c r="R9" s="448"/>
      <c r="S9" s="448"/>
      <c r="T9" s="448"/>
      <c r="U9" s="448"/>
      <c r="V9" s="448"/>
    </row>
    <row r="10">
      <c r="A10" s="448" t="str">
        <f>IFERROR(__xludf.DUMMYFUNCTION("""COMPUTED_VALUE"""),"Re-Spec the System (Interface Upgrade)")</f>
        <v>Re-Spec the System (Interface Upgrade)</v>
      </c>
      <c r="B10" s="448"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48"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48"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48">
        <f>IFERROR(__xludf.DUMMYFUNCTION("""COMPUTED_VALUE"""),20.0)</f>
        <v>20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IFERROR(__xludf.DUMMYFUNCTION("""COMPUTED_VALUE"""),"Absorb Light (Loop)")</f>
        <v>Absorb Light (Loop)</v>
      </c>
      <c r="B11" s="448"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48"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48"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48">
        <f>IFERROR(__xludf.DUMMYFUNCTION("""COMPUTED_VALUE"""),5.0)</f>
        <v>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IFERROR(__xludf.DUMMYFUNCTION("""COMPUTED_VALUE"""),"Adrenaline Spark (Single Run)")</f>
        <v>Adrenaline Spark (Single Run)</v>
      </c>
      <c r="B12" s="448"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48"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48"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48">
        <f>IFERROR(__xludf.DUMMYFUNCTION("""COMPUTED_VALUE"""),5.0)</f>
        <v>5</v>
      </c>
      <c r="F12" s="448"/>
      <c r="G12" s="448"/>
      <c r="H12" s="448"/>
      <c r="I12" s="448"/>
      <c r="J12" s="448"/>
      <c r="K12" s="448"/>
      <c r="L12" s="448"/>
      <c r="M12" s="448"/>
      <c r="N12" s="448"/>
      <c r="O12" s="448"/>
      <c r="P12" s="448"/>
      <c r="Q12" s="448"/>
      <c r="R12" s="448"/>
      <c r="S12" s="448"/>
      <c r="T12" s="448"/>
      <c r="U12" s="448"/>
      <c r="V12" s="448"/>
    </row>
    <row r="13">
      <c r="A13" s="448" t="str">
        <f>IFERROR(__xludf.DUMMYFUNCTION("""COMPUTED_VALUE"""),"Firewall (Interface Upgrade)")</f>
        <v>Firewall (Interface Upgrade)</v>
      </c>
      <c r="B13" s="448"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48"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48"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48">
        <f>IFERROR(__xludf.DUMMYFUNCTION("""COMPUTED_VALUE"""),20.0)</f>
        <v>20</v>
      </c>
      <c r="F13" s="448"/>
      <c r="G13" s="448"/>
      <c r="H13" s="448"/>
      <c r="I13" s="448"/>
      <c r="J13" s="448"/>
      <c r="K13" s="448"/>
      <c r="L13" s="448"/>
      <c r="M13" s="448"/>
      <c r="N13" s="448"/>
      <c r="O13" s="448"/>
      <c r="P13" s="448"/>
      <c r="Q13" s="448"/>
      <c r="R13" s="448"/>
      <c r="S13" s="448"/>
      <c r="T13" s="448"/>
      <c r="U13" s="448"/>
      <c r="V13" s="448"/>
    </row>
    <row r="14">
      <c r="A14" s="448" t="str">
        <f>IFERROR(__xludf.DUMMYFUNCTION("""COMPUTED_VALUE"""),"P.R.A. Precise Reaction Analysis (Loop)")</f>
        <v>P.R.A. Precise Reaction Analysis (Loop)</v>
      </c>
      <c r="B14" s="448"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48"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48"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48">
        <f>IFERROR(__xludf.DUMMYFUNCTION("""COMPUTED_VALUE"""),10.0)</f>
        <v>10</v>
      </c>
      <c r="F14" s="448"/>
      <c r="G14" s="448"/>
      <c r="H14" s="448"/>
      <c r="I14" s="448"/>
      <c r="J14" s="448"/>
      <c r="K14" s="448"/>
      <c r="L14" s="448"/>
      <c r="M14" s="448"/>
      <c r="N14" s="448"/>
      <c r="O14" s="448"/>
      <c r="P14" s="448"/>
      <c r="Q14" s="448"/>
      <c r="R14" s="448"/>
      <c r="S14" s="448"/>
      <c r="T14" s="448"/>
      <c r="U14" s="448"/>
      <c r="V14" s="448"/>
    </row>
    <row r="15">
      <c r="A15" s="448" t="str">
        <f>IFERROR(__xludf.DUMMYFUNCTION("""COMPUTED_VALUE"""),"Quantum Memory Resonance (Loop)
3 Memory")</f>
        <v>Quantum Memory Resonance (Loop)
3 Memory</v>
      </c>
      <c r="B15" s="448"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48"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48"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48">
        <f>IFERROR(__xludf.DUMMYFUNCTION("""COMPUTED_VALUE"""),5.0)</f>
        <v>5</v>
      </c>
      <c r="F15" s="448"/>
      <c r="G15" s="448"/>
      <c r="H15" s="448"/>
      <c r="I15" s="448"/>
      <c r="J15" s="448"/>
      <c r="K15" s="448"/>
      <c r="L15" s="448"/>
      <c r="M15" s="448"/>
      <c r="N15" s="448"/>
      <c r="O15" s="448"/>
      <c r="P15" s="448"/>
      <c r="Q15" s="448"/>
      <c r="R15" s="448"/>
      <c r="S15" s="448"/>
      <c r="T15" s="448"/>
      <c r="U15" s="448"/>
      <c r="V15" s="448"/>
    </row>
    <row r="16">
      <c r="A16" s="448" t="str">
        <f>IFERROR(__xludf.DUMMYFUNCTION("""COMPUTED_VALUE"""),"Diagnostic Scan (Loop)")</f>
        <v>Diagnostic Scan (Loop)</v>
      </c>
      <c r="B16" s="448"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48"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48"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48">
        <f>IFERROR(__xludf.DUMMYFUNCTION("""COMPUTED_VALUE"""),15.0)</f>
        <v>15</v>
      </c>
      <c r="F16" s="448"/>
      <c r="G16" s="448"/>
      <c r="H16" s="448"/>
      <c r="I16" s="448"/>
      <c r="J16" s="448"/>
      <c r="K16" s="448"/>
      <c r="L16" s="448"/>
      <c r="M16" s="448"/>
      <c r="N16" s="448"/>
      <c r="O16" s="448"/>
      <c r="P16" s="448"/>
      <c r="Q16" s="448"/>
      <c r="R16" s="448"/>
      <c r="S16" s="448"/>
      <c r="T16" s="448"/>
      <c r="U16" s="448"/>
      <c r="V16" s="448"/>
    </row>
    <row r="17">
      <c r="A17" s="448" t="str">
        <f>IFERROR(__xludf.DUMMYFUNCTION("""COMPUTED_VALUE"""),"Flesh Reweave (Loop)
5 Memory")</f>
        <v>Flesh Reweave (Loop)
5 Memory</v>
      </c>
      <c r="B17" s="448"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48"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48"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48">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IFERROR(__xludf.DUMMYFUNCTION("""COMPUTED_VALUE"""),"Photonic Leap (Single Run)")</f>
        <v>Photonic Leap (Single Run)</v>
      </c>
      <c r="B18" s="448"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48"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48"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48">
        <f>IFERROR(__xludf.DUMMYFUNCTION("""COMPUTED_VALUE"""),10.0)</f>
        <v>10</v>
      </c>
      <c r="F18" s="448"/>
      <c r="G18" s="448"/>
      <c r="H18" s="448"/>
      <c r="I18" s="448"/>
      <c r="J18" s="448"/>
      <c r="K18" s="448"/>
      <c r="L18" s="448"/>
      <c r="M18" s="448"/>
      <c r="N18" s="448"/>
      <c r="O18" s="448"/>
      <c r="P18" s="448"/>
      <c r="Q18" s="448"/>
      <c r="R18" s="448"/>
      <c r="S18" s="448"/>
      <c r="T18" s="448"/>
      <c r="U18" s="448"/>
      <c r="V18" s="448"/>
    </row>
    <row r="19">
      <c r="A19" s="448" t="str">
        <f>IFERROR(__xludf.DUMMYFUNCTION("""COMPUTED_VALUE"""),"Mechanical Mimic (Single Run)")</f>
        <v>Mechanical Mimic (Single Run)</v>
      </c>
      <c r="B19" s="448"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48"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48"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48">
        <f>IFERROR(__xludf.DUMMYFUNCTION("""COMPUTED_VALUE"""),15.0)</f>
        <v>15</v>
      </c>
      <c r="F19" s="448"/>
      <c r="G19" s="448"/>
      <c r="H19" s="448"/>
      <c r="I19" s="448"/>
      <c r="J19" s="448"/>
      <c r="K19" s="448"/>
      <c r="L19" s="448"/>
      <c r="M19" s="448"/>
      <c r="N19" s="448"/>
      <c r="O19" s="448"/>
      <c r="P19" s="448"/>
      <c r="Q19" s="448"/>
      <c r="R19" s="448"/>
      <c r="S19" s="448"/>
      <c r="T19" s="448"/>
      <c r="U19" s="448"/>
      <c r="V19" s="448"/>
    </row>
    <row r="20">
      <c r="A20" s="448" t="str">
        <f>IFERROR(__xludf.DUMMYFUNCTION("""COMPUTED_VALUE"""),"Memory Leak (Single Run)")</f>
        <v>Memory Leak (Single Run)</v>
      </c>
      <c r="B20" s="448"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48"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48"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48">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IFERROR(__xludf.DUMMYFUNCTION("""COMPUTED_VALUE"""),"Nueral Installation Link (Single Run)")</f>
        <v>Nueral Installation Link (Single Run)</v>
      </c>
      <c r="B21" s="448"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48"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48"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48">
        <f>IFERROR(__xludf.DUMMYFUNCTION("""COMPUTED_VALUE"""),20.0)</f>
        <v>20</v>
      </c>
      <c r="F21" s="448"/>
      <c r="G21" s="448"/>
      <c r="H21" s="448"/>
      <c r="I21" s="448"/>
      <c r="J21" s="448"/>
      <c r="K21" s="448"/>
      <c r="L21" s="448"/>
      <c r="M21" s="448"/>
      <c r="N21" s="448"/>
      <c r="O21" s="448"/>
      <c r="P21" s="448"/>
      <c r="Q21" s="448"/>
      <c r="R21" s="448"/>
      <c r="S21" s="448"/>
      <c r="T21" s="448"/>
      <c r="U21" s="448"/>
      <c r="V21" s="448"/>
    </row>
    <row r="22">
      <c r="A22" s="448" t="str">
        <f>IFERROR(__xludf.DUMMYFUNCTION("""COMPUTED_VALUE"""),"Turbo Injection (Single Run)")</f>
        <v>Turbo Injection (Single Run)</v>
      </c>
      <c r="B22" s="448"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48"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48"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48">
        <f>IFERROR(__xludf.DUMMYFUNCTION("""COMPUTED_VALUE"""),25.0)</f>
        <v>25</v>
      </c>
      <c r="F22" s="448"/>
      <c r="G22" s="448"/>
      <c r="H22" s="448"/>
      <c r="I22" s="448"/>
      <c r="J22" s="448"/>
      <c r="K22" s="448"/>
      <c r="L22" s="448"/>
      <c r="M22" s="448"/>
      <c r="N22" s="448"/>
      <c r="O22" s="448"/>
      <c r="P22" s="448"/>
      <c r="Q22" s="448"/>
      <c r="R22" s="448"/>
      <c r="S22" s="448"/>
      <c r="T22" s="448"/>
      <c r="U22" s="448"/>
      <c r="V22" s="448"/>
    </row>
    <row r="23">
      <c r="A23" s="448" t="str">
        <f>IFERROR(__xludf.DUMMYFUNCTION("""COMPUTED_VALUE"""),"Down to the Nano (Single Run)")</f>
        <v>Down to the Nano (Single Run)</v>
      </c>
      <c r="B23" s="448"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48"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48"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48">
        <f>IFERROR(__xludf.DUMMYFUNCTION("""COMPUTED_VALUE"""),25.0)</f>
        <v>25</v>
      </c>
      <c r="F23" s="448"/>
      <c r="G23" s="448"/>
      <c r="H23" s="448"/>
      <c r="I23" s="448"/>
      <c r="J23" s="448"/>
      <c r="K23" s="448"/>
      <c r="L23" s="448"/>
      <c r="M23" s="448"/>
      <c r="N23" s="448"/>
      <c r="O23" s="448"/>
      <c r="P23" s="448"/>
      <c r="Q23" s="448"/>
      <c r="R23" s="448"/>
      <c r="S23" s="448"/>
      <c r="T23" s="448"/>
      <c r="U23" s="448"/>
      <c r="V23" s="448"/>
    </row>
    <row r="24">
      <c r="A24" s="448" t="str">
        <f>IFERROR(__xludf.DUMMYFUNCTION("""COMPUTED_VALUE"""),"Level Playing Field (Single Run)")</f>
        <v>Level Playing Field (Single Run)</v>
      </c>
      <c r="B24" s="448"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48" t="str">
        <f>IFERROR(__xludf.DUMMYFUNCTION("""COMPUTED_VALUE"""),"-[]")</f>
        <v>-[]</v>
      </c>
      <c r="D24" s="448" t="str">
        <f>IFERROR(__xludf.DUMMYFUNCTION("""COMPUTED_VALUE"""),"-[]")</f>
        <v>-[]</v>
      </c>
      <c r="E24" s="448">
        <f>IFERROR(__xludf.DUMMYFUNCTION("""COMPUTED_VALUE"""),30.0)</f>
        <v>30</v>
      </c>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""Negative!B3:B""),""SELECT * WHERE Col1 IS NOT NULL"",0)"),"Allergic to (X)")</f>
        <v>Allergic to (X)</v>
      </c>
      <c r="B1" s="448"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48"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48"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48">
        <f>IFERROR(__xludf.DUMMYFUNCTION("QUERY(IMPORTRANGE(""1koQqL7bV1rMPtlmhZblwVeK5weyiTfFQ3POD_grK7Rc"", ""Negative!C3:C""),""SELECT * WHERE Col1 IS NOT NULL"",0)"),-8.0)</f>
        <v>-8</v>
      </c>
      <c r="F1" s="448"/>
      <c r="G1" s="448"/>
      <c r="H1" s="448"/>
      <c r="I1" s="448"/>
      <c r="J1" s="448"/>
      <c r="K1" s="448"/>
      <c r="L1" s="448"/>
      <c r="M1" s="448"/>
      <c r="N1" s="448"/>
      <c r="O1" s="448"/>
      <c r="P1" s="448"/>
      <c r="Q1" s="448"/>
      <c r="R1" s="448"/>
      <c r="S1" s="448"/>
      <c r="T1" s="448"/>
      <c r="U1" s="448"/>
      <c r="V1" s="448"/>
    </row>
    <row r="2">
      <c r="A2" s="451" t="str">
        <f>IFERROR(__xludf.DUMMYFUNCTION("""COMPUTED_VALUE"""),"Bad Blood with (X)")</f>
        <v>Bad Blood with (X)</v>
      </c>
      <c r="B2" s="451" t="str">
        <f>IFERROR(__xludf.DUMMYFUNCTION("""COMPUTED_VALUE"""),"[None]
The person or group doesn't trust you. +2 DR to all checks involved with influencing that person or group.")</f>
        <v>[None]
The person or group doesn't trust you. +2 DR to all checks involved with influencing that person or group.</v>
      </c>
      <c r="C2" s="451"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51"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48">
        <f>IFERROR(__xludf.DUMMYFUNCTION("""COMPUTED_VALUE"""),-5.0)</f>
        <v>-5</v>
      </c>
      <c r="F2" s="448"/>
      <c r="G2" s="448"/>
      <c r="H2" s="448"/>
      <c r="I2" s="448"/>
      <c r="J2" s="448"/>
      <c r="K2" s="448"/>
      <c r="L2" s="448"/>
      <c r="M2" s="448"/>
      <c r="N2" s="448"/>
      <c r="O2" s="448"/>
      <c r="P2" s="448"/>
      <c r="Q2" s="448"/>
      <c r="R2" s="448"/>
      <c r="S2" s="448"/>
      <c r="T2" s="448"/>
      <c r="U2" s="448"/>
      <c r="V2" s="448"/>
    </row>
    <row r="3">
      <c r="A3" s="448" t="str">
        <f>IFERROR(__xludf.DUMMYFUNCTION("""COMPUTED_VALUE"""),"Bane (X)")</f>
        <v>Bane (X)</v>
      </c>
      <c r="B3" s="448"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48" t="str">
        <f>IFERROR(__xludf.DUMMYFUNCTION("""COMPUTED_VALUE"""),"-[]")</f>
        <v>-[]</v>
      </c>
      <c r="D3" s="448" t="str">
        <f>IFERROR(__xludf.DUMMYFUNCTION("""COMPUTED_VALUE"""),"-[]")</f>
        <v>-[]</v>
      </c>
      <c r="E3" s="448">
        <f>IFERROR(__xludf.DUMMYFUNCTION("""COMPUTED_VALUE"""),-12.0)</f>
        <v>-12</v>
      </c>
      <c r="F3" s="448"/>
      <c r="G3" s="448"/>
      <c r="H3" s="448"/>
      <c r="I3" s="448"/>
      <c r="J3" s="448"/>
      <c r="K3" s="448"/>
      <c r="L3" s="448"/>
      <c r="M3" s="448"/>
      <c r="N3" s="448"/>
      <c r="O3" s="448"/>
      <c r="P3" s="448"/>
      <c r="Q3" s="448"/>
      <c r="R3" s="448"/>
      <c r="S3" s="448"/>
      <c r="T3" s="448"/>
      <c r="U3" s="448"/>
      <c r="V3" s="448"/>
    </row>
    <row r="4">
      <c r="A4" s="448" t="str">
        <f>IFERROR(__xludf.DUMMYFUNCTION("""COMPUTED_VALUE"""),"Broken Heart")</f>
        <v>Broken Heart</v>
      </c>
      <c r="B4" s="448"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48" t="str">
        <f>IFERROR(__xludf.DUMMYFUNCTION("""COMPUTED_VALUE"""),"-[]")</f>
        <v>-[]</v>
      </c>
      <c r="D4" s="448" t="str">
        <f>IFERROR(__xludf.DUMMYFUNCTION("""COMPUTED_VALUE"""),"-[]")</f>
        <v>-[]</v>
      </c>
      <c r="E4" s="448">
        <f>IFERROR(__xludf.DUMMYFUNCTION("""COMPUTED_VALUE"""),-25.0)</f>
        <v>-25</v>
      </c>
      <c r="F4" s="448"/>
      <c r="G4" s="448"/>
      <c r="H4" s="448"/>
      <c r="I4" s="448"/>
      <c r="J4" s="448"/>
      <c r="K4" s="448"/>
      <c r="L4" s="448"/>
      <c r="M4" s="448"/>
      <c r="N4" s="448"/>
      <c r="O4" s="448"/>
      <c r="P4" s="448"/>
      <c r="Q4" s="448"/>
      <c r="R4" s="448"/>
      <c r="S4" s="448"/>
      <c r="T4" s="448"/>
      <c r="U4" s="448"/>
      <c r="V4" s="448"/>
    </row>
    <row r="5">
      <c r="A5" s="448" t="str">
        <f>IFERROR(__xludf.DUMMYFUNCTION("""COMPUTED_VALUE"""),"Emotional Baggage")</f>
        <v>Emotional Baggage</v>
      </c>
      <c r="B5" s="448" t="str">
        <f>IFERROR(__xludf.DUMMYFUNCTION("""COMPUTED_VALUE"""),"[None]
The horrors of your past are hard to let go. Strain reduction from sleep is halved rounded down.")</f>
        <v>[None]
The horrors of your past are hard to let go. Strain reduction from sleep is halved rounded down.</v>
      </c>
      <c r="C5" s="448" t="str">
        <f>IFERROR(__xludf.DUMMYFUNCTION("""COMPUTED_VALUE"""),"-[]")</f>
        <v>-[]</v>
      </c>
      <c r="D5" s="448" t="str">
        <f>IFERROR(__xludf.DUMMYFUNCTION("""COMPUTED_VALUE"""),"-[]")</f>
        <v>-[]</v>
      </c>
      <c r="E5" s="448">
        <f>IFERROR(__xludf.DUMMYFUNCTION("""COMPUTED_VALUE"""),-7.0)</f>
        <v>-7</v>
      </c>
      <c r="F5" s="448"/>
      <c r="G5" s="448"/>
      <c r="H5" s="448"/>
      <c r="I5" s="448"/>
      <c r="J5" s="448"/>
      <c r="K5" s="448"/>
      <c r="L5" s="448"/>
      <c r="M5" s="448"/>
      <c r="N5" s="448"/>
      <c r="O5" s="448"/>
      <c r="P5" s="448"/>
      <c r="Q5" s="448"/>
      <c r="R5" s="448"/>
      <c r="S5" s="448"/>
      <c r="T5" s="448"/>
      <c r="U5" s="448"/>
      <c r="V5" s="448"/>
    </row>
    <row r="6">
      <c r="A6" s="448" t="str">
        <f>IFERROR(__xludf.DUMMYFUNCTION("""COMPUTED_VALUE"""),"Emotional Scars")</f>
        <v>Emotional Scars</v>
      </c>
      <c r="B6" s="448"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48" t="str">
        <f>IFERROR(__xludf.DUMMYFUNCTION("""COMPUTED_VALUE"""),"-[]")</f>
        <v>-[]</v>
      </c>
      <c r="D6" s="448" t="str">
        <f>IFERROR(__xludf.DUMMYFUNCTION("""COMPUTED_VALUE"""),"-[]")</f>
        <v>-[]</v>
      </c>
      <c r="E6" s="448">
        <f>IFERROR(__xludf.DUMMYFUNCTION("""COMPUTED_VALUE"""),-14.0)</f>
        <v>-14</v>
      </c>
      <c r="F6" s="448"/>
      <c r="G6" s="448"/>
      <c r="H6" s="448"/>
      <c r="I6" s="448"/>
      <c r="J6" s="448"/>
      <c r="K6" s="448"/>
      <c r="L6" s="448"/>
      <c r="M6" s="448"/>
      <c r="N6" s="448"/>
      <c r="O6" s="448"/>
      <c r="P6" s="448"/>
      <c r="Q6" s="448"/>
      <c r="R6" s="448"/>
      <c r="S6" s="448"/>
      <c r="T6" s="448"/>
      <c r="U6" s="448"/>
      <c r="V6" s="448"/>
    </row>
    <row r="7">
      <c r="A7" s="448" t="str">
        <f>IFERROR(__xludf.DUMMYFUNCTION("""COMPUTED_VALUE"""),"Emotional Torment")</f>
        <v>Emotional Torment</v>
      </c>
      <c r="B7" s="448"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48" t="str">
        <f>IFERROR(__xludf.DUMMYFUNCTION("""COMPUTED_VALUE"""),"-[]")</f>
        <v>-[]</v>
      </c>
      <c r="D7" s="448" t="str">
        <f>IFERROR(__xludf.DUMMYFUNCTION("""COMPUTED_VALUE"""),"-[]")</f>
        <v>-[]</v>
      </c>
      <c r="E7" s="448">
        <f>IFERROR(__xludf.DUMMYFUNCTION("""COMPUTED_VALUE"""),-21.0)</f>
        <v>-21</v>
      </c>
      <c r="F7" s="448"/>
      <c r="G7" s="448"/>
      <c r="H7" s="448"/>
      <c r="I7" s="448"/>
      <c r="J7" s="448"/>
      <c r="K7" s="448"/>
      <c r="L7" s="448"/>
      <c r="M7" s="448"/>
      <c r="N7" s="448"/>
      <c r="O7" s="448"/>
      <c r="P7" s="448"/>
      <c r="Q7" s="448"/>
      <c r="R7" s="448"/>
      <c r="S7" s="448"/>
      <c r="T7" s="448"/>
      <c r="U7" s="448"/>
      <c r="V7" s="448"/>
    </row>
    <row r="8">
      <c r="A8" s="448" t="str">
        <f>IFERROR(__xludf.DUMMYFUNCTION("""COMPUTED_VALUE"""),"Heart is Taken by (X)")</f>
        <v>Heart is Taken by (X)</v>
      </c>
      <c r="B8" s="448"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48" t="str">
        <f>IFERROR(__xludf.DUMMYFUNCTION("""COMPUTED_VALUE"""),"-[]")</f>
        <v>-[]</v>
      </c>
      <c r="D8" s="448" t="str">
        <f>IFERROR(__xludf.DUMMYFUNCTION("""COMPUTED_VALUE"""),"-[]")</f>
        <v>-[]</v>
      </c>
      <c r="E8" s="448">
        <f>IFERROR(__xludf.DUMMYFUNCTION("""COMPUTED_VALUE"""),-20.0)</f>
        <v>-20</v>
      </c>
      <c r="F8" s="448"/>
      <c r="G8" s="448"/>
      <c r="H8" s="448"/>
      <c r="I8" s="448"/>
      <c r="J8" s="448"/>
      <c r="K8" s="448"/>
      <c r="L8" s="448"/>
      <c r="M8" s="448"/>
      <c r="N8" s="448"/>
      <c r="O8" s="448"/>
      <c r="P8" s="448"/>
      <c r="Q8" s="448"/>
      <c r="R8" s="448"/>
      <c r="S8" s="448"/>
      <c r="T8" s="448"/>
      <c r="U8" s="448"/>
      <c r="V8" s="448"/>
    </row>
    <row r="9">
      <c r="A9" s="448" t="str">
        <f>IFERROR(__xludf.DUMMYFUNCTION("""COMPUTED_VALUE"""),"I'm Awkward")</f>
        <v>I'm Awkward</v>
      </c>
      <c r="B9" s="448"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48" t="str">
        <f>IFERROR(__xludf.DUMMYFUNCTION("""COMPUTED_VALUE"""),"-[]")</f>
        <v>-[]</v>
      </c>
      <c r="D9" s="448" t="str">
        <f>IFERROR(__xludf.DUMMYFUNCTION("""COMPUTED_VALUE"""),"-[]")</f>
        <v>-[]</v>
      </c>
      <c r="E9" s="448">
        <f>IFERROR(__xludf.DUMMYFUNCTION("""COMPUTED_VALUE"""),-14.0)</f>
        <v>-14</v>
      </c>
      <c r="F9" s="448"/>
      <c r="G9" s="448"/>
      <c r="H9" s="448"/>
      <c r="I9" s="448"/>
      <c r="J9" s="448"/>
      <c r="K9" s="448"/>
      <c r="L9" s="448"/>
      <c r="M9" s="448"/>
      <c r="N9" s="448"/>
      <c r="O9" s="448"/>
      <c r="P9" s="448"/>
      <c r="Q9" s="448"/>
      <c r="R9" s="448"/>
      <c r="S9" s="448"/>
      <c r="T9" s="448"/>
      <c r="U9" s="448"/>
      <c r="V9" s="448"/>
    </row>
    <row r="10">
      <c r="A10" s="448" t="str">
        <f>IFERROR(__xludf.DUMMYFUNCTION("""COMPUTED_VALUE"""),"Impaired Taste")</f>
        <v>Impaired Taste</v>
      </c>
      <c r="B10" s="448" t="str">
        <f>IFERROR(__xludf.DUMMYFUNCTION("""COMPUTED_VALUE"""),"[None]
Eating doesn't restore Fortitude")</f>
        <v>[None]
Eating doesn't restore Fortitude</v>
      </c>
      <c r="C10" s="448" t="str">
        <f>IFERROR(__xludf.DUMMYFUNCTION("""COMPUTED_VALUE"""),"-[]")</f>
        <v>-[]</v>
      </c>
      <c r="D10" s="448" t="str">
        <f>IFERROR(__xludf.DUMMYFUNCTION("""COMPUTED_VALUE"""),"-[]")</f>
        <v>-[]</v>
      </c>
      <c r="E10" s="448">
        <f>IFERROR(__xludf.DUMMYFUNCTION("""COMPUTED_VALUE"""),-4.0)</f>
        <v>-4</v>
      </c>
      <c r="F10" s="448"/>
      <c r="G10" s="448"/>
      <c r="H10" s="448"/>
      <c r="I10" s="448"/>
      <c r="J10" s="448"/>
      <c r="K10" s="448"/>
      <c r="L10" s="448"/>
      <c r="M10" s="448"/>
      <c r="N10" s="448"/>
      <c r="O10" s="448"/>
      <c r="P10" s="448"/>
      <c r="Q10" s="448"/>
      <c r="R10" s="448"/>
      <c r="S10" s="448"/>
      <c r="T10" s="448"/>
      <c r="U10" s="448"/>
      <c r="V10" s="448"/>
    </row>
    <row r="11">
      <c r="A11" s="448" t="str">
        <f>IFERROR(__xludf.DUMMYFUNCTION("""COMPUTED_VALUE"""),"Karma is a Bitch")</f>
        <v>Karma is a Bitch</v>
      </c>
      <c r="B11" s="448"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48" t="str">
        <f>IFERROR(__xludf.DUMMYFUNCTION("""COMPUTED_VALUE"""),"-[]")</f>
        <v>-[]</v>
      </c>
      <c r="D11" s="448" t="str">
        <f>IFERROR(__xludf.DUMMYFUNCTION("""COMPUTED_VALUE"""),"-[]")</f>
        <v>-[]</v>
      </c>
      <c r="E11" s="448">
        <f>IFERROR(__xludf.DUMMYFUNCTION("""COMPUTED_VALUE"""),-25.0)</f>
        <v>-25</v>
      </c>
      <c r="F11" s="448"/>
      <c r="G11" s="448"/>
      <c r="H11" s="448"/>
      <c r="I11" s="448"/>
      <c r="J11" s="448"/>
      <c r="K11" s="448"/>
      <c r="L11" s="448"/>
      <c r="M11" s="448"/>
      <c r="N11" s="448"/>
      <c r="O11" s="448"/>
      <c r="P11" s="448"/>
      <c r="Q11" s="448"/>
      <c r="R11" s="448"/>
      <c r="S11" s="448"/>
      <c r="T11" s="448"/>
      <c r="U11" s="448"/>
      <c r="V11" s="448"/>
    </row>
    <row r="12">
      <c r="A12" s="448" t="str">
        <f>IFERROR(__xludf.DUMMYFUNCTION("""COMPUTED_VALUE"""),"Over-Thinker")</f>
        <v>Over-Thinker</v>
      </c>
      <c r="B12" s="448" t="str">
        <f>IFERROR(__xludf.DUMMYFUNCTION("""COMPUTED_VALUE"""),"[None]
Exerting INT governed skill checks results in double the Strain.")</f>
        <v>[None]
Exerting INT governed skill checks results in double the Strain.</v>
      </c>
      <c r="C12" s="448" t="str">
        <f>IFERROR(__xludf.DUMMYFUNCTION("""COMPUTED_VALUE"""),"-[]")</f>
        <v>-[]</v>
      </c>
      <c r="D12" s="448" t="str">
        <f>IFERROR(__xludf.DUMMYFUNCTION("""COMPUTED_VALUE"""),"-[]")</f>
        <v>-[]</v>
      </c>
      <c r="E12" s="448">
        <f>IFERROR(__xludf.DUMMYFUNCTION("""COMPUTED_VALUE"""),-8.0)</f>
        <v>-8</v>
      </c>
      <c r="F12" s="448"/>
      <c r="G12" s="448"/>
      <c r="H12" s="448"/>
      <c r="I12" s="448"/>
      <c r="J12" s="448"/>
      <c r="K12" s="448"/>
      <c r="L12" s="448"/>
      <c r="M12" s="448"/>
      <c r="N12" s="448"/>
      <c r="O12" s="448"/>
      <c r="P12" s="448"/>
      <c r="Q12" s="448"/>
      <c r="R12" s="448"/>
      <c r="S12" s="448"/>
      <c r="T12" s="448"/>
      <c r="U12" s="448"/>
      <c r="V12" s="448"/>
    </row>
    <row r="13">
      <c r="A13" s="448" t="str">
        <f>IFERROR(__xludf.DUMMYFUNCTION("""COMPUTED_VALUE"""),"Silver Spoon")</f>
        <v>Silver Spoon</v>
      </c>
      <c r="B13" s="448"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48" t="str">
        <f>IFERROR(__xludf.DUMMYFUNCTION("""COMPUTED_VALUE"""),"-[]")</f>
        <v>-[]</v>
      </c>
      <c r="D13" s="448" t="str">
        <f>IFERROR(__xludf.DUMMYFUNCTION("""COMPUTED_VALUE"""),"-[]")</f>
        <v>-[]</v>
      </c>
      <c r="E13" s="448">
        <f>IFERROR(__xludf.DUMMYFUNCTION("""COMPUTED_VALUE"""),-15.0)</f>
        <v>-15</v>
      </c>
      <c r="F13" s="448"/>
      <c r="G13" s="448"/>
      <c r="H13" s="448"/>
      <c r="I13" s="448"/>
      <c r="J13" s="448"/>
      <c r="K13" s="448"/>
      <c r="L13" s="448"/>
      <c r="M13" s="448"/>
      <c r="N13" s="448"/>
      <c r="O13" s="448"/>
      <c r="P13" s="448"/>
      <c r="Q13" s="448"/>
      <c r="R13" s="448"/>
      <c r="S13" s="448"/>
      <c r="T13" s="448"/>
      <c r="U13" s="448"/>
      <c r="V13" s="448"/>
    </row>
    <row r="14">
      <c r="A14" s="448" t="str">
        <f>IFERROR(__xludf.DUMMYFUNCTION("""COMPUTED_VALUE"""),"Stagnant Vitality")</f>
        <v>Stagnant Vitality</v>
      </c>
      <c r="B14" s="448" t="str">
        <f>IFERROR(__xludf.DUMMYFUNCTION("""COMPUTED_VALUE"""),"[None]
Your Heal Rate is always effectively 0. You don't recover Fortitude from Sleeping.")</f>
        <v>[None]
Your Heal Rate is always effectively 0. You don't recover Fortitude from Sleeping.</v>
      </c>
      <c r="C14" s="448" t="str">
        <f>IFERROR(__xludf.DUMMYFUNCTION("""COMPUTED_VALUE"""),"-[]")</f>
        <v>-[]</v>
      </c>
      <c r="D14" s="448" t="str">
        <f>IFERROR(__xludf.DUMMYFUNCTION("""COMPUTED_VALUE"""),"-[]")</f>
        <v>-[]</v>
      </c>
      <c r="E14" s="448">
        <f>IFERROR(__xludf.DUMMYFUNCTION("""COMPUTED_VALUE"""),-25.0)</f>
        <v>-25</v>
      </c>
      <c r="F14" s="448"/>
      <c r="G14" s="448"/>
      <c r="H14" s="448"/>
      <c r="I14" s="448"/>
      <c r="J14" s="448"/>
      <c r="K14" s="448"/>
      <c r="L14" s="448"/>
      <c r="M14" s="448"/>
      <c r="N14" s="448"/>
      <c r="O14" s="448"/>
      <c r="P14" s="448"/>
      <c r="Q14" s="448"/>
      <c r="R14" s="448"/>
      <c r="S14" s="448"/>
      <c r="T14" s="448"/>
      <c r="U14" s="448"/>
      <c r="V14" s="448"/>
    </row>
    <row r="15">
      <c r="A15" s="448" t="str">
        <f>IFERROR(__xludf.DUMMYFUNCTION("""COMPUTED_VALUE"""),"Static")</f>
        <v>Static</v>
      </c>
      <c r="B15" s="448" t="str">
        <f>IFERROR(__xludf.DUMMYFUNCTION("""COMPUTED_VALUE"""),"[None]
All attributes are set to 2 and can't be changed by Roots, Branches, Blossoms, or Thorns")</f>
        <v>[None]
All attributes are set to 2 and can't be changed by Roots, Branches, Blossoms, or Thorns</v>
      </c>
      <c r="C15" s="448" t="str">
        <f>IFERROR(__xludf.DUMMYFUNCTION("""COMPUTED_VALUE"""),"-[]")</f>
        <v>-[]</v>
      </c>
      <c r="D15" s="448" t="str">
        <f>IFERROR(__xludf.DUMMYFUNCTION("""COMPUTED_VALUE"""),"-[]")</f>
        <v>-[]</v>
      </c>
      <c r="E15" s="448">
        <f>IFERROR(__xludf.DUMMYFUNCTION("""COMPUTED_VALUE"""),-30.0)</f>
        <v>-30</v>
      </c>
      <c r="F15" s="448"/>
      <c r="G15" s="448"/>
      <c r="H15" s="448"/>
      <c r="I15" s="448"/>
      <c r="J15" s="448"/>
      <c r="K15" s="448"/>
      <c r="L15" s="448"/>
      <c r="M15" s="448"/>
      <c r="N15" s="448"/>
      <c r="O15" s="448"/>
      <c r="P15" s="448"/>
      <c r="Q15" s="448"/>
      <c r="R15" s="448"/>
      <c r="S15" s="448"/>
      <c r="T15" s="448"/>
      <c r="U15" s="448"/>
      <c r="V15" s="448"/>
    </row>
    <row r="16">
      <c r="A16" s="448" t="str">
        <f>IFERROR(__xludf.DUMMYFUNCTION("""COMPUTED_VALUE"""),"Strange Vibrations")</f>
        <v>Strange Vibrations</v>
      </c>
      <c r="B16" s="448" t="str">
        <f>IFERROR(__xludf.DUMMYFUNCTION("""COMPUTED_VALUE"""),"[None]
You can't use, resist, or gain any positive benefits from magic.")</f>
        <v>[None]
You can't use, resist, or gain any positive benefits from magic.</v>
      </c>
      <c r="C16" s="448" t="str">
        <f>IFERROR(__xludf.DUMMYFUNCTION("""COMPUTED_VALUE"""),"-[]")</f>
        <v>-[]</v>
      </c>
      <c r="D16" s="448" t="str">
        <f>IFERROR(__xludf.DUMMYFUNCTION("""COMPUTED_VALUE"""),"-[]")</f>
        <v>-[]</v>
      </c>
      <c r="E16" s="448">
        <f>IFERROR(__xludf.DUMMYFUNCTION("""COMPUTED_VALUE"""),-30.0)</f>
        <v>-30</v>
      </c>
      <c r="F16" s="448"/>
      <c r="G16" s="448"/>
      <c r="H16" s="448"/>
      <c r="I16" s="448"/>
      <c r="J16" s="448"/>
      <c r="K16" s="448"/>
      <c r="L16" s="448"/>
      <c r="M16" s="448"/>
      <c r="N16" s="448"/>
      <c r="O16" s="448"/>
      <c r="P16" s="448"/>
      <c r="Q16" s="448"/>
      <c r="R16" s="448"/>
      <c r="S16" s="448"/>
      <c r="T16" s="448"/>
      <c r="U16" s="448"/>
      <c r="V16" s="448"/>
    </row>
    <row r="17">
      <c r="A17" s="448" t="str">
        <f>IFERROR(__xludf.DUMMYFUNCTION("""COMPUTED_VALUE"""),"Strange Vibrations (Partial Supression)")</f>
        <v>Strange Vibrations (Partial Supression)</v>
      </c>
      <c r="B17" s="448"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48" t="str">
        <f>IFERROR(__xludf.DUMMYFUNCTION("""COMPUTED_VALUE"""),"-[]")</f>
        <v>-[]</v>
      </c>
      <c r="D17" s="448" t="str">
        <f>IFERROR(__xludf.DUMMYFUNCTION("""COMPUTED_VALUE"""),"-[]")</f>
        <v>-[]</v>
      </c>
      <c r="E17" s="448">
        <f>IFERROR(__xludf.DUMMYFUNCTION("""COMPUTED_VALUE"""),-15.0)</f>
        <v>-15</v>
      </c>
      <c r="F17" s="448"/>
      <c r="G17" s="448"/>
      <c r="H17" s="448"/>
      <c r="I17" s="448"/>
      <c r="J17" s="448"/>
      <c r="K17" s="448"/>
      <c r="L17" s="448"/>
      <c r="M17" s="448"/>
      <c r="N17" s="448"/>
      <c r="O17" s="448"/>
      <c r="P17" s="448"/>
      <c r="Q17" s="448"/>
      <c r="R17" s="448"/>
      <c r="S17" s="448"/>
      <c r="T17" s="448"/>
      <c r="U17" s="448"/>
      <c r="V17" s="448"/>
    </row>
    <row r="18">
      <c r="A18" s="448" t="str">
        <f>IFERROR(__xludf.DUMMYFUNCTION("""COMPUTED_VALUE"""),"Teetotaler")</f>
        <v>Teetotaler</v>
      </c>
      <c r="B18" s="448" t="str">
        <f>IFERROR(__xludf.DUMMYFUNCTION("""COMPUTED_VALUE"""),"[None]
You won't drink alcohol willingly. Drinking Alcohol doesn't restore Fortitude.")</f>
        <v>[None]
You won't drink alcohol willingly. Drinking Alcohol doesn't restore Fortitude.</v>
      </c>
      <c r="C18" s="448" t="str">
        <f>IFERROR(__xludf.DUMMYFUNCTION("""COMPUTED_VALUE"""),"-[]")</f>
        <v>-[]</v>
      </c>
      <c r="D18" s="448" t="str">
        <f>IFERROR(__xludf.DUMMYFUNCTION("""COMPUTED_VALUE"""),"-[]")</f>
        <v>-[]</v>
      </c>
      <c r="E18" s="448">
        <f>IFERROR(__xludf.DUMMYFUNCTION("""COMPUTED_VALUE"""),-4.0)</f>
        <v>-4</v>
      </c>
      <c r="F18" s="448"/>
      <c r="G18" s="448"/>
      <c r="H18" s="448"/>
      <c r="I18" s="448"/>
      <c r="J18" s="448"/>
      <c r="K18" s="448"/>
      <c r="L18" s="448"/>
      <c r="M18" s="448"/>
      <c r="N18" s="448"/>
      <c r="O18" s="448"/>
      <c r="P18" s="448"/>
      <c r="Q18" s="448"/>
      <c r="R18" s="448"/>
      <c r="S18" s="448"/>
      <c r="T18" s="448"/>
      <c r="U18" s="448"/>
      <c r="V18" s="448"/>
    </row>
    <row r="19">
      <c r="A19" s="448" t="str">
        <f>IFERROR(__xludf.DUMMYFUNCTION("""COMPUTED_VALUE"""),"That's Mine!")</f>
        <v>That's Mine!</v>
      </c>
      <c r="B19" s="448" t="str">
        <f>IFERROR(__xludf.DUMMYFUNCTION("""COMPUTED_VALUE"""),"[None]
If you give something away you take strain equal to the value of the object/100. ")</f>
        <v>[None]
If you give something away you take strain equal to the value of the object/100. </v>
      </c>
      <c r="C19" s="448" t="str">
        <f>IFERROR(__xludf.DUMMYFUNCTION("""COMPUTED_VALUE"""),"-[]")</f>
        <v>-[]</v>
      </c>
      <c r="D19" s="448" t="str">
        <f>IFERROR(__xludf.DUMMYFUNCTION("""COMPUTED_VALUE"""),"-[]")</f>
        <v>-[]</v>
      </c>
      <c r="E19" s="448">
        <f>IFERROR(__xludf.DUMMYFUNCTION("""COMPUTED_VALUE"""),-6.0)</f>
        <v>-6</v>
      </c>
      <c r="F19" s="448"/>
      <c r="G19" s="448"/>
      <c r="H19" s="448"/>
      <c r="I19" s="448"/>
      <c r="J19" s="448"/>
      <c r="K19" s="448"/>
      <c r="L19" s="448"/>
      <c r="M19" s="448"/>
      <c r="N19" s="448"/>
      <c r="O19" s="448"/>
      <c r="P19" s="448"/>
      <c r="Q19" s="448"/>
      <c r="R19" s="448"/>
      <c r="S19" s="448"/>
      <c r="T19" s="448"/>
      <c r="U19" s="448"/>
      <c r="V19" s="448"/>
    </row>
    <row r="20">
      <c r="A20" s="448" t="str">
        <f>IFERROR(__xludf.DUMMYFUNCTION("""COMPUTED_VALUE"""),"Weak Weave Connection")</f>
        <v>Weak Weave Connection</v>
      </c>
      <c r="B20" s="448" t="str">
        <f>IFERROR(__xludf.DUMMYFUNCTION("""COMPUTED_VALUE"""),"[None]
You may only Raw Cast Empowered Spells and lower (&lt;30 DR). Woven Spells are unaffected.")</f>
        <v>[None]
You may only Raw Cast Empowered Spells and lower (&lt;30 DR). Woven Spells are unaffected.</v>
      </c>
      <c r="C20" s="448" t="str">
        <f>IFERROR(__xludf.DUMMYFUNCTION("""COMPUTED_VALUE"""),"-[]")</f>
        <v>-[]</v>
      </c>
      <c r="D20" s="448" t="str">
        <f>IFERROR(__xludf.DUMMYFUNCTION("""COMPUTED_VALUE"""),"-[]")</f>
        <v>-[]</v>
      </c>
      <c r="E20" s="448">
        <f>IFERROR(__xludf.DUMMYFUNCTION("""COMPUTED_VALUE"""),-10.0)</f>
        <v>-10</v>
      </c>
      <c r="F20" s="448"/>
      <c r="G20" s="448"/>
      <c r="H20" s="448"/>
      <c r="I20" s="448"/>
      <c r="J20" s="448"/>
      <c r="K20" s="448"/>
      <c r="L20" s="448"/>
      <c r="M20" s="448"/>
      <c r="N20" s="448"/>
      <c r="O20" s="448"/>
      <c r="P20" s="448"/>
      <c r="Q20" s="448"/>
      <c r="R20" s="448"/>
      <c r="S20" s="448"/>
      <c r="T20" s="448"/>
      <c r="U20" s="448"/>
      <c r="V20" s="448"/>
    </row>
    <row r="21">
      <c r="A21" s="448"/>
      <c r="B21" s="448"/>
      <c r="C21" s="448"/>
      <c r="D21" s="448"/>
      <c r="E21" s="448"/>
      <c r="F21" s="448"/>
      <c r="G21" s="448"/>
      <c r="H21" s="448"/>
      <c r="I21" s="448"/>
      <c r="J21" s="448"/>
      <c r="K21" s="448"/>
      <c r="L21" s="448"/>
      <c r="M21" s="448"/>
      <c r="N21" s="448"/>
      <c r="O21" s="448"/>
      <c r="P21" s="448"/>
      <c r="Q21" s="448"/>
      <c r="R21" s="448"/>
      <c r="S21" s="448"/>
      <c r="T21" s="448"/>
      <c r="U21" s="448"/>
      <c r="V21" s="448"/>
    </row>
    <row r="22">
      <c r="A22" s="448"/>
      <c r="B22" s="448"/>
      <c r="C22" s="448"/>
      <c r="D22" s="448"/>
      <c r="E22" s="448"/>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48" t="str">
        <f>IFERROR(__xludf.DUMMYFUNCTION("QUERY(IMPORTRANGE(""1koQqL7bV1rMPtlmhZblwVeK5weyiTfFQ3POD_grK7Rc"", ""Natural!B3:B""),""SELECT * WHERE Col1 IS NOT NULL"",0)"),"Ambitious")</f>
        <v>Ambitious</v>
      </c>
      <c r="B1" s="448" t="str">
        <f>IFERROR(__xludf.DUMMYFUNCTION("QUERY(IMPORTRANGE(""1koQqL7bV1rMPtlmhZblwVeK5weyiTfFQ3POD_grK7Rc"",""Natural!$D$3:$D""),""select Col1 where Col1 is not null AND Col1 contains '['"",0)"),"[Human Seed]
You may have an additional Value or Goal.")</f>
        <v>[Human Seed]
You may have an additional Value or Goal.</v>
      </c>
      <c r="C1" s="448" t="str">
        <f>IFERROR(__xludf.DUMMYFUNCTION("QUERY(IMPORTRANGE(""1koQqL7bV1rMPtlmhZblwVeK5weyiTfFQ3POD_grK7Rc"",""Natural!$E$3:$E""),""select Col1 where Col1 is not null AND Col1 contains '['"",0)"),"-[]")</f>
        <v>-[]</v>
      </c>
      <c r="D1" s="448" t="str">
        <f>IFERROR(__xludf.DUMMYFUNCTION("QUERY(IMPORTRANGE(""1koQqL7bV1rMPtlmhZblwVeK5weyiTfFQ3POD_grK7Rc"",""Natural!$F$3:$F""),""select Col1 where Col1 is not null AND Col1 contains '['"",0)"),"-[]")</f>
        <v>-[]</v>
      </c>
      <c r="E1" s="448">
        <f>IFERROR(__xludf.DUMMYFUNCTION("QUERY(IMPORTRANGE(""1koQqL7bV1rMPtlmhZblwVeK5weyiTfFQ3POD_grK7Rc"", ""Natural!C3:C""),""SELECT * WHERE Col1 IS NOT NULL"",0)"),15.0)</f>
        <v>15</v>
      </c>
      <c r="F1" s="448"/>
      <c r="G1" s="448"/>
      <c r="H1" s="448"/>
      <c r="I1" s="448"/>
      <c r="J1" s="448"/>
      <c r="K1" s="448"/>
      <c r="L1" s="448"/>
      <c r="M1" s="448"/>
      <c r="N1" s="448"/>
      <c r="O1" s="448"/>
      <c r="P1" s="448"/>
      <c r="Q1" s="448"/>
      <c r="R1" s="448"/>
      <c r="S1" s="448"/>
      <c r="T1" s="448"/>
      <c r="U1" s="448"/>
      <c r="V1" s="448"/>
    </row>
    <row r="2">
      <c r="A2" s="451" t="str">
        <f>IFERROR(__xludf.DUMMYFUNCTION("""COMPUTED_VALUE"""),"Colossal Form")</f>
        <v>Colossal Form</v>
      </c>
      <c r="B2" s="451" t="str">
        <f>IFERROR(__xludf.DUMMYFUNCTION("""COMPUTED_VALUE"""),"[Nephilim Seed]
You can use Two-Handed Weapons with one hand. ")</f>
        <v>[Nephilim Seed]
You can use Two-Handed Weapons with one hand. </v>
      </c>
      <c r="C2" s="451" t="str">
        <f>IFERROR(__xludf.DUMMYFUNCTION("""COMPUTED_VALUE"""),"-[]")</f>
        <v>-[]</v>
      </c>
      <c r="D2" s="451" t="str">
        <f>IFERROR(__xludf.DUMMYFUNCTION("""COMPUTED_VALUE"""),"-[]")</f>
        <v>-[]</v>
      </c>
      <c r="E2" s="448">
        <f>IFERROR(__xludf.DUMMYFUNCTION("""COMPUTED_VALUE"""),7.0)</f>
        <v>7</v>
      </c>
      <c r="F2" s="448"/>
      <c r="G2" s="448"/>
      <c r="H2" s="448"/>
      <c r="I2" s="448"/>
      <c r="J2" s="448"/>
      <c r="K2" s="448"/>
      <c r="L2" s="448"/>
      <c r="M2" s="448"/>
      <c r="N2" s="448"/>
      <c r="O2" s="448"/>
      <c r="P2" s="448"/>
      <c r="Q2" s="448"/>
      <c r="R2" s="448"/>
      <c r="S2" s="448"/>
      <c r="T2" s="448"/>
      <c r="U2" s="448"/>
      <c r="V2" s="448"/>
    </row>
    <row r="3">
      <c r="A3" s="448" t="str">
        <f>IFERROR(__xludf.DUMMYFUNCTION("""COMPUTED_VALUE"""),"Dark Sight")</f>
        <v>Dark Sight</v>
      </c>
      <c r="B3" s="448" t="str">
        <f>IFERROR(__xludf.DUMMYFUNCTION("""COMPUTED_VALUE"""),"[None]
You can see in darkness up to 60ft as grayscale.")</f>
        <v>[None]
You can see in darkness up to 60ft as grayscale.</v>
      </c>
      <c r="C3" s="448" t="str">
        <f>IFERROR(__xludf.DUMMYFUNCTION("""COMPUTED_VALUE"""),"-[]")</f>
        <v>-[]</v>
      </c>
      <c r="D3" s="448" t="str">
        <f>IFERROR(__xludf.DUMMYFUNCTION("""COMPUTED_VALUE"""),"-[]")</f>
        <v>-[]</v>
      </c>
      <c r="E3" s="448">
        <f>IFERROR(__xludf.DUMMYFUNCTION("""COMPUTED_VALUE"""),1.0)</f>
        <v>1</v>
      </c>
      <c r="F3" s="448"/>
      <c r="G3" s="448"/>
      <c r="H3" s="448"/>
      <c r="I3" s="448"/>
      <c r="J3" s="448"/>
      <c r="K3" s="448"/>
      <c r="L3" s="448"/>
      <c r="M3" s="448"/>
      <c r="N3" s="448"/>
      <c r="O3" s="448"/>
      <c r="P3" s="448"/>
      <c r="Q3" s="448"/>
      <c r="R3" s="448"/>
      <c r="S3" s="448"/>
      <c r="T3" s="448"/>
      <c r="U3" s="448"/>
      <c r="V3" s="448"/>
    </row>
    <row r="4">
      <c r="A4" s="448" t="str">
        <f>IFERROR(__xludf.DUMMYFUNCTION("""COMPUTED_VALUE"""),"Dragon Form")</f>
        <v>Dragon Form</v>
      </c>
      <c r="B4" s="448"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48" t="str">
        <f>IFERROR(__xludf.DUMMYFUNCTION("""COMPUTED_VALUE"""),"-[]")</f>
        <v>-[]</v>
      </c>
      <c r="D4" s="448" t="str">
        <f>IFERROR(__xludf.DUMMYFUNCTION("""COMPUTED_VALUE"""),"-[]")</f>
        <v>-[]</v>
      </c>
      <c r="E4" s="448">
        <f>IFERROR(__xludf.DUMMYFUNCTION("""COMPUTED_VALUE"""),30.0)</f>
        <v>30</v>
      </c>
      <c r="F4" s="448"/>
      <c r="G4" s="448"/>
      <c r="H4" s="448"/>
      <c r="I4" s="448"/>
      <c r="J4" s="448"/>
      <c r="K4" s="448"/>
      <c r="L4" s="448"/>
      <c r="M4" s="448"/>
      <c r="N4" s="448"/>
      <c r="O4" s="448"/>
      <c r="P4" s="448"/>
      <c r="Q4" s="448"/>
      <c r="R4" s="448"/>
      <c r="S4" s="448"/>
      <c r="T4" s="448"/>
      <c r="U4" s="448"/>
      <c r="V4" s="448"/>
    </row>
    <row r="5">
      <c r="A5" s="448" t="str">
        <f>IFERROR(__xludf.DUMMYFUNCTION("""COMPUTED_VALUE"""),"Eyeshine")</f>
        <v>Eyeshine</v>
      </c>
      <c r="B5" s="448" t="str">
        <f>IFERROR(__xludf.DUMMYFUNCTION("""COMPUTED_VALUE"""),"[None]
You can see in darkness as well as you could see in full light")</f>
        <v>[None]
You can see in darkness as well as you could see in full light</v>
      </c>
      <c r="C5" s="448" t="str">
        <f>IFERROR(__xludf.DUMMYFUNCTION("""COMPUTED_VALUE"""),"-[]")</f>
        <v>-[]</v>
      </c>
      <c r="D5" s="448" t="str">
        <f>IFERROR(__xludf.DUMMYFUNCTION("""COMPUTED_VALUE"""),"-[]")</f>
        <v>-[]</v>
      </c>
      <c r="E5" s="448">
        <f>IFERROR(__xludf.DUMMYFUNCTION("""COMPUTED_VALUE"""),3.0)</f>
        <v>3</v>
      </c>
      <c r="F5" s="448"/>
      <c r="G5" s="448"/>
      <c r="H5" s="448"/>
      <c r="I5" s="448"/>
      <c r="J5" s="448"/>
      <c r="K5" s="448"/>
      <c r="L5" s="448"/>
      <c r="M5" s="448"/>
      <c r="N5" s="448"/>
      <c r="O5" s="448"/>
      <c r="P5" s="448"/>
      <c r="Q5" s="448"/>
      <c r="R5" s="448"/>
      <c r="S5" s="448"/>
      <c r="T5" s="448"/>
      <c r="U5" s="448"/>
      <c r="V5" s="448"/>
    </row>
    <row r="6">
      <c r="A6" s="448" t="str">
        <f>IFERROR(__xludf.DUMMYFUNCTION("""COMPUTED_VALUE"""),"Hardy")</f>
        <v>Hardy</v>
      </c>
      <c r="B6" s="448" t="str">
        <f>IFERROR(__xludf.DUMMYFUNCTION("""COMPUTED_VALUE"""),"[None]
You shrug most things off. +1 Mod to all Saves.")</f>
        <v>[None]
You shrug most things off. +1 Mod to all Saves.</v>
      </c>
      <c r="C6" s="448" t="str">
        <f>IFERROR(__xludf.DUMMYFUNCTION("""COMPUTED_VALUE"""),"-[]")</f>
        <v>-[]</v>
      </c>
      <c r="D6" s="448" t="str">
        <f>IFERROR(__xludf.DUMMYFUNCTION("""COMPUTED_VALUE"""),"-[]")</f>
        <v>-[]</v>
      </c>
      <c r="E6" s="448">
        <f>IFERROR(__xludf.DUMMYFUNCTION("""COMPUTED_VALUE"""),9.0)</f>
        <v>9</v>
      </c>
      <c r="F6" s="448"/>
      <c r="G6" s="448"/>
      <c r="H6" s="448"/>
      <c r="I6" s="448"/>
      <c r="J6" s="448"/>
      <c r="K6" s="448"/>
      <c r="L6" s="448"/>
      <c r="M6" s="448"/>
      <c r="N6" s="448"/>
      <c r="O6" s="448"/>
      <c r="P6" s="448"/>
      <c r="Q6" s="448"/>
      <c r="R6" s="448"/>
      <c r="S6" s="448"/>
      <c r="T6" s="448"/>
      <c r="U6" s="448"/>
      <c r="V6" s="448"/>
    </row>
    <row r="7">
      <c r="A7" s="448" t="str">
        <f>IFERROR(__xludf.DUMMYFUNCTION("""COMPUTED_VALUE"""),"Ingenious")</f>
        <v>Ingenious</v>
      </c>
      <c r="B7" s="448" t="str">
        <f>IFERROR(__xludf.DUMMYFUNCTION("""COMPUTED_VALUE"""),"[None]
You are a creative genius. +2 Ingenuity Mod.")</f>
        <v>[None]
You are a creative genius. +2 Ingenuity Mod.</v>
      </c>
      <c r="C7" s="448" t="str">
        <f>IFERROR(__xludf.DUMMYFUNCTION("""COMPUTED_VALUE"""),"-[]")</f>
        <v>-[]</v>
      </c>
      <c r="D7" s="448" t="str">
        <f>IFERROR(__xludf.DUMMYFUNCTION("""COMPUTED_VALUE"""),"-[]")</f>
        <v>-[]</v>
      </c>
      <c r="E7" s="448">
        <f>IFERROR(__xludf.DUMMYFUNCTION("""COMPUTED_VALUE"""),3.0)</f>
        <v>3</v>
      </c>
      <c r="F7" s="448"/>
      <c r="G7" s="448"/>
      <c r="H7" s="448"/>
      <c r="I7" s="448"/>
      <c r="J7" s="448"/>
      <c r="K7" s="448"/>
      <c r="L7" s="448"/>
      <c r="M7" s="448"/>
      <c r="N7" s="448"/>
      <c r="O7" s="448"/>
      <c r="P7" s="448"/>
      <c r="Q7" s="448"/>
      <c r="R7" s="448"/>
      <c r="S7" s="448"/>
      <c r="T7" s="448"/>
      <c r="U7" s="448"/>
      <c r="V7" s="448"/>
    </row>
    <row r="8">
      <c r="A8" s="448" t="str">
        <f>IFERROR(__xludf.DUMMYFUNCTION("""COMPUTED_VALUE"""),"Limb Reattachment")</f>
        <v>Limb Reattachment</v>
      </c>
      <c r="B8" s="448" t="str">
        <f>IFERROR(__xludf.DUMMYFUNCTION("""COMPUTED_VALUE"""),"[None]
Intact limbs may be reatached using a support action. Destroyed limbs become broken.")</f>
        <v>[None]
Intact limbs may be reatached using a support action. Destroyed limbs become broken.</v>
      </c>
      <c r="C8" s="448" t="str">
        <f>IFERROR(__xludf.DUMMYFUNCTION("""COMPUTED_VALUE"""),"-[]")</f>
        <v>-[]</v>
      </c>
      <c r="D8" s="448" t="str">
        <f>IFERROR(__xludf.DUMMYFUNCTION("""COMPUTED_VALUE"""),"-[]")</f>
        <v>-[]</v>
      </c>
      <c r="E8" s="448">
        <f>IFERROR(__xludf.DUMMYFUNCTION("""COMPUTED_VALUE"""),10.0)</f>
        <v>10</v>
      </c>
      <c r="F8" s="448"/>
      <c r="G8" s="448"/>
      <c r="H8" s="448"/>
      <c r="I8" s="448"/>
      <c r="J8" s="448"/>
      <c r="K8" s="448"/>
      <c r="L8" s="448"/>
      <c r="M8" s="448"/>
      <c r="N8" s="448"/>
      <c r="O8" s="448"/>
      <c r="P8" s="448"/>
      <c r="Q8" s="448"/>
      <c r="R8" s="448"/>
      <c r="S8" s="448"/>
      <c r="T8" s="448"/>
      <c r="U8" s="448"/>
      <c r="V8" s="448"/>
    </row>
    <row r="9">
      <c r="A9" s="448" t="str">
        <f>IFERROR(__xludf.DUMMYFUNCTION("""COMPUTED_VALUE"""),"Manufactured Body (X)")</f>
        <v>Manufactured Body (X)</v>
      </c>
      <c r="B9" s="448"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48" t="str">
        <f>IFERROR(__xludf.DUMMYFUNCTION("""COMPUTED_VALUE"""),"-[]")</f>
        <v>-[]</v>
      </c>
      <c r="D9" s="448" t="str">
        <f>IFERROR(__xludf.DUMMYFUNCTION("""COMPUTED_VALUE"""),"-[]")</f>
        <v>-[]</v>
      </c>
      <c r="E9" s="448">
        <f>IFERROR(__xludf.DUMMYFUNCTION("""COMPUTED_VALUE"""),0.0)</f>
        <v>0</v>
      </c>
      <c r="F9" s="448"/>
      <c r="G9" s="448"/>
      <c r="H9" s="448"/>
      <c r="I9" s="448"/>
      <c r="J9" s="448"/>
      <c r="K9" s="448"/>
      <c r="L9" s="448"/>
      <c r="M9" s="448"/>
      <c r="N9" s="448"/>
      <c r="O9" s="448"/>
      <c r="P9" s="448"/>
      <c r="Q9" s="448"/>
      <c r="R9" s="448"/>
      <c r="S9" s="448"/>
      <c r="T9" s="448"/>
      <c r="U9" s="448"/>
      <c r="V9" s="448"/>
    </row>
    <row r="10">
      <c r="A10" s="448" t="str">
        <f>IFERROR(__xludf.DUMMYFUNCTION("""COMPUTED_VALUE"""),"Monstrous")</f>
        <v>Monstrous</v>
      </c>
      <c r="B10" s="448" t="str">
        <f>IFERROR(__xludf.DUMMYFUNCTION("""COMPUTED_VALUE"""),"[None]
NPCs of other races besides your own will become hostile towards you if they can see your face.")</f>
        <v>[None]
NPCs of other races besides your own will become hostile towards you if they can see your face.</v>
      </c>
      <c r="C10" s="448" t="str">
        <f>IFERROR(__xludf.DUMMYFUNCTION("""COMPUTED_VALUE"""),"-[]")</f>
        <v>-[]</v>
      </c>
      <c r="D10" s="448" t="str">
        <f>IFERROR(__xludf.DUMMYFUNCTION("""COMPUTED_VALUE"""),"-[]")</f>
        <v>-[]</v>
      </c>
      <c r="E10" s="448">
        <f>IFERROR(__xludf.DUMMYFUNCTION("""COMPUTED_VALUE"""),0.0)</f>
        <v>0</v>
      </c>
      <c r="F10" s="448"/>
      <c r="G10" s="448"/>
      <c r="H10" s="448"/>
      <c r="I10" s="448"/>
      <c r="J10" s="448"/>
      <c r="K10" s="448"/>
      <c r="L10" s="448"/>
      <c r="M10" s="448"/>
      <c r="N10" s="448"/>
      <c r="O10" s="448"/>
      <c r="P10" s="448"/>
      <c r="Q10" s="448"/>
      <c r="R10" s="448"/>
      <c r="S10" s="448"/>
      <c r="T10" s="448"/>
      <c r="U10" s="448"/>
      <c r="V10" s="448"/>
    </row>
    <row r="11">
      <c r="A11" s="448" t="str">
        <f>IFERROR(__xludf.DUMMYFUNCTION("""COMPUTED_VALUE"""),"Night Sight")</f>
        <v>Night Sight</v>
      </c>
      <c r="B11" s="448" t="str">
        <f>IFERROR(__xludf.DUMMYFUNCTION("""COMPUTED_VALUE"""),"[None]
You can see in darkness up to 120ft as grayscale.")</f>
        <v>[None]
You can see in darkness up to 120ft as grayscale.</v>
      </c>
      <c r="C11" s="448" t="str">
        <f>IFERROR(__xludf.DUMMYFUNCTION("""COMPUTED_VALUE"""),"-[]")</f>
        <v>-[]</v>
      </c>
      <c r="D11" s="448" t="str">
        <f>IFERROR(__xludf.DUMMYFUNCTION("""COMPUTED_VALUE"""),"-[]")</f>
        <v>-[]</v>
      </c>
      <c r="E11" s="448">
        <f>IFERROR(__xludf.DUMMYFUNCTION("""COMPUTED_VALUE"""),2.0)</f>
        <v>2</v>
      </c>
      <c r="F11" s="448"/>
      <c r="G11" s="448"/>
      <c r="H11" s="448"/>
      <c r="I11" s="448"/>
      <c r="J11" s="448"/>
      <c r="K11" s="448"/>
      <c r="L11" s="448"/>
      <c r="M11" s="448"/>
      <c r="N11" s="448"/>
      <c r="O11" s="448"/>
      <c r="P11" s="448"/>
      <c r="Q11" s="448"/>
      <c r="R11" s="448"/>
      <c r="S11" s="448"/>
      <c r="T11" s="448"/>
      <c r="U11" s="448"/>
      <c r="V11" s="448"/>
    </row>
    <row r="12">
      <c r="A12" s="448" t="str">
        <f>IFERROR(__xludf.DUMMYFUNCTION("""COMPUTED_VALUE"""),"Nimble")</f>
        <v>Nimble</v>
      </c>
      <c r="B12" s="448" t="str">
        <f>IFERROR(__xludf.DUMMYFUNCTION("""COMPUTED_VALUE"""),"[None]
Lithe and flexible! +2 Nimbleness Mod.")</f>
        <v>[None]
Lithe and flexible! +2 Nimbleness Mod.</v>
      </c>
      <c r="C12" s="448" t="str">
        <f>IFERROR(__xludf.DUMMYFUNCTION("""COMPUTED_VALUE"""),"-[]")</f>
        <v>-[]</v>
      </c>
      <c r="D12" s="448" t="str">
        <f>IFERROR(__xludf.DUMMYFUNCTION("""COMPUTED_VALUE"""),"-[]")</f>
        <v>-[]</v>
      </c>
      <c r="E12" s="448">
        <f>IFERROR(__xludf.DUMMYFUNCTION("""COMPUTED_VALUE"""),3.0)</f>
        <v>3</v>
      </c>
      <c r="F12" s="448"/>
      <c r="G12" s="448"/>
      <c r="H12" s="448"/>
      <c r="I12" s="448"/>
      <c r="J12" s="448"/>
      <c r="K12" s="448"/>
      <c r="L12" s="448"/>
      <c r="M12" s="448"/>
      <c r="N12" s="448"/>
      <c r="O12" s="448"/>
      <c r="P12" s="448"/>
      <c r="Q12" s="448"/>
      <c r="R12" s="448"/>
      <c r="S12" s="448"/>
      <c r="T12" s="448"/>
      <c r="U12" s="448"/>
      <c r="V12" s="448"/>
    </row>
    <row r="13">
      <c r="A13" s="448" t="str">
        <f>IFERROR(__xludf.DUMMYFUNCTION("""COMPUTED_VALUE"""),"Resilient")</f>
        <v>Resilient</v>
      </c>
      <c r="B13" s="448" t="str">
        <f>IFERROR(__xludf.DUMMYFUNCTION("""COMPUTED_VALUE"""),"[None]
Your mental fortitude is unmatched! +2 Conviction Mod.")</f>
        <v>[None]
Your mental fortitude is unmatched! +2 Conviction Mod.</v>
      </c>
      <c r="C13" s="448" t="str">
        <f>IFERROR(__xludf.DUMMYFUNCTION("""COMPUTED_VALUE"""),"-[]")</f>
        <v>-[]</v>
      </c>
      <c r="D13" s="448" t="str">
        <f>IFERROR(__xludf.DUMMYFUNCTION("""COMPUTED_VALUE"""),"-[]")</f>
        <v>-[]</v>
      </c>
      <c r="E13" s="448">
        <f>IFERROR(__xludf.DUMMYFUNCTION("""COMPUTED_VALUE"""),3.0)</f>
        <v>3</v>
      </c>
      <c r="F13" s="448"/>
      <c r="G13" s="448"/>
      <c r="H13" s="448"/>
      <c r="I13" s="448"/>
      <c r="J13" s="448"/>
      <c r="K13" s="448"/>
      <c r="L13" s="448"/>
      <c r="M13" s="448"/>
      <c r="N13" s="448"/>
      <c r="O13" s="448"/>
      <c r="P13" s="448"/>
      <c r="Q13" s="448"/>
      <c r="R13" s="448"/>
      <c r="S13" s="448"/>
      <c r="T13" s="448"/>
      <c r="U13" s="448"/>
      <c r="V13" s="448"/>
    </row>
    <row r="14">
      <c r="A14" s="448" t="str">
        <f>IFERROR(__xludf.DUMMYFUNCTION("""COMPUTED_VALUE"""),"Robust")</f>
        <v>Robust</v>
      </c>
      <c r="B14" s="448" t="str">
        <f>IFERROR(__xludf.DUMMYFUNCTION("""COMPUTED_VALUE"""),"[None]
Your immune system is legendary. +2 Virility Mod.")</f>
        <v>[None]
Your immune system is legendary. +2 Virility Mod.</v>
      </c>
      <c r="C14" s="448" t="str">
        <f>IFERROR(__xludf.DUMMYFUNCTION("""COMPUTED_VALUE"""),"-[]")</f>
        <v>-[]</v>
      </c>
      <c r="D14" s="448" t="str">
        <f>IFERROR(__xludf.DUMMYFUNCTION("""COMPUTED_VALUE"""),"-[]")</f>
        <v>-[]</v>
      </c>
      <c r="E14" s="448">
        <f>IFERROR(__xludf.DUMMYFUNCTION("""COMPUTED_VALUE"""),3.0)</f>
        <v>3</v>
      </c>
      <c r="F14" s="448"/>
      <c r="G14" s="448"/>
      <c r="H14" s="448"/>
      <c r="I14" s="448"/>
      <c r="J14" s="448"/>
      <c r="K14" s="448"/>
      <c r="L14" s="448"/>
      <c r="M14" s="448"/>
      <c r="N14" s="448"/>
      <c r="O14" s="448"/>
      <c r="P14" s="448"/>
      <c r="Q14" s="448"/>
      <c r="R14" s="448"/>
      <c r="S14" s="448"/>
      <c r="T14" s="448"/>
      <c r="U14" s="448"/>
      <c r="V14" s="448"/>
    </row>
    <row r="15">
      <c r="A15" s="448" t="str">
        <f>IFERROR(__xludf.DUMMYFUNCTION("""COMPUTED_VALUE"""),"Small Hands")</f>
        <v>Small Hands</v>
      </c>
      <c r="B15" s="448"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48" t="str">
        <f>IFERROR(__xludf.DUMMYFUNCTION("""COMPUTED_VALUE"""),"-[]")</f>
        <v>-[]</v>
      </c>
      <c r="D15" s="448" t="str">
        <f>IFERROR(__xludf.DUMMYFUNCTION("""COMPUTED_VALUE"""),"-[]")</f>
        <v>-[]</v>
      </c>
      <c r="E15" s="448">
        <f>IFERROR(__xludf.DUMMYFUNCTION("""COMPUTED_VALUE"""),-7.0)</f>
        <v>-7</v>
      </c>
      <c r="F15" s="448"/>
      <c r="G15" s="448"/>
      <c r="H15" s="448"/>
      <c r="I15" s="448"/>
      <c r="J15" s="448"/>
      <c r="K15" s="448"/>
      <c r="L15" s="448"/>
      <c r="M15" s="448"/>
      <c r="N15" s="448"/>
      <c r="O15" s="448"/>
      <c r="P15" s="448"/>
      <c r="Q15" s="448"/>
      <c r="R15" s="448"/>
      <c r="S15" s="448"/>
      <c r="T15" s="448"/>
      <c r="U15" s="448"/>
      <c r="V15" s="448"/>
    </row>
    <row r="16">
      <c r="A16" s="448" t="str">
        <f>IFERROR(__xludf.DUMMYFUNCTION("""COMPUTED_VALUE"""),"Tough")</f>
        <v>Tough</v>
      </c>
      <c r="B16" s="448" t="str">
        <f>IFERROR(__xludf.DUMMYFUNCTION("""COMPUTED_VALUE"""),"[None]
Strapping Physique! +2 Toughness Mod.")</f>
        <v>[None]
Strapping Physique! +2 Toughness Mod.</v>
      </c>
      <c r="C16" s="448" t="str">
        <f>IFERROR(__xludf.DUMMYFUNCTION("""COMPUTED_VALUE"""),"-[]")</f>
        <v>-[]</v>
      </c>
      <c r="D16" s="448" t="str">
        <f>IFERROR(__xludf.DUMMYFUNCTION("""COMPUTED_VALUE"""),"-[]")</f>
        <v>-[]</v>
      </c>
      <c r="E16" s="448">
        <f>IFERROR(__xludf.DUMMYFUNCTION("""COMPUTED_VALUE"""),3.0)</f>
        <v>3</v>
      </c>
      <c r="F16" s="448"/>
      <c r="G16" s="448"/>
      <c r="H16" s="448"/>
      <c r="I16" s="448"/>
      <c r="J16" s="448"/>
      <c r="K16" s="448"/>
      <c r="L16" s="448"/>
      <c r="M16" s="448"/>
      <c r="N16" s="448"/>
      <c r="O16" s="448"/>
      <c r="P16" s="448"/>
      <c r="Q16" s="448"/>
      <c r="R16" s="448"/>
      <c r="S16" s="448"/>
      <c r="T16" s="448"/>
      <c r="U16" s="448"/>
      <c r="V16" s="448"/>
    </row>
    <row r="17">
      <c r="A17" s="448" t="str">
        <f>IFERROR(__xludf.DUMMYFUNCTION("""COMPUTED_VALUE"""),"Witty")</f>
        <v>Witty</v>
      </c>
      <c r="B17" s="448" t="str">
        <f>IFERROR(__xludf.DUMMYFUNCTION("""COMPUTED_VALUE"""),"[None]
Your mind is quick and adaptive. +2 Wit Mod.")</f>
        <v>[None]
Your mind is quick and adaptive. +2 Wit Mod.</v>
      </c>
      <c r="C17" s="448" t="str">
        <f>IFERROR(__xludf.DUMMYFUNCTION("""COMPUTED_VALUE"""),"-[]")</f>
        <v>-[]</v>
      </c>
      <c r="D17" s="448" t="str">
        <f>IFERROR(__xludf.DUMMYFUNCTION("""COMPUTED_VALUE"""),"-[]")</f>
        <v>-[]</v>
      </c>
      <c r="E17" s="448">
        <f>IFERROR(__xludf.DUMMYFUNCTION("""COMPUTED_VALUE"""),3.0)</f>
        <v>3</v>
      </c>
      <c r="F17" s="448"/>
      <c r="G17" s="448"/>
      <c r="H17" s="448"/>
      <c r="I17" s="448"/>
      <c r="J17" s="448"/>
      <c r="K17" s="448"/>
      <c r="L17" s="448"/>
      <c r="M17" s="448"/>
      <c r="N17" s="448"/>
      <c r="O17" s="448"/>
      <c r="P17" s="448"/>
      <c r="Q17" s="448"/>
      <c r="R17" s="448"/>
      <c r="S17" s="448"/>
      <c r="T17" s="448"/>
      <c r="U17" s="448"/>
      <c r="V17" s="448"/>
    </row>
    <row r="18">
      <c r="A18" s="448" t="str">
        <f>IFERROR(__xludf.DUMMYFUNCTION("""COMPUTED_VALUE"""),"Old Man Strength")</f>
        <v>Old Man Strength</v>
      </c>
      <c r="B18" s="448" t="str">
        <f>IFERROR(__xludf.DUMMYFUNCTION("""COMPUTED_VALUE"""),"[Lifespan can't be Immortal, Strength Reduced via Age]
+2 Toughness Mod.")</f>
        <v>[Lifespan can't be Immortal, Strength Reduced via Age]
+2 Toughness Mod.</v>
      </c>
      <c r="C18" s="448" t="str">
        <f>IFERROR(__xludf.DUMMYFUNCTION("""COMPUTED_VALUE"""),"[Strength Reduced via Age twice]
+2 Toughness Mod, STR +1")</f>
        <v>[Strength Reduced via Age twice]
+2 Toughness Mod, STR +1</v>
      </c>
      <c r="D18" s="448" t="str">
        <f>IFERROR(__xludf.DUMMYFUNCTION("""COMPUTED_VALUE"""),"[Strength Reduced via Age three times]
+4 Toughness Mod, STR +1")</f>
        <v>[Strength Reduced via Age three times]
+4 Toughness Mod, STR +1</v>
      </c>
      <c r="E18" s="448">
        <f>IFERROR(__xludf.DUMMYFUNCTION("""COMPUTED_VALUE"""),5.0)</f>
        <v>5</v>
      </c>
      <c r="F18" s="448"/>
      <c r="G18" s="448"/>
      <c r="H18" s="448"/>
      <c r="I18" s="448"/>
      <c r="J18" s="448"/>
      <c r="K18" s="448"/>
      <c r="L18" s="448"/>
      <c r="M18" s="448"/>
      <c r="N18" s="448"/>
      <c r="O18" s="448"/>
      <c r="P18" s="448"/>
      <c r="Q18" s="448"/>
      <c r="R18" s="448"/>
      <c r="S18" s="448"/>
      <c r="T18" s="448"/>
      <c r="U18" s="448"/>
      <c r="V18" s="448"/>
    </row>
    <row r="19">
      <c r="A19" s="448" t="str">
        <f>IFERROR(__xludf.DUMMYFUNCTION("""COMPUTED_VALUE"""),"Human Prestige")</f>
        <v>Human Prestige</v>
      </c>
      <c r="B19" s="448"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48"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48"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48">
        <f>IFERROR(__xludf.DUMMYFUNCTION("""COMPUTED_VALUE"""),0.0)</f>
        <v>0</v>
      </c>
      <c r="F19" s="448"/>
      <c r="G19" s="448"/>
      <c r="H19" s="448"/>
      <c r="I19" s="448"/>
      <c r="J19" s="448"/>
      <c r="K19" s="448"/>
      <c r="L19" s="448"/>
      <c r="M19" s="448"/>
      <c r="N19" s="448"/>
      <c r="O19" s="448"/>
      <c r="P19" s="448"/>
      <c r="Q19" s="448"/>
      <c r="R19" s="448"/>
      <c r="S19" s="448"/>
      <c r="T19" s="448"/>
      <c r="U19" s="448"/>
      <c r="V19" s="448"/>
    </row>
    <row r="20">
      <c r="A20" s="448" t="str">
        <f>IFERROR(__xludf.DUMMYFUNCTION("""COMPUTED_VALUE"""),"Neo-Human Prestige")</f>
        <v>Neo-Human Prestige</v>
      </c>
      <c r="B20" s="448" t="str">
        <f>IFERROR(__xludf.DUMMYFUNCTION("""COMPUTED_VALUE"""),"[20 Karma removed; Neo-Human Seed, KV 400]
Remove Static Negative Exploit.")</f>
        <v>[20 Karma removed; Neo-Human Seed, KV 400]
Remove Static Negative Exploit.</v>
      </c>
      <c r="C20" s="448" t="str">
        <f>IFERROR(__xludf.DUMMYFUNCTION("""COMPUTED_VALUE"""),"[KV 600]
Remove Static Negative Exploit. You may change the race of one willing humanoid to Neo-Human.")</f>
        <v>[KV 600]
Remove Static Negative Exploit. You may change the race of one willing humanoid to Neo-Human.</v>
      </c>
      <c r="D20" s="448"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48">
        <f>IFERROR(__xludf.DUMMYFUNCTION("""COMPUTED_VALUE"""),0.0)</f>
        <v>0</v>
      </c>
      <c r="F20" s="448"/>
      <c r="G20" s="448"/>
      <c r="H20" s="448"/>
      <c r="I20" s="448"/>
      <c r="J20" s="448"/>
      <c r="K20" s="448"/>
      <c r="L20" s="448"/>
      <c r="M20" s="448"/>
      <c r="N20" s="448"/>
      <c r="O20" s="448"/>
      <c r="P20" s="448"/>
      <c r="Q20" s="448"/>
      <c r="R20" s="448"/>
      <c r="S20" s="448"/>
      <c r="T20" s="448"/>
      <c r="U20" s="448"/>
      <c r="V20" s="448"/>
    </row>
    <row r="21">
      <c r="A21" s="448" t="str">
        <f>IFERROR(__xludf.DUMMYFUNCTION("""COMPUTED_VALUE"""),"Cambion Prestige")</f>
        <v>Cambion Prestige</v>
      </c>
      <c r="B21" s="448"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48"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48"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48">
        <f>IFERROR(__xludf.DUMMYFUNCTION("""COMPUTED_VALUE"""),0.0)</f>
        <v>0</v>
      </c>
      <c r="F21" s="448"/>
      <c r="G21" s="448"/>
      <c r="H21" s="448"/>
      <c r="I21" s="448"/>
      <c r="J21" s="448"/>
      <c r="K21" s="448"/>
      <c r="L21" s="448"/>
      <c r="M21" s="448"/>
      <c r="N21" s="448"/>
      <c r="O21" s="448"/>
      <c r="P21" s="448"/>
      <c r="Q21" s="448"/>
      <c r="R21" s="448"/>
      <c r="S21" s="448"/>
      <c r="T21" s="448"/>
      <c r="U21" s="448"/>
      <c r="V21" s="448"/>
    </row>
    <row r="22">
      <c r="A22" s="448" t="str">
        <f>IFERROR(__xludf.DUMMYFUNCTION("""COMPUTED_VALUE"""),"Elven Prestige")</f>
        <v>Elven Prestige</v>
      </c>
      <c r="B22" s="448"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48"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48"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48">
        <f>IFERROR(__xludf.DUMMYFUNCTION("""COMPUTED_VALUE"""),0.0)</f>
        <v>0</v>
      </c>
      <c r="F22" s="448"/>
      <c r="G22" s="448"/>
      <c r="H22" s="448"/>
      <c r="I22" s="448"/>
      <c r="J22" s="448"/>
      <c r="K22" s="448"/>
      <c r="L22" s="448"/>
      <c r="M22" s="448"/>
      <c r="N22" s="448"/>
      <c r="O22" s="448"/>
      <c r="P22" s="448"/>
      <c r="Q22" s="448"/>
      <c r="R22" s="448"/>
      <c r="S22" s="448"/>
      <c r="T22" s="448"/>
      <c r="U22" s="448"/>
      <c r="V22" s="448"/>
    </row>
    <row r="23">
      <c r="A23" s="448"/>
      <c r="B23" s="448"/>
      <c r="C23" s="448"/>
      <c r="D23" s="448"/>
      <c r="E23" s="448"/>
      <c r="F23" s="448"/>
      <c r="G23" s="448"/>
      <c r="H23" s="448"/>
      <c r="I23" s="448"/>
      <c r="J23" s="448"/>
      <c r="K23" s="448"/>
      <c r="L23" s="448"/>
      <c r="M23" s="448"/>
      <c r="N23" s="448"/>
      <c r="O23" s="448"/>
      <c r="P23" s="448"/>
      <c r="Q23" s="448"/>
      <c r="R23" s="448"/>
      <c r="S23" s="448"/>
      <c r="T23" s="448"/>
      <c r="U23" s="448"/>
      <c r="V23" s="448"/>
    </row>
    <row r="24">
      <c r="A24" s="448"/>
      <c r="B24" s="448"/>
      <c r="C24" s="448"/>
      <c r="D24" s="448"/>
      <c r="E24" s="448"/>
      <c r="F24" s="448"/>
      <c r="G24" s="448"/>
      <c r="H24" s="448"/>
      <c r="I24" s="448"/>
      <c r="J24" s="448"/>
      <c r="K24" s="448"/>
      <c r="L24" s="448"/>
      <c r="M24" s="448"/>
      <c r="N24" s="448"/>
      <c r="O24" s="448"/>
      <c r="P24" s="448"/>
      <c r="Q24" s="448"/>
      <c r="R24" s="448"/>
      <c r="S24" s="448"/>
      <c r="T24" s="448"/>
      <c r="U24" s="448"/>
      <c r="V24" s="448"/>
    </row>
    <row r="25">
      <c r="A25" s="448"/>
      <c r="B25" s="448"/>
      <c r="C25" s="448"/>
      <c r="D25" s="448"/>
      <c r="E25" s="448"/>
      <c r="F25" s="448"/>
      <c r="G25" s="448"/>
      <c r="H25" s="448"/>
      <c r="I25" s="448"/>
      <c r="J25" s="448"/>
      <c r="K25" s="448"/>
      <c r="L25" s="448"/>
      <c r="M25" s="448"/>
      <c r="N25" s="448"/>
      <c r="O25" s="448"/>
      <c r="P25" s="448"/>
      <c r="Q25" s="448"/>
      <c r="R25" s="448"/>
      <c r="S25" s="448"/>
      <c r="T25" s="448"/>
      <c r="U25" s="448"/>
      <c r="V25" s="448"/>
    </row>
    <row r="26">
      <c r="A26" s="448"/>
      <c r="B26" s="448"/>
      <c r="C26" s="448"/>
      <c r="D26" s="448"/>
      <c r="E26" s="448"/>
      <c r="F26" s="448"/>
      <c r="G26" s="448"/>
      <c r="H26" s="448"/>
      <c r="I26" s="448"/>
      <c r="J26" s="448"/>
      <c r="K26" s="448"/>
      <c r="L26" s="448"/>
      <c r="M26" s="448"/>
      <c r="N26" s="448"/>
      <c r="O26" s="448"/>
      <c r="P26" s="448"/>
      <c r="Q26" s="448"/>
      <c r="R26" s="448"/>
      <c r="S26" s="448"/>
      <c r="T26" s="448"/>
      <c r="U26" s="448"/>
      <c r="V26" s="448"/>
    </row>
    <row r="27">
      <c r="A27" s="448"/>
      <c r="B27" s="448"/>
      <c r="C27" s="448"/>
      <c r="D27" s="448"/>
      <c r="E27" s="448"/>
      <c r="F27" s="448"/>
      <c r="G27" s="448"/>
      <c r="H27" s="448"/>
      <c r="I27" s="448"/>
      <c r="J27" s="448"/>
      <c r="K27" s="448"/>
      <c r="L27" s="448"/>
      <c r="M27" s="448"/>
      <c r="N27" s="448"/>
      <c r="O27" s="448"/>
      <c r="P27" s="448"/>
      <c r="Q27" s="448"/>
      <c r="R27" s="448"/>
      <c r="S27" s="448"/>
      <c r="T27" s="448"/>
      <c r="U27" s="448"/>
      <c r="V27" s="448"/>
    </row>
    <row r="28">
      <c r="A28" s="448"/>
      <c r="B28" s="448"/>
      <c r="C28" s="448"/>
      <c r="D28" s="448"/>
      <c r="E28" s="448"/>
      <c r="F28" s="448"/>
      <c r="G28" s="448"/>
      <c r="H28" s="448"/>
      <c r="I28" s="448"/>
      <c r="J28" s="448"/>
      <c r="K28" s="448"/>
      <c r="L28" s="448"/>
      <c r="M28" s="448"/>
      <c r="N28" s="448"/>
      <c r="O28" s="448"/>
      <c r="P28" s="448"/>
      <c r="Q28" s="448"/>
      <c r="R28" s="448"/>
      <c r="S28" s="448"/>
      <c r="T28" s="448"/>
      <c r="U28" s="448"/>
      <c r="V28" s="448"/>
    </row>
    <row r="29">
      <c r="A29" s="448"/>
      <c r="B29" s="448"/>
      <c r="C29" s="448"/>
      <c r="D29" s="448"/>
      <c r="E29" s="448"/>
      <c r="F29" s="448"/>
      <c r="G29" s="448"/>
      <c r="H29" s="448"/>
      <c r="I29" s="448"/>
      <c r="J29" s="448"/>
      <c r="K29" s="448"/>
      <c r="L29" s="448"/>
      <c r="M29" s="448"/>
      <c r="N29" s="448"/>
      <c r="O29" s="448"/>
      <c r="P29" s="448"/>
      <c r="Q29" s="448"/>
      <c r="R29" s="448"/>
      <c r="S29" s="448"/>
      <c r="T29" s="448"/>
      <c r="U29" s="448"/>
      <c r="V29" s="448"/>
    </row>
    <row r="30">
      <c r="A30" s="448"/>
      <c r="B30" s="448"/>
      <c r="C30" s="448"/>
      <c r="D30" s="448"/>
      <c r="E30" s="448"/>
      <c r="F30" s="448"/>
      <c r="G30" s="448"/>
      <c r="H30" s="448"/>
      <c r="I30" s="448"/>
      <c r="J30" s="448"/>
      <c r="K30" s="448"/>
      <c r="L30" s="448"/>
      <c r="M30" s="448"/>
      <c r="N30" s="448"/>
      <c r="O30" s="448"/>
      <c r="P30" s="448"/>
      <c r="Q30" s="448"/>
      <c r="R30" s="448"/>
      <c r="S30" s="448"/>
      <c r="T30" s="448"/>
      <c r="U30" s="448"/>
      <c r="V30" s="448"/>
    </row>
    <row r="31">
      <c r="A31" s="448"/>
      <c r="B31" s="448"/>
      <c r="C31" s="448"/>
      <c r="D31" s="448"/>
      <c r="E31" s="448"/>
      <c r="F31" s="448"/>
      <c r="G31" s="448"/>
      <c r="H31" s="448"/>
      <c r="I31" s="448"/>
      <c r="J31" s="448"/>
      <c r="K31" s="448"/>
      <c r="L31" s="448"/>
      <c r="M31" s="448"/>
      <c r="N31" s="448"/>
      <c r="O31" s="448"/>
      <c r="P31" s="448"/>
      <c r="Q31" s="448"/>
      <c r="R31" s="448"/>
      <c r="S31" s="448"/>
      <c r="T31" s="448"/>
      <c r="U31" s="448"/>
      <c r="V31" s="448"/>
    </row>
    <row r="32">
      <c r="A32" s="448"/>
      <c r="B32" s="448"/>
      <c r="C32" s="448"/>
      <c r="D32" s="448"/>
      <c r="E32" s="448"/>
      <c r="F32" s="448"/>
      <c r="G32" s="448"/>
      <c r="H32" s="448"/>
      <c r="I32" s="448"/>
      <c r="J32" s="448"/>
      <c r="K32" s="448"/>
      <c r="L32" s="448"/>
      <c r="M32" s="448"/>
      <c r="N32" s="448"/>
      <c r="O32" s="448"/>
      <c r="P32" s="448"/>
      <c r="Q32" s="448"/>
      <c r="R32" s="448"/>
      <c r="S32" s="448"/>
      <c r="T32" s="448"/>
      <c r="U32" s="448"/>
      <c r="V32" s="448"/>
    </row>
    <row r="33">
      <c r="A33" s="448"/>
      <c r="B33" s="448"/>
      <c r="C33" s="448"/>
      <c r="D33" s="448"/>
      <c r="E33" s="448"/>
      <c r="F33" s="448"/>
      <c r="G33" s="448"/>
      <c r="H33" s="448"/>
      <c r="I33" s="448"/>
      <c r="J33" s="448"/>
      <c r="K33" s="448"/>
      <c r="L33" s="448"/>
      <c r="M33" s="448"/>
      <c r="N33" s="448"/>
      <c r="O33" s="448"/>
      <c r="P33" s="448"/>
      <c r="Q33" s="448"/>
      <c r="R33" s="448"/>
      <c r="S33" s="448"/>
      <c r="T33" s="448"/>
      <c r="U33" s="448"/>
      <c r="V33" s="448"/>
    </row>
    <row r="34">
      <c r="A34" s="448"/>
      <c r="B34" s="448"/>
      <c r="C34" s="448"/>
      <c r="D34" s="448"/>
      <c r="E34" s="448"/>
      <c r="F34" s="448"/>
      <c r="G34" s="448"/>
      <c r="H34" s="448"/>
      <c r="I34" s="448"/>
      <c r="J34" s="448"/>
      <c r="K34" s="448"/>
      <c r="L34" s="448"/>
      <c r="M34" s="448"/>
      <c r="N34" s="448"/>
      <c r="O34" s="448"/>
      <c r="P34" s="448"/>
      <c r="Q34" s="448"/>
      <c r="R34" s="448"/>
      <c r="S34" s="448"/>
      <c r="T34" s="448"/>
      <c r="U34" s="448"/>
      <c r="V34" s="448"/>
    </row>
    <row r="35">
      <c r="A35" s="448"/>
      <c r="B35" s="448"/>
      <c r="C35" s="448"/>
      <c r="D35" s="448"/>
      <c r="E35" s="448"/>
      <c r="F35" s="448"/>
      <c r="G35" s="448"/>
      <c r="H35" s="448"/>
      <c r="I35" s="448"/>
      <c r="J35" s="448"/>
      <c r="K35" s="448"/>
      <c r="L35" s="448"/>
      <c r="M35" s="448"/>
      <c r="N35" s="448"/>
      <c r="O35" s="448"/>
      <c r="P35" s="448"/>
      <c r="Q35" s="448"/>
      <c r="R35" s="448"/>
      <c r="S35" s="448"/>
      <c r="T35" s="448"/>
      <c r="U35" s="448"/>
      <c r="V35" s="448"/>
    </row>
    <row r="36">
      <c r="A36" s="448"/>
      <c r="B36" s="448"/>
      <c r="C36" s="448"/>
      <c r="D36" s="448"/>
      <c r="E36" s="448"/>
      <c r="F36" s="448"/>
      <c r="G36" s="448"/>
      <c r="H36" s="448"/>
      <c r="I36" s="448"/>
      <c r="J36" s="448"/>
      <c r="K36" s="448"/>
      <c r="L36" s="448"/>
      <c r="M36" s="448"/>
      <c r="N36" s="448"/>
      <c r="O36" s="448"/>
      <c r="P36" s="448"/>
      <c r="Q36" s="448"/>
      <c r="R36" s="448"/>
      <c r="S36" s="448"/>
      <c r="T36" s="448"/>
      <c r="U36" s="448"/>
      <c r="V36" s="448"/>
    </row>
    <row r="37">
      <c r="A37" s="448"/>
      <c r="B37" s="448"/>
      <c r="C37" s="448"/>
      <c r="D37" s="448"/>
      <c r="E37" s="448"/>
      <c r="F37" s="448"/>
      <c r="G37" s="448"/>
      <c r="H37" s="448"/>
      <c r="I37" s="448"/>
      <c r="J37" s="448"/>
      <c r="K37" s="448"/>
      <c r="L37" s="448"/>
      <c r="M37" s="448"/>
      <c r="N37" s="448"/>
      <c r="O37" s="448"/>
      <c r="P37" s="448"/>
      <c r="Q37" s="448"/>
      <c r="R37" s="448"/>
      <c r="S37" s="448"/>
      <c r="T37" s="448"/>
      <c r="U37" s="448"/>
      <c r="V37" s="448"/>
    </row>
    <row r="38">
      <c r="A38" s="448"/>
      <c r="B38" s="448"/>
      <c r="C38" s="448"/>
      <c r="D38" s="448"/>
      <c r="E38" s="448"/>
      <c r="F38" s="448"/>
      <c r="G38" s="448"/>
      <c r="H38" s="448"/>
      <c r="I38" s="448"/>
      <c r="J38" s="448"/>
      <c r="K38" s="448"/>
      <c r="L38" s="448"/>
      <c r="M38" s="448"/>
      <c r="N38" s="448"/>
      <c r="O38" s="448"/>
      <c r="P38" s="448"/>
      <c r="Q38" s="448"/>
      <c r="R38" s="448"/>
      <c r="S38" s="448"/>
      <c r="T38" s="448"/>
      <c r="U38" s="448"/>
      <c r="V38" s="448"/>
    </row>
    <row r="39">
      <c r="A39" s="448"/>
      <c r="B39" s="448"/>
      <c r="C39" s="448"/>
      <c r="D39" s="448"/>
      <c r="E39" s="448"/>
      <c r="F39" s="448"/>
      <c r="G39" s="448"/>
      <c r="H39" s="448"/>
      <c r="I39" s="448"/>
      <c r="J39" s="448"/>
      <c r="K39" s="448"/>
      <c r="L39" s="448"/>
      <c r="M39" s="448"/>
      <c r="N39" s="448"/>
      <c r="O39" s="448"/>
      <c r="P39" s="448"/>
      <c r="Q39" s="448"/>
      <c r="R39" s="448"/>
      <c r="S39" s="448"/>
      <c r="T39" s="448"/>
      <c r="U39" s="448"/>
      <c r="V39" s="448"/>
    </row>
    <row r="40">
      <c r="A40" s="448"/>
      <c r="B40" s="448"/>
      <c r="C40" s="448"/>
      <c r="D40" s="448"/>
      <c r="E40" s="448"/>
      <c r="F40" s="448"/>
      <c r="G40" s="448"/>
      <c r="H40" s="448"/>
      <c r="I40" s="448"/>
      <c r="J40" s="448"/>
      <c r="K40" s="448"/>
      <c r="L40" s="448"/>
      <c r="M40" s="448"/>
      <c r="N40" s="448"/>
      <c r="O40" s="448"/>
      <c r="P40" s="448"/>
      <c r="Q40" s="448"/>
      <c r="R40" s="448"/>
      <c r="S40" s="448"/>
      <c r="T40" s="448"/>
      <c r="U40" s="448"/>
      <c r="V40" s="448"/>
    </row>
    <row r="41">
      <c r="A41" s="448"/>
      <c r="B41" s="448"/>
      <c r="C41" s="448"/>
      <c r="D41" s="448"/>
      <c r="E41" s="448"/>
      <c r="F41" s="448"/>
      <c r="G41" s="448"/>
      <c r="H41" s="448"/>
      <c r="I41" s="448"/>
      <c r="J41" s="448"/>
      <c r="K41" s="448"/>
      <c r="L41" s="448"/>
      <c r="M41" s="448"/>
      <c r="N41" s="448"/>
      <c r="O41" s="448"/>
      <c r="P41" s="448"/>
      <c r="Q41" s="448"/>
      <c r="R41" s="448"/>
      <c r="S41" s="448"/>
      <c r="T41" s="448"/>
      <c r="U41" s="448"/>
      <c r="V41" s="448"/>
    </row>
    <row r="42">
      <c r="A42" s="448"/>
      <c r="B42" s="448"/>
      <c r="C42" s="448"/>
      <c r="D42" s="448"/>
      <c r="E42" s="448"/>
      <c r="F42" s="448"/>
      <c r="G42" s="448"/>
      <c r="H42" s="448"/>
      <c r="I42" s="448"/>
      <c r="J42" s="448"/>
      <c r="K42" s="448"/>
      <c r="L42" s="448"/>
      <c r="M42" s="448"/>
      <c r="N42" s="448"/>
      <c r="O42" s="448"/>
      <c r="P42" s="448"/>
      <c r="Q42" s="448"/>
      <c r="R42" s="448"/>
      <c r="S42" s="448"/>
      <c r="T42" s="448"/>
      <c r="U42" s="448"/>
      <c r="V42" s="448"/>
    </row>
    <row r="43">
      <c r="A43" s="448"/>
      <c r="B43" s="448"/>
      <c r="C43" s="448"/>
      <c r="D43" s="448"/>
      <c r="E43" s="448"/>
      <c r="F43" s="448"/>
      <c r="G43" s="448"/>
      <c r="H43" s="448"/>
      <c r="I43" s="448"/>
      <c r="J43" s="448"/>
      <c r="K43" s="448"/>
      <c r="L43" s="448"/>
      <c r="M43" s="448"/>
      <c r="N43" s="448"/>
      <c r="O43" s="448"/>
      <c r="P43" s="448"/>
      <c r="Q43" s="448"/>
      <c r="R43" s="448"/>
      <c r="S43" s="448"/>
      <c r="T43" s="448"/>
      <c r="U43" s="448"/>
      <c r="V43" s="448"/>
    </row>
    <row r="44">
      <c r="A44" s="448"/>
      <c r="B44" s="448"/>
      <c r="C44" s="448"/>
      <c r="D44" s="448"/>
      <c r="E44" s="448"/>
      <c r="F44" s="448"/>
      <c r="G44" s="448"/>
      <c r="H44" s="448"/>
      <c r="I44" s="448"/>
      <c r="J44" s="448"/>
      <c r="K44" s="448"/>
      <c r="L44" s="448"/>
      <c r="M44" s="448"/>
      <c r="N44" s="448"/>
      <c r="O44" s="448"/>
      <c r="P44" s="448"/>
      <c r="Q44" s="448"/>
      <c r="R44" s="448"/>
      <c r="S44" s="448"/>
      <c r="T44" s="448"/>
      <c r="U44" s="448"/>
      <c r="V44" s="448"/>
    </row>
    <row r="45">
      <c r="A45" s="448"/>
      <c r="B45" s="448"/>
      <c r="C45" s="448"/>
      <c r="D45" s="448"/>
      <c r="E45" s="448"/>
      <c r="F45" s="448"/>
      <c r="G45" s="448"/>
      <c r="H45" s="448"/>
      <c r="I45" s="448"/>
      <c r="J45" s="448"/>
      <c r="K45" s="448"/>
      <c r="L45" s="448"/>
      <c r="M45" s="448"/>
      <c r="N45" s="448"/>
      <c r="O45" s="448"/>
      <c r="P45" s="448"/>
      <c r="Q45" s="448"/>
      <c r="R45" s="448"/>
      <c r="S45" s="448"/>
      <c r="T45" s="448"/>
      <c r="U45" s="448"/>
      <c r="V45" s="448"/>
    </row>
    <row r="46">
      <c r="A46" s="448"/>
      <c r="B46" s="448"/>
      <c r="C46" s="448"/>
      <c r="D46" s="448"/>
      <c r="E46" s="448"/>
      <c r="F46" s="448"/>
      <c r="G46" s="448"/>
      <c r="H46" s="448"/>
      <c r="I46" s="448"/>
      <c r="J46" s="448"/>
      <c r="K46" s="448"/>
      <c r="L46" s="448"/>
      <c r="M46" s="448"/>
      <c r="N46" s="448"/>
      <c r="O46" s="448"/>
      <c r="P46" s="448"/>
      <c r="Q46" s="448"/>
      <c r="R46" s="448"/>
      <c r="S46" s="448"/>
      <c r="T46" s="448"/>
      <c r="U46" s="448"/>
      <c r="V46" s="448"/>
    </row>
    <row r="47">
      <c r="A47" s="448"/>
      <c r="B47" s="448"/>
      <c r="C47" s="448"/>
      <c r="D47" s="448"/>
      <c r="E47" s="448"/>
      <c r="F47" s="448"/>
      <c r="G47" s="448"/>
      <c r="H47" s="448"/>
      <c r="I47" s="448"/>
      <c r="J47" s="448"/>
      <c r="K47" s="448"/>
      <c r="L47" s="448"/>
      <c r="M47" s="448"/>
      <c r="N47" s="448"/>
      <c r="O47" s="448"/>
      <c r="P47" s="448"/>
      <c r="Q47" s="448"/>
      <c r="R47" s="448"/>
      <c r="S47" s="448"/>
      <c r="T47" s="448"/>
      <c r="U47" s="448"/>
      <c r="V47" s="448"/>
    </row>
    <row r="48">
      <c r="A48" s="448"/>
      <c r="B48" s="448"/>
      <c r="C48" s="448"/>
      <c r="D48" s="448"/>
      <c r="E48" s="448"/>
      <c r="F48" s="448"/>
      <c r="G48" s="448"/>
      <c r="H48" s="448"/>
      <c r="I48" s="448"/>
      <c r="J48" s="448"/>
      <c r="K48" s="448"/>
      <c r="L48" s="448"/>
      <c r="M48" s="448"/>
      <c r="N48" s="448"/>
      <c r="O48" s="448"/>
      <c r="P48" s="448"/>
      <c r="Q48" s="448"/>
      <c r="R48" s="448"/>
      <c r="S48" s="448"/>
      <c r="T48" s="448"/>
      <c r="U48" s="448"/>
      <c r="V48" s="448"/>
    </row>
    <row r="49">
      <c r="A49" s="448"/>
      <c r="B49" s="448"/>
      <c r="C49" s="448"/>
      <c r="D49" s="448"/>
      <c r="E49" s="448"/>
      <c r="F49" s="448"/>
      <c r="G49" s="448"/>
      <c r="H49" s="448"/>
      <c r="I49" s="448"/>
      <c r="J49" s="448"/>
      <c r="K49" s="448"/>
      <c r="L49" s="448"/>
      <c r="M49" s="448"/>
      <c r="N49" s="448"/>
      <c r="O49" s="448"/>
      <c r="P49" s="448"/>
      <c r="Q49" s="448"/>
      <c r="R49" s="448"/>
      <c r="S49" s="448"/>
      <c r="T49" s="448"/>
      <c r="U49" s="448"/>
      <c r="V49" s="448"/>
    </row>
    <row r="50">
      <c r="A50" s="448"/>
      <c r="B50" s="448"/>
      <c r="C50" s="448"/>
      <c r="D50" s="448"/>
      <c r="E50" s="448"/>
      <c r="F50" s="448"/>
      <c r="G50" s="448"/>
      <c r="H50" s="448"/>
      <c r="I50" s="448"/>
      <c r="J50" s="448"/>
      <c r="K50" s="448"/>
      <c r="L50" s="448"/>
      <c r="M50" s="448"/>
      <c r="N50" s="448"/>
      <c r="O50" s="448"/>
      <c r="P50" s="448"/>
      <c r="Q50" s="448"/>
      <c r="R50" s="448"/>
      <c r="S50" s="448"/>
      <c r="T50" s="448"/>
      <c r="U50" s="448"/>
      <c r="V50" s="448"/>
    </row>
    <row r="51">
      <c r="A51" s="448"/>
      <c r="B51" s="448"/>
      <c r="C51" s="448"/>
      <c r="D51" s="448"/>
      <c r="E51" s="448"/>
      <c r="F51" s="448"/>
      <c r="G51" s="448"/>
      <c r="H51" s="448"/>
      <c r="I51" s="448"/>
      <c r="J51" s="448"/>
      <c r="K51" s="448"/>
      <c r="L51" s="448"/>
      <c r="M51" s="448"/>
      <c r="N51" s="448"/>
      <c r="O51" s="448"/>
      <c r="P51" s="448"/>
      <c r="Q51" s="448"/>
      <c r="R51" s="448"/>
      <c r="S51" s="448"/>
      <c r="T51" s="448"/>
      <c r="U51" s="448"/>
      <c r="V51" s="448"/>
    </row>
    <row r="52">
      <c r="A52" s="448"/>
      <c r="B52" s="448"/>
      <c r="C52" s="448"/>
      <c r="D52" s="448"/>
      <c r="E52" s="448"/>
      <c r="F52" s="448"/>
      <c r="G52" s="448"/>
      <c r="H52" s="448"/>
      <c r="I52" s="448"/>
      <c r="J52" s="448"/>
      <c r="K52" s="448"/>
      <c r="L52" s="448"/>
      <c r="M52" s="448"/>
      <c r="N52" s="448"/>
      <c r="O52" s="448"/>
      <c r="P52" s="448"/>
      <c r="Q52" s="448"/>
      <c r="R52" s="448"/>
      <c r="S52" s="448"/>
      <c r="T52" s="448"/>
      <c r="U52" s="448"/>
      <c r="V52" s="448"/>
    </row>
    <row r="53">
      <c r="A53" s="448"/>
      <c r="B53" s="448"/>
      <c r="C53" s="448"/>
      <c r="D53" s="448"/>
      <c r="E53" s="448"/>
      <c r="F53" s="448"/>
      <c r="G53" s="448"/>
      <c r="H53" s="448"/>
      <c r="I53" s="448"/>
      <c r="J53" s="448"/>
      <c r="K53" s="448"/>
      <c r="L53" s="448"/>
      <c r="M53" s="448"/>
      <c r="N53" s="448"/>
      <c r="O53" s="448"/>
      <c r="P53" s="448"/>
      <c r="Q53" s="448"/>
      <c r="R53" s="448"/>
      <c r="S53" s="448"/>
      <c r="T53" s="448"/>
      <c r="U53" s="448"/>
      <c r="V53" s="448"/>
    </row>
    <row r="54">
      <c r="A54" s="448"/>
      <c r="B54" s="448"/>
      <c r="C54" s="448"/>
      <c r="D54" s="448"/>
      <c r="E54" s="448"/>
      <c r="F54" s="448"/>
      <c r="G54" s="448"/>
      <c r="H54" s="448"/>
      <c r="I54" s="448"/>
      <c r="J54" s="448"/>
      <c r="K54" s="448"/>
      <c r="L54" s="448"/>
      <c r="M54" s="448"/>
      <c r="N54" s="448"/>
      <c r="O54" s="448"/>
      <c r="P54" s="448"/>
      <c r="Q54" s="448"/>
      <c r="R54" s="448"/>
      <c r="S54" s="448"/>
      <c r="T54" s="448"/>
      <c r="U54" s="448"/>
      <c r="V54" s="448"/>
    </row>
    <row r="55">
      <c r="A55" s="448"/>
      <c r="B55" s="448"/>
      <c r="C55" s="448"/>
      <c r="D55" s="448"/>
      <c r="E55" s="448"/>
      <c r="F55" s="448"/>
      <c r="G55" s="448"/>
      <c r="H55" s="448"/>
      <c r="I55" s="448"/>
      <c r="J55" s="448"/>
      <c r="K55" s="448"/>
      <c r="L55" s="448"/>
      <c r="M55" s="448"/>
      <c r="N55" s="448"/>
      <c r="O55" s="448"/>
      <c r="P55" s="448"/>
      <c r="Q55" s="448"/>
      <c r="R55" s="448"/>
      <c r="S55" s="448"/>
      <c r="T55" s="448"/>
      <c r="U55" s="448"/>
      <c r="V55" s="448"/>
    </row>
    <row r="56">
      <c r="A56" s="448"/>
      <c r="B56" s="448"/>
      <c r="C56" s="448"/>
      <c r="D56" s="448"/>
      <c r="E56" s="448"/>
      <c r="F56" s="448"/>
      <c r="G56" s="448"/>
      <c r="H56" s="448"/>
      <c r="I56" s="448"/>
      <c r="J56" s="448"/>
      <c r="K56" s="448"/>
      <c r="L56" s="448"/>
      <c r="M56" s="448"/>
      <c r="N56" s="448"/>
      <c r="O56" s="448"/>
      <c r="P56" s="448"/>
      <c r="Q56" s="448"/>
      <c r="R56" s="448"/>
      <c r="S56" s="448"/>
      <c r="T56" s="448"/>
      <c r="U56" s="448"/>
      <c r="V56" s="448"/>
    </row>
    <row r="57">
      <c r="A57" s="448"/>
      <c r="B57" s="448"/>
      <c r="C57" s="448"/>
      <c r="D57" s="448"/>
      <c r="E57" s="448"/>
      <c r="F57" s="448"/>
      <c r="G57" s="448"/>
      <c r="H57" s="448"/>
      <c r="I57" s="448"/>
      <c r="J57" s="448"/>
      <c r="K57" s="448"/>
      <c r="L57" s="448"/>
      <c r="M57" s="448"/>
      <c r="N57" s="448"/>
      <c r="O57" s="448"/>
      <c r="P57" s="448"/>
      <c r="Q57" s="448"/>
      <c r="R57" s="448"/>
      <c r="S57" s="448"/>
      <c r="T57" s="448"/>
      <c r="U57" s="448"/>
      <c r="V57" s="448"/>
    </row>
    <row r="58">
      <c r="A58" s="448"/>
      <c r="B58" s="448"/>
      <c r="C58" s="448"/>
      <c r="D58" s="448"/>
      <c r="E58" s="448"/>
      <c r="F58" s="448"/>
      <c r="G58" s="448"/>
      <c r="H58" s="448"/>
      <c r="I58" s="448"/>
      <c r="J58" s="448"/>
      <c r="K58" s="448"/>
      <c r="L58" s="448"/>
      <c r="M58" s="448"/>
      <c r="N58" s="448"/>
      <c r="O58" s="448"/>
      <c r="P58" s="448"/>
      <c r="Q58" s="448"/>
      <c r="R58" s="448"/>
      <c r="S58" s="448"/>
      <c r="T58" s="448"/>
      <c r="U58" s="448"/>
      <c r="V58" s="448"/>
    </row>
    <row r="59">
      <c r="A59" s="448"/>
      <c r="B59" s="448"/>
      <c r="C59" s="448"/>
      <c r="D59" s="448"/>
      <c r="E59" s="448"/>
      <c r="F59" s="448"/>
      <c r="G59" s="448"/>
      <c r="H59" s="448"/>
      <c r="I59" s="448"/>
      <c r="J59" s="448"/>
      <c r="K59" s="448"/>
      <c r="L59" s="448"/>
      <c r="M59" s="448"/>
      <c r="N59" s="448"/>
      <c r="O59" s="448"/>
      <c r="P59" s="448"/>
      <c r="Q59" s="448"/>
      <c r="R59" s="448"/>
      <c r="S59" s="448"/>
      <c r="T59" s="448"/>
      <c r="U59" s="448"/>
      <c r="V59" s="448"/>
    </row>
    <row r="60">
      <c r="A60" s="448"/>
      <c r="B60" s="448"/>
      <c r="C60" s="448"/>
      <c r="D60" s="448"/>
      <c r="E60" s="448"/>
      <c r="F60" s="448"/>
      <c r="G60" s="448"/>
      <c r="H60" s="448"/>
      <c r="I60" s="448"/>
      <c r="J60" s="448"/>
      <c r="K60" s="448"/>
      <c r="L60" s="448"/>
      <c r="M60" s="448"/>
      <c r="N60" s="448"/>
      <c r="O60" s="448"/>
      <c r="P60" s="448"/>
      <c r="Q60" s="448"/>
      <c r="R60" s="448"/>
      <c r="S60" s="448"/>
      <c r="T60" s="448"/>
      <c r="U60" s="448"/>
      <c r="V60" s="448"/>
    </row>
    <row r="61">
      <c r="A61" s="448"/>
      <c r="B61" s="448"/>
      <c r="C61" s="448"/>
      <c r="D61" s="448"/>
      <c r="E61" s="448"/>
      <c r="F61" s="448"/>
      <c r="G61" s="448"/>
      <c r="H61" s="448"/>
      <c r="I61" s="448"/>
      <c r="J61" s="448"/>
      <c r="K61" s="448"/>
      <c r="L61" s="448"/>
      <c r="M61" s="448"/>
      <c r="N61" s="448"/>
      <c r="O61" s="448"/>
      <c r="P61" s="448"/>
      <c r="Q61" s="448"/>
      <c r="R61" s="448"/>
      <c r="S61" s="448"/>
      <c r="T61" s="448"/>
      <c r="U61" s="448"/>
      <c r="V61" s="448"/>
    </row>
    <row r="62">
      <c r="A62" s="448"/>
      <c r="B62" s="448"/>
      <c r="C62" s="448"/>
      <c r="D62" s="448"/>
      <c r="E62" s="448"/>
      <c r="F62" s="448"/>
      <c r="G62" s="448"/>
      <c r="H62" s="448"/>
      <c r="I62" s="448"/>
      <c r="J62" s="448"/>
      <c r="K62" s="448"/>
      <c r="L62" s="448"/>
      <c r="M62" s="448"/>
      <c r="N62" s="448"/>
      <c r="O62" s="448"/>
      <c r="P62" s="448"/>
      <c r="Q62" s="448"/>
      <c r="R62" s="448"/>
      <c r="S62" s="448"/>
      <c r="T62" s="448"/>
      <c r="U62" s="448"/>
      <c r="V62" s="448"/>
    </row>
    <row r="63">
      <c r="A63" s="448"/>
      <c r="B63" s="448"/>
      <c r="C63" s="448"/>
      <c r="D63" s="448"/>
      <c r="E63" s="448"/>
      <c r="F63" s="448"/>
      <c r="G63" s="448"/>
      <c r="H63" s="448"/>
      <c r="I63" s="448"/>
      <c r="J63" s="448"/>
      <c r="K63" s="448"/>
      <c r="L63" s="448"/>
      <c r="M63" s="448"/>
      <c r="N63" s="448"/>
      <c r="O63" s="448"/>
      <c r="P63" s="448"/>
      <c r="Q63" s="448"/>
      <c r="R63" s="448"/>
      <c r="S63" s="448"/>
      <c r="T63" s="448"/>
      <c r="U63" s="448"/>
      <c r="V63" s="448"/>
    </row>
    <row r="64">
      <c r="A64" s="448"/>
      <c r="B64" s="448"/>
      <c r="C64" s="448"/>
      <c r="D64" s="448"/>
      <c r="E64" s="448"/>
      <c r="F64" s="448"/>
      <c r="G64" s="448"/>
      <c r="H64" s="448"/>
      <c r="I64" s="448"/>
      <c r="J64" s="448"/>
      <c r="K64" s="448"/>
      <c r="L64" s="448"/>
      <c r="M64" s="448"/>
      <c r="N64" s="448"/>
      <c r="O64" s="448"/>
      <c r="P64" s="448"/>
      <c r="Q64" s="448"/>
      <c r="R64" s="448"/>
      <c r="S64" s="448"/>
      <c r="T64" s="448"/>
      <c r="U64" s="448"/>
      <c r="V64" s="448"/>
    </row>
    <row r="65">
      <c r="A65" s="448"/>
      <c r="B65" s="448"/>
      <c r="C65" s="448"/>
      <c r="D65" s="448"/>
      <c r="E65" s="448"/>
      <c r="F65" s="448"/>
      <c r="G65" s="448"/>
      <c r="H65" s="448"/>
      <c r="I65" s="448"/>
      <c r="J65" s="448"/>
      <c r="K65" s="448"/>
      <c r="L65" s="448"/>
      <c r="M65" s="448"/>
      <c r="N65" s="448"/>
      <c r="O65" s="448"/>
      <c r="P65" s="448"/>
      <c r="Q65" s="448"/>
      <c r="R65" s="448"/>
      <c r="S65" s="448"/>
      <c r="T65" s="448"/>
      <c r="U65" s="448"/>
      <c r="V65" s="448"/>
    </row>
    <row r="66">
      <c r="A66" s="448"/>
      <c r="B66" s="448"/>
      <c r="C66" s="448"/>
      <c r="D66" s="448"/>
      <c r="E66" s="448"/>
      <c r="F66" s="448"/>
      <c r="G66" s="448"/>
      <c r="H66" s="448"/>
      <c r="I66" s="448"/>
      <c r="J66" s="448"/>
      <c r="K66" s="448"/>
      <c r="L66" s="448"/>
      <c r="M66" s="448"/>
      <c r="N66" s="448"/>
      <c r="O66" s="448"/>
      <c r="P66" s="448"/>
      <c r="Q66" s="448"/>
      <c r="R66" s="448"/>
      <c r="S66" s="448"/>
      <c r="T66" s="448"/>
      <c r="U66" s="448"/>
      <c r="V66" s="448"/>
    </row>
    <row r="67">
      <c r="A67" s="448"/>
      <c r="B67" s="448"/>
      <c r="C67" s="448"/>
      <c r="D67" s="448"/>
      <c r="E67" s="448"/>
      <c r="F67" s="448"/>
      <c r="G67" s="448"/>
      <c r="H67" s="448"/>
      <c r="I67" s="448"/>
      <c r="J67" s="448"/>
      <c r="K67" s="448"/>
      <c r="L67" s="448"/>
      <c r="M67" s="448"/>
      <c r="N67" s="448"/>
      <c r="O67" s="448"/>
      <c r="P67" s="448"/>
      <c r="Q67" s="448"/>
      <c r="R67" s="448"/>
      <c r="S67" s="448"/>
      <c r="T67" s="448"/>
      <c r="U67" s="448"/>
      <c r="V67" s="448"/>
    </row>
    <row r="68">
      <c r="A68" s="448"/>
      <c r="B68" s="448"/>
      <c r="C68" s="448"/>
      <c r="D68" s="448"/>
      <c r="E68" s="448"/>
      <c r="F68" s="448"/>
      <c r="G68" s="448"/>
      <c r="H68" s="448"/>
      <c r="I68" s="448"/>
      <c r="J68" s="448"/>
      <c r="K68" s="448"/>
      <c r="L68" s="448"/>
      <c r="M68" s="448"/>
      <c r="N68" s="448"/>
      <c r="O68" s="448"/>
      <c r="P68" s="448"/>
      <c r="Q68" s="448"/>
      <c r="R68" s="448"/>
      <c r="S68" s="448"/>
      <c r="T68" s="448"/>
      <c r="U68" s="448"/>
      <c r="V68" s="448"/>
    </row>
    <row r="69">
      <c r="A69" s="448"/>
      <c r="B69" s="448"/>
      <c r="C69" s="448"/>
      <c r="D69" s="448"/>
      <c r="E69" s="448"/>
      <c r="F69" s="448"/>
      <c r="G69" s="448"/>
      <c r="H69" s="448"/>
      <c r="I69" s="448"/>
      <c r="J69" s="448"/>
      <c r="K69" s="448"/>
      <c r="L69" s="448"/>
      <c r="M69" s="448"/>
      <c r="N69" s="448"/>
      <c r="O69" s="448"/>
      <c r="P69" s="448"/>
      <c r="Q69" s="448"/>
      <c r="R69" s="448"/>
      <c r="S69" s="448"/>
      <c r="T69" s="448"/>
      <c r="U69" s="448"/>
      <c r="V69" s="448"/>
    </row>
    <row r="70">
      <c r="A70" s="448"/>
      <c r="B70" s="448"/>
      <c r="C70" s="448"/>
      <c r="D70" s="448"/>
      <c r="E70" s="448"/>
      <c r="F70" s="448"/>
      <c r="G70" s="448"/>
      <c r="H70" s="448"/>
      <c r="I70" s="448"/>
      <c r="J70" s="448"/>
      <c r="K70" s="448"/>
      <c r="L70" s="448"/>
      <c r="M70" s="448"/>
      <c r="N70" s="448"/>
      <c r="O70" s="448"/>
      <c r="P70" s="448"/>
      <c r="Q70" s="448"/>
      <c r="R70" s="448"/>
      <c r="S70" s="448"/>
      <c r="T70" s="448"/>
      <c r="U70" s="448"/>
      <c r="V70" s="448"/>
    </row>
    <row r="71">
      <c r="A71" s="448"/>
      <c r="B71" s="448"/>
      <c r="C71" s="448"/>
      <c r="D71" s="448"/>
      <c r="E71" s="448"/>
      <c r="F71" s="448"/>
      <c r="G71" s="448"/>
      <c r="H71" s="448"/>
      <c r="I71" s="448"/>
      <c r="J71" s="448"/>
      <c r="K71" s="448"/>
      <c r="L71" s="448"/>
      <c r="M71" s="448"/>
      <c r="N71" s="448"/>
      <c r="O71" s="448"/>
      <c r="P71" s="448"/>
      <c r="Q71" s="448"/>
      <c r="R71" s="448"/>
      <c r="S71" s="448"/>
      <c r="T71" s="448"/>
      <c r="U71" s="448"/>
      <c r="V71" s="448"/>
    </row>
    <row r="72">
      <c r="A72" s="448"/>
      <c r="B72" s="448"/>
      <c r="C72" s="448"/>
      <c r="D72" s="448"/>
      <c r="E72" s="448"/>
      <c r="F72" s="448"/>
      <c r="G72" s="448"/>
      <c r="H72" s="448"/>
      <c r="I72" s="448"/>
      <c r="J72" s="448"/>
      <c r="K72" s="448"/>
      <c r="L72" s="448"/>
      <c r="M72" s="448"/>
      <c r="N72" s="448"/>
      <c r="O72" s="448"/>
      <c r="P72" s="448"/>
      <c r="Q72" s="448"/>
      <c r="R72" s="448"/>
      <c r="S72" s="448"/>
      <c r="T72" s="448"/>
      <c r="U72" s="448"/>
      <c r="V72" s="448"/>
    </row>
    <row r="73">
      <c r="A73" s="448"/>
      <c r="B73" s="448"/>
      <c r="C73" s="448"/>
      <c r="D73" s="448"/>
      <c r="E73" s="448"/>
      <c r="F73" s="448"/>
      <c r="G73" s="448"/>
      <c r="H73" s="448"/>
      <c r="I73" s="448"/>
      <c r="J73" s="448"/>
      <c r="K73" s="448"/>
      <c r="L73" s="448"/>
      <c r="M73" s="448"/>
      <c r="N73" s="448"/>
      <c r="O73" s="448"/>
      <c r="P73" s="448"/>
      <c r="Q73" s="448"/>
      <c r="R73" s="448"/>
      <c r="S73" s="448"/>
      <c r="T73" s="448"/>
      <c r="U73" s="448"/>
      <c r="V73" s="448"/>
    </row>
    <row r="74">
      <c r="A74" s="448"/>
      <c r="B74" s="448"/>
      <c r="C74" s="448"/>
      <c r="D74" s="448"/>
      <c r="E74" s="448"/>
      <c r="F74" s="448"/>
      <c r="G74" s="448"/>
      <c r="H74" s="448"/>
      <c r="I74" s="448"/>
      <c r="J74" s="448"/>
      <c r="K74" s="448"/>
      <c r="L74" s="448"/>
      <c r="M74" s="448"/>
      <c r="N74" s="448"/>
      <c r="O74" s="448"/>
      <c r="P74" s="448"/>
      <c r="Q74" s="448"/>
      <c r="R74" s="448"/>
      <c r="S74" s="448"/>
      <c r="T74" s="448"/>
      <c r="U74" s="448"/>
      <c r="V74" s="448"/>
    </row>
    <row r="75">
      <c r="A75" s="448"/>
      <c r="B75" s="448"/>
      <c r="C75" s="448"/>
      <c r="D75" s="448"/>
      <c r="E75" s="448"/>
      <c r="F75" s="448"/>
      <c r="G75" s="448"/>
      <c r="H75" s="448"/>
      <c r="I75" s="448"/>
      <c r="J75" s="448"/>
      <c r="K75" s="448"/>
      <c r="L75" s="448"/>
      <c r="M75" s="448"/>
      <c r="N75" s="448"/>
      <c r="O75" s="448"/>
      <c r="P75" s="448"/>
      <c r="Q75" s="448"/>
      <c r="R75" s="448"/>
      <c r="S75" s="448"/>
      <c r="T75" s="448"/>
      <c r="U75" s="448"/>
      <c r="V75" s="448"/>
    </row>
    <row r="76">
      <c r="A76" s="448"/>
      <c r="B76" s="448"/>
      <c r="C76" s="448"/>
      <c r="D76" s="448"/>
      <c r="E76" s="448"/>
      <c r="F76" s="448"/>
      <c r="G76" s="448"/>
      <c r="H76" s="448"/>
      <c r="I76" s="448"/>
      <c r="J76" s="448"/>
      <c r="K76" s="448"/>
      <c r="L76" s="448"/>
      <c r="M76" s="448"/>
      <c r="N76" s="448"/>
      <c r="O76" s="448"/>
      <c r="P76" s="448"/>
      <c r="Q76" s="448"/>
      <c r="R76" s="448"/>
      <c r="S76" s="448"/>
      <c r="T76" s="448"/>
      <c r="U76" s="448"/>
      <c r="V76" s="448"/>
    </row>
    <row r="77">
      <c r="A77" s="448"/>
      <c r="B77" s="448"/>
      <c r="C77" s="448"/>
      <c r="D77" s="448"/>
      <c r="E77" s="448"/>
      <c r="F77" s="448"/>
      <c r="G77" s="448"/>
      <c r="H77" s="448"/>
      <c r="I77" s="448"/>
      <c r="J77" s="448"/>
      <c r="K77" s="448"/>
      <c r="L77" s="448"/>
      <c r="M77" s="448"/>
      <c r="N77" s="448"/>
      <c r="O77" s="448"/>
      <c r="P77" s="448"/>
      <c r="Q77" s="448"/>
      <c r="R77" s="448"/>
      <c r="S77" s="448"/>
      <c r="T77" s="448"/>
      <c r="U77" s="448"/>
      <c r="V77" s="448"/>
    </row>
    <row r="78">
      <c r="A78" s="448"/>
      <c r="B78" s="448"/>
      <c r="C78" s="448"/>
      <c r="D78" s="448"/>
      <c r="E78" s="448"/>
      <c r="F78" s="448"/>
      <c r="G78" s="448"/>
      <c r="H78" s="448"/>
      <c r="I78" s="448"/>
      <c r="J78" s="448"/>
      <c r="K78" s="448"/>
      <c r="L78" s="448"/>
      <c r="M78" s="448"/>
      <c r="N78" s="448"/>
      <c r="O78" s="448"/>
      <c r="P78" s="448"/>
      <c r="Q78" s="448"/>
      <c r="R78" s="448"/>
      <c r="S78" s="448"/>
      <c r="T78" s="448"/>
      <c r="U78" s="448"/>
      <c r="V78" s="448"/>
    </row>
    <row r="79">
      <c r="A79" s="448"/>
      <c r="B79" s="448"/>
      <c r="C79" s="448"/>
      <c r="D79" s="448"/>
      <c r="E79" s="448"/>
      <c r="F79" s="448"/>
      <c r="G79" s="448"/>
      <c r="H79" s="448"/>
      <c r="I79" s="448"/>
      <c r="J79" s="448"/>
      <c r="K79" s="448"/>
      <c r="L79" s="448"/>
      <c r="M79" s="448"/>
      <c r="N79" s="448"/>
      <c r="O79" s="448"/>
      <c r="P79" s="448"/>
      <c r="Q79" s="448"/>
      <c r="R79" s="448"/>
      <c r="S79" s="448"/>
      <c r="T79" s="448"/>
      <c r="U79" s="448"/>
      <c r="V79" s="448"/>
    </row>
    <row r="80">
      <c r="A80" s="448"/>
      <c r="B80" s="448"/>
      <c r="C80" s="448"/>
      <c r="D80" s="448"/>
      <c r="E80" s="448"/>
      <c r="F80" s="448"/>
      <c r="G80" s="448"/>
      <c r="H80" s="448"/>
      <c r="I80" s="448"/>
      <c r="J80" s="448"/>
      <c r="K80" s="448"/>
      <c r="L80" s="448"/>
      <c r="M80" s="448"/>
      <c r="N80" s="448"/>
      <c r="O80" s="448"/>
      <c r="P80" s="448"/>
      <c r="Q80" s="448"/>
      <c r="R80" s="448"/>
      <c r="S80" s="448"/>
      <c r="T80" s="448"/>
      <c r="U80" s="448"/>
      <c r="V80" s="448"/>
    </row>
    <row r="81">
      <c r="A81" s="448"/>
      <c r="B81" s="448"/>
      <c r="C81" s="448"/>
      <c r="D81" s="448"/>
      <c r="E81" s="448"/>
      <c r="F81" s="448"/>
      <c r="G81" s="448"/>
      <c r="H81" s="448"/>
      <c r="I81" s="448"/>
      <c r="J81" s="448"/>
      <c r="K81" s="448"/>
      <c r="L81" s="448"/>
      <c r="M81" s="448"/>
      <c r="N81" s="448"/>
      <c r="O81" s="448"/>
      <c r="P81" s="448"/>
      <c r="Q81" s="448"/>
      <c r="R81" s="448"/>
      <c r="S81" s="448"/>
      <c r="T81" s="448"/>
      <c r="U81" s="448"/>
      <c r="V81" s="448"/>
    </row>
    <row r="82">
      <c r="A82" s="448"/>
      <c r="B82" s="448"/>
      <c r="C82" s="448"/>
      <c r="D82" s="448"/>
      <c r="E82" s="448"/>
      <c r="F82" s="448"/>
      <c r="G82" s="448"/>
      <c r="H82" s="448"/>
      <c r="I82" s="448"/>
      <c r="J82" s="448"/>
      <c r="K82" s="448"/>
      <c r="L82" s="448"/>
      <c r="M82" s="448"/>
      <c r="N82" s="448"/>
      <c r="O82" s="448"/>
      <c r="P82" s="448"/>
      <c r="Q82" s="448"/>
      <c r="R82" s="448"/>
      <c r="S82" s="448"/>
      <c r="T82" s="448"/>
      <c r="U82" s="448"/>
      <c r="V82" s="448"/>
    </row>
    <row r="83">
      <c r="A83" s="448"/>
      <c r="B83" s="448"/>
      <c r="C83" s="448"/>
      <c r="D83" s="448"/>
      <c r="E83" s="448"/>
      <c r="F83" s="448"/>
      <c r="G83" s="448"/>
      <c r="H83" s="448"/>
      <c r="I83" s="448"/>
      <c r="J83" s="448"/>
      <c r="K83" s="448"/>
      <c r="L83" s="448"/>
      <c r="M83" s="448"/>
      <c r="N83" s="448"/>
      <c r="O83" s="448"/>
      <c r="P83" s="448"/>
      <c r="Q83" s="448"/>
      <c r="R83" s="448"/>
      <c r="S83" s="448"/>
      <c r="T83" s="448"/>
      <c r="U83" s="448"/>
      <c r="V83" s="448"/>
    </row>
    <row r="84">
      <c r="A84" s="448"/>
      <c r="B84" s="448"/>
      <c r="C84" s="448"/>
      <c r="D84" s="448"/>
      <c r="E84" s="448"/>
      <c r="F84" s="448"/>
      <c r="G84" s="448"/>
      <c r="H84" s="448"/>
      <c r="I84" s="448"/>
      <c r="J84" s="448"/>
      <c r="K84" s="448"/>
      <c r="L84" s="448"/>
      <c r="M84" s="448"/>
      <c r="N84" s="448"/>
      <c r="O84" s="448"/>
      <c r="P84" s="448"/>
      <c r="Q84" s="448"/>
      <c r="R84" s="448"/>
      <c r="S84" s="448"/>
      <c r="T84" s="448"/>
      <c r="U84" s="448"/>
      <c r="V84" s="448"/>
    </row>
    <row r="85">
      <c r="A85" s="448"/>
      <c r="B85" s="448"/>
      <c r="C85" s="448"/>
      <c r="D85" s="448"/>
      <c r="E85" s="448"/>
      <c r="F85" s="448"/>
      <c r="G85" s="448"/>
      <c r="H85" s="448"/>
      <c r="I85" s="448"/>
      <c r="J85" s="448"/>
      <c r="K85" s="448"/>
      <c r="L85" s="448"/>
      <c r="M85" s="448"/>
      <c r="N85" s="448"/>
      <c r="O85" s="448"/>
      <c r="P85" s="448"/>
      <c r="Q85" s="448"/>
      <c r="R85" s="448"/>
      <c r="S85" s="448"/>
      <c r="T85" s="448"/>
      <c r="U85" s="448"/>
      <c r="V85" s="448"/>
    </row>
    <row r="86">
      <c r="A86" s="448"/>
      <c r="B86" s="448"/>
      <c r="C86" s="448"/>
      <c r="D86" s="448"/>
      <c r="E86" s="448"/>
      <c r="F86" s="448"/>
      <c r="G86" s="448"/>
      <c r="H86" s="448"/>
      <c r="I86" s="448"/>
      <c r="J86" s="448"/>
      <c r="K86" s="448"/>
      <c r="L86" s="448"/>
      <c r="M86" s="448"/>
      <c r="N86" s="448"/>
      <c r="O86" s="448"/>
      <c r="P86" s="448"/>
      <c r="Q86" s="448"/>
      <c r="R86" s="448"/>
      <c r="S86" s="448"/>
      <c r="T86" s="448"/>
      <c r="U86" s="448"/>
      <c r="V86" s="448"/>
    </row>
    <row r="87">
      <c r="A87" s="448"/>
      <c r="B87" s="448"/>
      <c r="C87" s="448"/>
      <c r="D87" s="448"/>
      <c r="E87" s="448"/>
      <c r="F87" s="448"/>
      <c r="G87" s="448"/>
      <c r="H87" s="448"/>
      <c r="I87" s="448"/>
      <c r="J87" s="448"/>
      <c r="K87" s="448"/>
      <c r="L87" s="448"/>
      <c r="M87" s="448"/>
      <c r="N87" s="448"/>
      <c r="O87" s="448"/>
      <c r="P87" s="448"/>
      <c r="Q87" s="448"/>
      <c r="R87" s="448"/>
      <c r="S87" s="448"/>
      <c r="T87" s="448"/>
      <c r="U87" s="448"/>
      <c r="V87" s="448"/>
    </row>
    <row r="88">
      <c r="A88" s="448"/>
      <c r="B88" s="448"/>
      <c r="C88" s="448"/>
      <c r="D88" s="448"/>
      <c r="E88" s="448"/>
      <c r="F88" s="448"/>
      <c r="G88" s="448"/>
      <c r="H88" s="448"/>
      <c r="I88" s="448"/>
      <c r="J88" s="448"/>
      <c r="K88" s="448"/>
      <c r="L88" s="448"/>
      <c r="M88" s="448"/>
      <c r="N88" s="448"/>
      <c r="O88" s="448"/>
      <c r="P88" s="448"/>
      <c r="Q88" s="448"/>
      <c r="R88" s="448"/>
      <c r="S88" s="448"/>
      <c r="T88" s="448"/>
      <c r="U88" s="448"/>
      <c r="V88" s="448"/>
    </row>
    <row r="89">
      <c r="A89" s="448"/>
      <c r="B89" s="448"/>
      <c r="C89" s="448"/>
      <c r="D89" s="448"/>
      <c r="E89" s="448"/>
      <c r="F89" s="448"/>
      <c r="G89" s="448"/>
      <c r="H89" s="448"/>
      <c r="I89" s="448"/>
      <c r="J89" s="448"/>
      <c r="K89" s="448"/>
      <c r="L89" s="448"/>
      <c r="M89" s="448"/>
      <c r="N89" s="448"/>
      <c r="O89" s="448"/>
      <c r="P89" s="448"/>
      <c r="Q89" s="448"/>
      <c r="R89" s="448"/>
      <c r="S89" s="448"/>
      <c r="T89" s="448"/>
      <c r="U89" s="448"/>
      <c r="V89" s="448"/>
    </row>
    <row r="90">
      <c r="A90" s="448"/>
      <c r="B90" s="448"/>
      <c r="C90" s="448"/>
      <c r="D90" s="448"/>
      <c r="E90" s="448"/>
      <c r="F90" s="448"/>
      <c r="G90" s="448"/>
      <c r="H90" s="448"/>
      <c r="I90" s="448"/>
      <c r="J90" s="448"/>
      <c r="K90" s="448"/>
      <c r="L90" s="448"/>
      <c r="M90" s="448"/>
      <c r="N90" s="448"/>
      <c r="O90" s="448"/>
      <c r="P90" s="448"/>
      <c r="Q90" s="448"/>
      <c r="R90" s="448"/>
      <c r="S90" s="448"/>
      <c r="T90" s="448"/>
      <c r="U90" s="448"/>
      <c r="V90" s="448"/>
    </row>
    <row r="91">
      <c r="A91" s="448"/>
      <c r="B91" s="448"/>
      <c r="C91" s="448"/>
      <c r="D91" s="448"/>
      <c r="E91" s="448"/>
      <c r="F91" s="448"/>
      <c r="G91" s="448"/>
      <c r="H91" s="448"/>
      <c r="I91" s="448"/>
      <c r="J91" s="448"/>
      <c r="K91" s="448"/>
      <c r="L91" s="448"/>
      <c r="M91" s="448"/>
      <c r="N91" s="448"/>
      <c r="O91" s="448"/>
      <c r="P91" s="448"/>
      <c r="Q91" s="448"/>
      <c r="R91" s="448"/>
      <c r="S91" s="448"/>
      <c r="T91" s="448"/>
      <c r="U91" s="448"/>
      <c r="V91" s="448"/>
    </row>
    <row r="92">
      <c r="A92" s="448"/>
      <c r="B92" s="448"/>
      <c r="C92" s="448"/>
      <c r="D92" s="448"/>
      <c r="E92" s="448"/>
      <c r="F92" s="448"/>
      <c r="G92" s="448"/>
      <c r="H92" s="448"/>
      <c r="I92" s="448"/>
      <c r="J92" s="448"/>
      <c r="K92" s="448"/>
      <c r="L92" s="448"/>
      <c r="M92" s="448"/>
      <c r="N92" s="448"/>
      <c r="O92" s="448"/>
      <c r="P92" s="448"/>
      <c r="Q92" s="448"/>
      <c r="R92" s="448"/>
      <c r="S92" s="448"/>
      <c r="T92" s="448"/>
      <c r="U92" s="448"/>
      <c r="V92" s="448"/>
    </row>
    <row r="93">
      <c r="A93" s="448"/>
      <c r="B93" s="448"/>
      <c r="C93" s="448"/>
      <c r="D93" s="448"/>
      <c r="E93" s="448"/>
      <c r="F93" s="448"/>
      <c r="G93" s="448"/>
      <c r="H93" s="448"/>
      <c r="I93" s="448"/>
      <c r="J93" s="448"/>
      <c r="K93" s="448"/>
      <c r="L93" s="448"/>
      <c r="M93" s="448"/>
      <c r="N93" s="448"/>
      <c r="O93" s="448"/>
      <c r="P93" s="448"/>
      <c r="Q93" s="448"/>
      <c r="R93" s="448"/>
      <c r="S93" s="448"/>
      <c r="T93" s="448"/>
      <c r="U93" s="448"/>
      <c r="V93" s="448"/>
    </row>
    <row r="94">
      <c r="A94" s="448"/>
      <c r="B94" s="448"/>
      <c r="C94" s="448"/>
      <c r="D94" s="448"/>
      <c r="E94" s="448"/>
      <c r="F94" s="448"/>
      <c r="G94" s="448"/>
      <c r="H94" s="448"/>
      <c r="I94" s="448"/>
      <c r="J94" s="448"/>
      <c r="K94" s="448"/>
      <c r="L94" s="448"/>
      <c r="M94" s="448"/>
      <c r="N94" s="448"/>
      <c r="O94" s="448"/>
      <c r="P94" s="448"/>
      <c r="Q94" s="448"/>
      <c r="R94" s="448"/>
      <c r="S94" s="448"/>
      <c r="T94" s="448"/>
      <c r="U94" s="448"/>
      <c r="V94" s="448"/>
    </row>
    <row r="95">
      <c r="A95" s="448"/>
      <c r="B95" s="448"/>
      <c r="C95" s="448"/>
      <c r="D95" s="448"/>
      <c r="E95" s="448"/>
      <c r="F95" s="448"/>
      <c r="G95" s="448"/>
      <c r="H95" s="448"/>
      <c r="I95" s="448"/>
      <c r="J95" s="448"/>
      <c r="K95" s="448"/>
      <c r="L95" s="448"/>
      <c r="M95" s="448"/>
      <c r="N95" s="448"/>
      <c r="O95" s="448"/>
      <c r="P95" s="448"/>
      <c r="Q95" s="448"/>
      <c r="R95" s="448"/>
      <c r="S95" s="448"/>
      <c r="T95" s="448"/>
      <c r="U95" s="448"/>
      <c r="V95" s="448"/>
    </row>
    <row r="96">
      <c r="A96" s="448"/>
      <c r="B96" s="448"/>
      <c r="C96" s="448"/>
      <c r="D96" s="448"/>
      <c r="E96" s="448"/>
      <c r="F96" s="448"/>
      <c r="G96" s="448"/>
      <c r="H96" s="448"/>
      <c r="I96" s="448"/>
      <c r="J96" s="448"/>
      <c r="K96" s="448"/>
      <c r="L96" s="448"/>
      <c r="M96" s="448"/>
      <c r="N96" s="448"/>
      <c r="O96" s="448"/>
      <c r="P96" s="448"/>
      <c r="Q96" s="448"/>
      <c r="R96" s="448"/>
      <c r="S96" s="448"/>
      <c r="T96" s="448"/>
      <c r="U96" s="448"/>
      <c r="V96" s="448"/>
    </row>
    <row r="97">
      <c r="A97" s="448"/>
      <c r="B97" s="448"/>
      <c r="C97" s="448"/>
      <c r="D97" s="448"/>
      <c r="E97" s="448"/>
      <c r="F97" s="448"/>
      <c r="G97" s="448"/>
      <c r="H97" s="448"/>
      <c r="I97" s="448"/>
      <c r="J97" s="448"/>
      <c r="K97" s="448"/>
      <c r="L97" s="448"/>
      <c r="M97" s="448"/>
      <c r="N97" s="448"/>
      <c r="O97" s="448"/>
      <c r="P97" s="448"/>
      <c r="Q97" s="448"/>
      <c r="R97" s="448"/>
      <c r="S97" s="448"/>
      <c r="T97" s="448"/>
      <c r="U97" s="448"/>
      <c r="V97" s="448"/>
    </row>
    <row r="98">
      <c r="A98" s="448"/>
      <c r="B98" s="448"/>
      <c r="C98" s="448"/>
      <c r="D98" s="448"/>
      <c r="E98" s="448"/>
      <c r="F98" s="448"/>
      <c r="G98" s="448"/>
      <c r="H98" s="448"/>
      <c r="I98" s="448"/>
      <c r="J98" s="448"/>
      <c r="K98" s="448"/>
      <c r="L98" s="448"/>
      <c r="M98" s="448"/>
      <c r="N98" s="448"/>
      <c r="O98" s="448"/>
      <c r="P98" s="448"/>
      <c r="Q98" s="448"/>
      <c r="R98" s="448"/>
      <c r="S98" s="448"/>
      <c r="T98" s="448"/>
      <c r="U98" s="448"/>
      <c r="V98" s="448"/>
    </row>
    <row r="99">
      <c r="A99" s="448"/>
      <c r="B99" s="448"/>
      <c r="C99" s="448"/>
      <c r="D99" s="448"/>
      <c r="E99" s="448"/>
      <c r="F99" s="448"/>
      <c r="G99" s="448"/>
      <c r="H99" s="448"/>
      <c r="I99" s="448"/>
      <c r="J99" s="448"/>
      <c r="K99" s="448"/>
      <c r="L99" s="448"/>
      <c r="M99" s="448"/>
      <c r="N99" s="448"/>
      <c r="O99" s="448"/>
      <c r="P99" s="448"/>
      <c r="Q99" s="448"/>
      <c r="R99" s="448"/>
      <c r="S99" s="448"/>
      <c r="T99" s="448"/>
      <c r="U99" s="448"/>
      <c r="V99" s="448"/>
    </row>
    <row r="100">
      <c r="A100" s="448"/>
      <c r="B100" s="448"/>
      <c r="C100" s="448"/>
      <c r="D100" s="448"/>
      <c r="E100" s="448"/>
      <c r="F100" s="448"/>
      <c r="G100" s="448"/>
      <c r="H100" s="448"/>
      <c r="I100" s="448"/>
      <c r="J100" s="448"/>
      <c r="K100" s="448"/>
      <c r="L100" s="448"/>
      <c r="M100" s="448"/>
      <c r="N100" s="448"/>
      <c r="O100" s="448"/>
      <c r="P100" s="448"/>
      <c r="Q100" s="448"/>
      <c r="R100" s="448"/>
      <c r="S100" s="448"/>
      <c r="T100" s="448"/>
      <c r="U100" s="448"/>
      <c r="V100" s="448"/>
    </row>
    <row r="101">
      <c r="A101" s="448"/>
      <c r="B101" s="448"/>
      <c r="C101" s="448"/>
      <c r="D101" s="448"/>
      <c r="E101" s="448"/>
      <c r="F101" s="448"/>
      <c r="G101" s="448"/>
      <c r="H101" s="448"/>
      <c r="I101" s="448"/>
      <c r="J101" s="448"/>
      <c r="K101" s="448"/>
      <c r="L101" s="448"/>
      <c r="M101" s="448"/>
      <c r="N101" s="448"/>
      <c r="O101" s="448"/>
      <c r="P101" s="448"/>
      <c r="Q101" s="448"/>
      <c r="R101" s="448"/>
      <c r="S101" s="448"/>
      <c r="T101" s="448"/>
      <c r="U101" s="448"/>
      <c r="V101" s="448"/>
    </row>
    <row r="102">
      <c r="A102" s="448"/>
      <c r="B102" s="448"/>
      <c r="C102" s="448"/>
      <c r="D102" s="448"/>
      <c r="E102" s="448"/>
      <c r="F102" s="448"/>
      <c r="G102" s="448"/>
      <c r="H102" s="448"/>
      <c r="I102" s="448"/>
      <c r="J102" s="448"/>
      <c r="K102" s="448"/>
      <c r="L102" s="448"/>
      <c r="M102" s="448"/>
      <c r="N102" s="448"/>
      <c r="O102" s="448"/>
      <c r="P102" s="448"/>
      <c r="Q102" s="448"/>
      <c r="R102" s="448"/>
      <c r="S102" s="448"/>
      <c r="T102" s="448"/>
      <c r="U102" s="448"/>
      <c r="V102" s="448"/>
    </row>
    <row r="103">
      <c r="A103" s="448"/>
      <c r="B103" s="448"/>
      <c r="C103" s="448"/>
      <c r="D103" s="448"/>
      <c r="E103" s="448"/>
      <c r="F103" s="448"/>
      <c r="G103" s="448"/>
      <c r="H103" s="448"/>
      <c r="I103" s="448"/>
      <c r="J103" s="448"/>
      <c r="K103" s="448"/>
      <c r="L103" s="448"/>
      <c r="M103" s="448"/>
      <c r="N103" s="448"/>
      <c r="O103" s="448"/>
      <c r="P103" s="448"/>
      <c r="Q103" s="448"/>
      <c r="R103" s="448"/>
      <c r="S103" s="448"/>
      <c r="T103" s="448"/>
      <c r="U103" s="448"/>
      <c r="V103" s="448"/>
    </row>
    <row r="104">
      <c r="A104" s="448"/>
      <c r="B104" s="448"/>
      <c r="C104" s="448"/>
      <c r="D104" s="448"/>
      <c r="E104" s="448"/>
      <c r="F104" s="448"/>
      <c r="G104" s="448"/>
      <c r="H104" s="448"/>
      <c r="I104" s="448"/>
      <c r="J104" s="448"/>
      <c r="K104" s="448"/>
      <c r="L104" s="448"/>
      <c r="M104" s="448"/>
      <c r="N104" s="448"/>
      <c r="O104" s="448"/>
      <c r="P104" s="448"/>
      <c r="Q104" s="448"/>
      <c r="R104" s="448"/>
      <c r="S104" s="448"/>
      <c r="T104" s="448"/>
      <c r="U104" s="448"/>
      <c r="V104" s="448"/>
    </row>
    <row r="105">
      <c r="A105" s="448"/>
      <c r="B105" s="448"/>
      <c r="C105" s="448"/>
      <c r="D105" s="448"/>
      <c r="E105" s="448"/>
      <c r="F105" s="448"/>
      <c r="G105" s="448"/>
      <c r="H105" s="448"/>
      <c r="I105" s="448"/>
      <c r="J105" s="448"/>
      <c r="K105" s="448"/>
      <c r="L105" s="448"/>
      <c r="M105" s="448"/>
      <c r="N105" s="448"/>
      <c r="O105" s="448"/>
      <c r="P105" s="448"/>
      <c r="Q105" s="448"/>
      <c r="R105" s="448"/>
      <c r="S105" s="448"/>
      <c r="T105" s="448"/>
      <c r="U105" s="448"/>
      <c r="V105" s="448"/>
    </row>
    <row r="106">
      <c r="A106" s="448"/>
      <c r="B106" s="448"/>
      <c r="C106" s="448"/>
      <c r="D106" s="448"/>
      <c r="E106" s="448"/>
      <c r="F106" s="448"/>
      <c r="G106" s="448"/>
      <c r="H106" s="448"/>
      <c r="I106" s="448"/>
      <c r="J106" s="448"/>
      <c r="K106" s="448"/>
      <c r="L106" s="448"/>
      <c r="M106" s="448"/>
      <c r="N106" s="448"/>
      <c r="O106" s="448"/>
      <c r="P106" s="448"/>
      <c r="Q106" s="448"/>
      <c r="R106" s="448"/>
      <c r="S106" s="448"/>
      <c r="T106" s="448"/>
      <c r="U106" s="448"/>
      <c r="V106" s="448"/>
    </row>
    <row r="107">
      <c r="A107" s="448"/>
      <c r="B107" s="448"/>
      <c r="C107" s="448"/>
      <c r="D107" s="448"/>
      <c r="E107" s="448"/>
      <c r="F107" s="448"/>
      <c r="G107" s="448"/>
      <c r="H107" s="448"/>
      <c r="I107" s="448"/>
      <c r="J107" s="448"/>
      <c r="K107" s="448"/>
      <c r="L107" s="448"/>
      <c r="M107" s="448"/>
      <c r="N107" s="448"/>
      <c r="O107" s="448"/>
      <c r="P107" s="448"/>
      <c r="Q107" s="448"/>
      <c r="R107" s="448"/>
      <c r="S107" s="448"/>
      <c r="T107" s="448"/>
      <c r="U107" s="448"/>
      <c r="V107" s="448"/>
    </row>
    <row r="108">
      <c r="A108" s="448"/>
      <c r="B108" s="448"/>
      <c r="C108" s="448"/>
      <c r="D108" s="448"/>
      <c r="E108" s="448"/>
      <c r="F108" s="448"/>
      <c r="G108" s="448"/>
      <c r="H108" s="448"/>
      <c r="I108" s="448"/>
      <c r="J108" s="448"/>
      <c r="K108" s="448"/>
      <c r="L108" s="448"/>
      <c r="M108" s="448"/>
      <c r="N108" s="448"/>
      <c r="O108" s="448"/>
      <c r="P108" s="448"/>
      <c r="Q108" s="448"/>
      <c r="R108" s="448"/>
      <c r="S108" s="448"/>
      <c r="T108" s="448"/>
      <c r="U108" s="448"/>
      <c r="V108" s="448"/>
    </row>
    <row r="109">
      <c r="A109" s="448"/>
      <c r="B109" s="448"/>
      <c r="C109" s="448"/>
      <c r="D109" s="448"/>
      <c r="E109" s="448"/>
      <c r="F109" s="448"/>
      <c r="G109" s="448"/>
      <c r="H109" s="448"/>
      <c r="I109" s="448"/>
      <c r="J109" s="448"/>
      <c r="K109" s="448"/>
      <c r="L109" s="448"/>
      <c r="M109" s="448"/>
      <c r="N109" s="448"/>
      <c r="O109" s="448"/>
      <c r="P109" s="448"/>
      <c r="Q109" s="448"/>
      <c r="R109" s="448"/>
      <c r="S109" s="448"/>
      <c r="T109" s="448"/>
      <c r="U109" s="448"/>
      <c r="V109" s="448"/>
    </row>
    <row r="110">
      <c r="A110" s="448"/>
      <c r="B110" s="448"/>
      <c r="C110" s="448"/>
      <c r="D110" s="448"/>
      <c r="E110" s="448"/>
      <c r="F110" s="448"/>
      <c r="G110" s="448"/>
      <c r="H110" s="448"/>
      <c r="I110" s="448"/>
      <c r="J110" s="448"/>
      <c r="K110" s="448"/>
      <c r="L110" s="448"/>
      <c r="M110" s="448"/>
      <c r="N110" s="448"/>
      <c r="O110" s="448"/>
      <c r="P110" s="448"/>
      <c r="Q110" s="448"/>
      <c r="R110" s="448"/>
      <c r="S110" s="448"/>
      <c r="T110" s="448"/>
      <c r="U110" s="448"/>
      <c r="V110" s="448"/>
    </row>
    <row r="111">
      <c r="A111" s="448"/>
      <c r="B111" s="448"/>
      <c r="C111" s="448"/>
      <c r="D111" s="448"/>
      <c r="E111" s="448"/>
      <c r="F111" s="448"/>
      <c r="G111" s="448"/>
      <c r="H111" s="448"/>
      <c r="I111" s="448"/>
      <c r="J111" s="448"/>
      <c r="K111" s="448"/>
      <c r="L111" s="448"/>
      <c r="M111" s="448"/>
      <c r="N111" s="448"/>
      <c r="O111" s="448"/>
      <c r="P111" s="448"/>
      <c r="Q111" s="448"/>
      <c r="R111" s="448"/>
      <c r="S111" s="448"/>
      <c r="T111" s="448"/>
      <c r="U111" s="448"/>
      <c r="V111" s="448"/>
    </row>
    <row r="112">
      <c r="A112" s="448"/>
      <c r="B112" s="448"/>
      <c r="C112" s="448"/>
      <c r="D112" s="448"/>
      <c r="E112" s="448"/>
      <c r="F112" s="448"/>
      <c r="G112" s="448"/>
      <c r="H112" s="448"/>
      <c r="I112" s="448"/>
      <c r="J112" s="448"/>
      <c r="K112" s="448"/>
      <c r="L112" s="448"/>
      <c r="M112" s="448"/>
      <c r="N112" s="448"/>
      <c r="O112" s="448"/>
      <c r="P112" s="448"/>
      <c r="Q112" s="448"/>
      <c r="R112" s="448"/>
      <c r="S112" s="448"/>
      <c r="T112" s="448"/>
      <c r="U112" s="448"/>
      <c r="V112" s="448"/>
    </row>
    <row r="113">
      <c r="A113" s="448"/>
      <c r="B113" s="448"/>
      <c r="C113" s="448"/>
      <c r="D113" s="448"/>
      <c r="E113" s="448"/>
      <c r="F113" s="448"/>
      <c r="G113" s="448"/>
      <c r="H113" s="448"/>
      <c r="I113" s="448"/>
      <c r="J113" s="448"/>
      <c r="K113" s="448"/>
      <c r="L113" s="448"/>
      <c r="M113" s="448"/>
      <c r="N113" s="448"/>
      <c r="O113" s="448"/>
      <c r="P113" s="448"/>
      <c r="Q113" s="448"/>
      <c r="R113" s="448"/>
      <c r="S113" s="448"/>
      <c r="T113" s="448"/>
      <c r="U113" s="448"/>
      <c r="V113" s="448"/>
    </row>
    <row r="114">
      <c r="A114" s="448"/>
      <c r="B114" s="448"/>
      <c r="C114" s="448"/>
      <c r="D114" s="448"/>
      <c r="E114" s="448"/>
      <c r="F114" s="448"/>
      <c r="G114" s="448"/>
      <c r="H114" s="448"/>
      <c r="I114" s="448"/>
      <c r="J114" s="448"/>
      <c r="K114" s="448"/>
      <c r="L114" s="448"/>
      <c r="M114" s="448"/>
      <c r="N114" s="448"/>
      <c r="O114" s="448"/>
      <c r="P114" s="448"/>
      <c r="Q114" s="448"/>
      <c r="R114" s="448"/>
      <c r="S114" s="448"/>
      <c r="T114" s="448"/>
      <c r="U114" s="448"/>
      <c r="V114" s="448"/>
    </row>
    <row r="115">
      <c r="A115" s="448"/>
      <c r="B115" s="448"/>
      <c r="C115" s="448"/>
      <c r="D115" s="448"/>
      <c r="E115" s="448"/>
      <c r="F115" s="448"/>
      <c r="G115" s="448"/>
      <c r="H115" s="448"/>
      <c r="I115" s="448"/>
      <c r="J115" s="448"/>
      <c r="K115" s="448"/>
      <c r="L115" s="448"/>
      <c r="M115" s="448"/>
      <c r="N115" s="448"/>
      <c r="O115" s="448"/>
      <c r="P115" s="448"/>
      <c r="Q115" s="448"/>
      <c r="R115" s="448"/>
      <c r="S115" s="448"/>
      <c r="T115" s="448"/>
      <c r="U115" s="448"/>
      <c r="V115" s="448"/>
    </row>
    <row r="116">
      <c r="A116" s="448"/>
      <c r="B116" s="448"/>
      <c r="C116" s="448"/>
      <c r="D116" s="448"/>
      <c r="E116" s="448"/>
      <c r="F116" s="448"/>
      <c r="G116" s="448"/>
      <c r="H116" s="448"/>
      <c r="I116" s="448"/>
      <c r="J116" s="448"/>
      <c r="K116" s="448"/>
      <c r="L116" s="448"/>
      <c r="M116" s="448"/>
      <c r="N116" s="448"/>
      <c r="O116" s="448"/>
      <c r="P116" s="448"/>
      <c r="Q116" s="448"/>
      <c r="R116" s="448"/>
      <c r="S116" s="448"/>
      <c r="T116" s="448"/>
      <c r="U116" s="448"/>
      <c r="V116" s="448"/>
    </row>
    <row r="117">
      <c r="A117" s="448"/>
      <c r="B117" s="448"/>
      <c r="C117" s="448"/>
      <c r="D117" s="448"/>
      <c r="E117" s="448"/>
      <c r="F117" s="448"/>
      <c r="G117" s="448"/>
      <c r="H117" s="448"/>
      <c r="I117" s="448"/>
      <c r="J117" s="448"/>
      <c r="K117" s="448"/>
      <c r="L117" s="448"/>
      <c r="M117" s="448"/>
      <c r="N117" s="448"/>
      <c r="O117" s="448"/>
      <c r="P117" s="448"/>
      <c r="Q117" s="448"/>
      <c r="R117" s="448"/>
      <c r="S117" s="448"/>
      <c r="T117" s="448"/>
      <c r="U117" s="448"/>
      <c r="V117" s="448"/>
    </row>
    <row r="118">
      <c r="A118" s="448"/>
      <c r="B118" s="448"/>
      <c r="C118" s="448"/>
      <c r="D118" s="448"/>
      <c r="E118" s="448"/>
      <c r="F118" s="448"/>
      <c r="G118" s="448"/>
      <c r="H118" s="448"/>
      <c r="I118" s="448"/>
      <c r="J118" s="448"/>
      <c r="K118" s="448"/>
      <c r="L118" s="448"/>
      <c r="M118" s="448"/>
      <c r="N118" s="448"/>
      <c r="O118" s="448"/>
      <c r="P118" s="448"/>
      <c r="Q118" s="448"/>
      <c r="R118" s="448"/>
      <c r="S118" s="448"/>
      <c r="T118" s="448"/>
      <c r="U118" s="448"/>
      <c r="V118" s="448"/>
    </row>
    <row r="119">
      <c r="A119" s="448"/>
      <c r="B119" s="448"/>
      <c r="C119" s="448"/>
      <c r="D119" s="448"/>
      <c r="E119" s="448"/>
      <c r="F119" s="448"/>
      <c r="G119" s="448"/>
      <c r="H119" s="448"/>
      <c r="I119" s="448"/>
      <c r="J119" s="448"/>
      <c r="K119" s="448"/>
      <c r="L119" s="448"/>
      <c r="M119" s="448"/>
      <c r="N119" s="448"/>
      <c r="O119" s="448"/>
      <c r="P119" s="448"/>
      <c r="Q119" s="448"/>
      <c r="R119" s="448"/>
      <c r="S119" s="448"/>
      <c r="T119" s="448"/>
      <c r="U119" s="448"/>
      <c r="V119" s="448"/>
    </row>
    <row r="120">
      <c r="A120" s="448"/>
      <c r="B120" s="448"/>
      <c r="C120" s="448"/>
      <c r="D120" s="448"/>
      <c r="E120" s="448"/>
      <c r="F120" s="448"/>
      <c r="G120" s="448"/>
      <c r="H120" s="448"/>
      <c r="I120" s="448"/>
      <c r="J120" s="448"/>
      <c r="K120" s="448"/>
      <c r="L120" s="448"/>
      <c r="M120" s="448"/>
      <c r="N120" s="448"/>
      <c r="O120" s="448"/>
      <c r="P120" s="448"/>
      <c r="Q120" s="448"/>
      <c r="R120" s="448"/>
      <c r="S120" s="448"/>
      <c r="T120" s="448"/>
      <c r="U120" s="448"/>
      <c r="V120" s="448"/>
    </row>
    <row r="121">
      <c r="A121" s="448"/>
      <c r="B121" s="448"/>
      <c r="C121" s="448"/>
      <c r="D121" s="448"/>
      <c r="E121" s="448"/>
      <c r="F121" s="448"/>
      <c r="G121" s="448"/>
      <c r="H121" s="448"/>
      <c r="I121" s="448"/>
      <c r="J121" s="448"/>
      <c r="K121" s="448"/>
      <c r="L121" s="448"/>
      <c r="M121" s="448"/>
      <c r="N121" s="448"/>
      <c r="O121" s="448"/>
      <c r="P121" s="448"/>
      <c r="Q121" s="448"/>
      <c r="R121" s="448"/>
      <c r="S121" s="448"/>
      <c r="T121" s="448"/>
      <c r="U121" s="448"/>
      <c r="V121" s="448"/>
    </row>
    <row r="122">
      <c r="A122" s="448"/>
      <c r="B122" s="448"/>
      <c r="C122" s="448"/>
      <c r="D122" s="448"/>
      <c r="E122" s="448"/>
      <c r="F122" s="448"/>
      <c r="G122" s="448"/>
      <c r="H122" s="448"/>
      <c r="I122" s="448"/>
      <c r="J122" s="448"/>
      <c r="K122" s="448"/>
      <c r="L122" s="448"/>
      <c r="M122" s="448"/>
      <c r="N122" s="448"/>
      <c r="O122" s="448"/>
      <c r="P122" s="448"/>
      <c r="Q122" s="448"/>
      <c r="R122" s="448"/>
      <c r="S122" s="448"/>
      <c r="T122" s="448"/>
      <c r="U122" s="448"/>
      <c r="V122" s="448"/>
    </row>
    <row r="123">
      <c r="A123" s="448"/>
      <c r="B123" s="448"/>
      <c r="C123" s="448"/>
      <c r="D123" s="448"/>
      <c r="E123" s="448"/>
      <c r="F123" s="448"/>
      <c r="G123" s="448"/>
      <c r="H123" s="448"/>
      <c r="I123" s="448"/>
      <c r="J123" s="448"/>
      <c r="K123" s="448"/>
      <c r="L123" s="448"/>
      <c r="M123" s="448"/>
      <c r="N123" s="448"/>
      <c r="O123" s="448"/>
      <c r="P123" s="448"/>
      <c r="Q123" s="448"/>
      <c r="R123" s="448"/>
      <c r="S123" s="448"/>
      <c r="T123" s="448"/>
      <c r="U123" s="448"/>
      <c r="V123" s="448"/>
    </row>
    <row r="124">
      <c r="A124" s="448"/>
      <c r="B124" s="448"/>
      <c r="C124" s="448"/>
      <c r="D124" s="448"/>
      <c r="E124" s="448"/>
      <c r="F124" s="448"/>
      <c r="G124" s="448"/>
      <c r="H124" s="448"/>
      <c r="I124" s="448"/>
      <c r="J124" s="448"/>
      <c r="K124" s="448"/>
      <c r="L124" s="448"/>
      <c r="M124" s="448"/>
      <c r="N124" s="448"/>
      <c r="O124" s="448"/>
      <c r="P124" s="448"/>
      <c r="Q124" s="448"/>
      <c r="R124" s="448"/>
      <c r="S124" s="448"/>
      <c r="T124" s="448"/>
      <c r="U124" s="448"/>
      <c r="V124" s="448"/>
    </row>
    <row r="125">
      <c r="A125" s="448"/>
      <c r="B125" s="448"/>
      <c r="C125" s="448"/>
      <c r="D125" s="448"/>
      <c r="E125" s="448"/>
      <c r="F125" s="448"/>
      <c r="G125" s="448"/>
      <c r="H125" s="448"/>
      <c r="I125" s="448"/>
      <c r="J125" s="448"/>
      <c r="K125" s="448"/>
      <c r="L125" s="448"/>
      <c r="M125" s="448"/>
      <c r="N125" s="448"/>
      <c r="O125" s="448"/>
      <c r="P125" s="448"/>
      <c r="Q125" s="448"/>
      <c r="R125" s="448"/>
      <c r="S125" s="448"/>
      <c r="T125" s="448"/>
      <c r="U125" s="448"/>
      <c r="V125" s="448"/>
    </row>
    <row r="126">
      <c r="A126" s="448"/>
      <c r="B126" s="448"/>
      <c r="C126" s="448"/>
      <c r="D126" s="448"/>
      <c r="E126" s="448"/>
      <c r="F126" s="448"/>
      <c r="G126" s="448"/>
      <c r="H126" s="448"/>
      <c r="I126" s="448"/>
      <c r="J126" s="448"/>
      <c r="K126" s="448"/>
      <c r="L126" s="448"/>
      <c r="M126" s="448"/>
      <c r="N126" s="448"/>
      <c r="O126" s="448"/>
      <c r="P126" s="448"/>
      <c r="Q126" s="448"/>
      <c r="R126" s="448"/>
      <c r="S126" s="448"/>
      <c r="T126" s="448"/>
      <c r="U126" s="448"/>
      <c r="V126" s="448"/>
    </row>
    <row r="127">
      <c r="A127" s="448"/>
      <c r="B127" s="448"/>
      <c r="C127" s="448"/>
      <c r="D127" s="448"/>
      <c r="E127" s="448"/>
      <c r="F127" s="448"/>
      <c r="G127" s="448"/>
      <c r="H127" s="448"/>
      <c r="I127" s="448"/>
      <c r="J127" s="448"/>
      <c r="K127" s="448"/>
      <c r="L127" s="448"/>
      <c r="M127" s="448"/>
      <c r="N127" s="448"/>
      <c r="O127" s="448"/>
      <c r="P127" s="448"/>
      <c r="Q127" s="448"/>
      <c r="R127" s="448"/>
      <c r="S127" s="448"/>
      <c r="T127" s="448"/>
      <c r="U127" s="448"/>
      <c r="V127" s="448"/>
    </row>
    <row r="128">
      <c r="A128" s="448"/>
      <c r="B128" s="448"/>
      <c r="C128" s="448"/>
      <c r="D128" s="448"/>
      <c r="E128" s="448"/>
      <c r="F128" s="448"/>
      <c r="G128" s="448"/>
      <c r="H128" s="448"/>
      <c r="I128" s="448"/>
      <c r="J128" s="448"/>
      <c r="K128" s="448"/>
      <c r="L128" s="448"/>
      <c r="M128" s="448"/>
      <c r="N128" s="448"/>
      <c r="O128" s="448"/>
      <c r="P128" s="448"/>
      <c r="Q128" s="448"/>
      <c r="R128" s="448"/>
      <c r="S128" s="448"/>
      <c r="T128" s="448"/>
      <c r="U128" s="448"/>
      <c r="V128" s="448"/>
    </row>
    <row r="129">
      <c r="A129" s="448"/>
      <c r="B129" s="448"/>
      <c r="C129" s="448"/>
      <c r="D129" s="448"/>
      <c r="E129" s="448"/>
      <c r="F129" s="448"/>
      <c r="G129" s="448"/>
      <c r="H129" s="448"/>
      <c r="I129" s="448"/>
      <c r="J129" s="448"/>
      <c r="K129" s="448"/>
      <c r="L129" s="448"/>
      <c r="M129" s="448"/>
      <c r="N129" s="448"/>
      <c r="O129" s="448"/>
      <c r="P129" s="448"/>
      <c r="Q129" s="448"/>
      <c r="R129" s="448"/>
      <c r="S129" s="448"/>
      <c r="T129" s="448"/>
      <c r="U129" s="448"/>
      <c r="V129" s="448"/>
    </row>
    <row r="130">
      <c r="A130" s="448"/>
      <c r="B130" s="448"/>
      <c r="C130" s="448"/>
      <c r="D130" s="448"/>
      <c r="E130" s="448"/>
      <c r="F130" s="448"/>
      <c r="G130" s="448"/>
      <c r="H130" s="448"/>
      <c r="I130" s="448"/>
      <c r="J130" s="448"/>
      <c r="K130" s="448"/>
      <c r="L130" s="448"/>
      <c r="M130" s="448"/>
      <c r="N130" s="448"/>
      <c r="O130" s="448"/>
      <c r="P130" s="448"/>
      <c r="Q130" s="448"/>
      <c r="R130" s="448"/>
      <c r="S130" s="448"/>
      <c r="T130" s="448"/>
      <c r="U130" s="448"/>
      <c r="V130" s="448"/>
    </row>
    <row r="131">
      <c r="A131" s="448"/>
      <c r="B131" s="448"/>
      <c r="C131" s="448"/>
      <c r="D131" s="448"/>
      <c r="E131" s="448"/>
      <c r="F131" s="448"/>
      <c r="G131" s="448"/>
      <c r="H131" s="448"/>
      <c r="I131" s="448"/>
      <c r="J131" s="448"/>
      <c r="K131" s="448"/>
      <c r="L131" s="448"/>
      <c r="M131" s="448"/>
      <c r="N131" s="448"/>
      <c r="O131" s="448"/>
      <c r="P131" s="448"/>
      <c r="Q131" s="448"/>
      <c r="R131" s="448"/>
      <c r="S131" s="448"/>
      <c r="T131" s="448"/>
      <c r="U131" s="448"/>
      <c r="V131" s="448"/>
    </row>
    <row r="132">
      <c r="A132" s="448"/>
      <c r="B132" s="448"/>
      <c r="C132" s="448"/>
      <c r="D132" s="448"/>
      <c r="E132" s="448"/>
      <c r="F132" s="448"/>
      <c r="G132" s="448"/>
      <c r="H132" s="448"/>
      <c r="I132" s="448"/>
      <c r="J132" s="448"/>
      <c r="K132" s="448"/>
      <c r="L132" s="448"/>
      <c r="M132" s="448"/>
      <c r="N132" s="448"/>
      <c r="O132" s="448"/>
      <c r="P132" s="448"/>
      <c r="Q132" s="448"/>
      <c r="R132" s="448"/>
      <c r="S132" s="448"/>
      <c r="T132" s="448"/>
      <c r="U132" s="448"/>
      <c r="V132" s="448"/>
    </row>
    <row r="133">
      <c r="A133" s="448"/>
      <c r="B133" s="448"/>
      <c r="C133" s="448"/>
      <c r="D133" s="448"/>
      <c r="E133" s="448"/>
      <c r="F133" s="448"/>
      <c r="G133" s="448"/>
      <c r="H133" s="448"/>
      <c r="I133" s="448"/>
      <c r="J133" s="448"/>
      <c r="K133" s="448"/>
      <c r="L133" s="448"/>
      <c r="M133" s="448"/>
      <c r="N133" s="448"/>
      <c r="O133" s="448"/>
      <c r="P133" s="448"/>
      <c r="Q133" s="448"/>
      <c r="R133" s="448"/>
      <c r="S133" s="448"/>
      <c r="T133" s="448"/>
      <c r="U133" s="448"/>
      <c r="V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row>
  </sheetData>
  <drawing r:id="rId1"/>
</worksheet>
</file>