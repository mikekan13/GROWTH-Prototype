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<sst xmlns="http://schemas.openxmlformats.org/spreadsheetml/2006/main" count="3130" uniqueCount="265">
  <si>
    <t>Tharizdun</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</si>
  <si>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</si>
  <si>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</si>
  <si>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</si>
  <si>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</si>
  <si>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</si>
  <si>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</si>
  <si>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</si>
  <si>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</si>
  <si>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</si>
  <si>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</si>
  <si>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</si>
  <si>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</si>
  <si>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</si>
  <si>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</si>
  <si>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</si>
  <si>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</si>
  <si>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</si>
  <si>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</si>
  <si>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</si>
  <si>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</si>
  <si>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</si>
  <si>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</si>
  <si>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</si>
  <si>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</si>
  <si>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</si>
  <si>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</si>
  <si>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</si>
  <si>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</si>
  <si>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</si>
  <si>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*Beta
(The Forgotten Ones)</t>
  </si>
  <si>
    <t>Male</t>
  </si>
  <si>
    <t>SEED</t>
  </si>
  <si>
    <t>SEX</t>
  </si>
  <si>
    <t>BEAUTY</t>
  </si>
  <si>
    <t>HOME</t>
  </si>
  <si>
    <t>HEIGHT</t>
  </si>
  <si>
    <t>WEIGHT</t>
  </si>
  <si>
    <t>HAIR &amp; EYES</t>
  </si>
  <si>
    <t>6 - Immortal</t>
  </si>
  <si>
    <t>1st</t>
  </si>
  <si>
    <t>None</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</si>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</sst>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508</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14.0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14</v>
      </c>
      <c r="G4" s="24">
        <v>0.0</v>
      </c>
      <c r="H4" s="25">
        <f>MIN(20,(STR)+G4)</f>
        <v>14</v>
      </c>
      <c r="I4" s="26" t="s">
        <v>7</v>
      </c>
      <c r="J4" s="27"/>
      <c r="K4" s="28">
        <v>20.0</v>
      </c>
      <c r="L4" s="29">
        <v>10.0</v>
      </c>
      <c r="N4" s="15"/>
    </row>
    <row r="5" ht="25.5" customHeight="1">
      <c r="A5" s="16"/>
      <c r="B5" s="19"/>
      <c r="C5" s="30" t="s">
        <v>8</v>
      </c>
      <c r="E5" s="31">
        <v>15.0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15</v>
      </c>
      <c r="G5" s="33">
        <v>10.0</v>
      </c>
      <c r="H5" s="34">
        <f>MIN(20,(DEX)+G5-Vitals!BS30)</f>
        <v>20</v>
      </c>
      <c r="I5" s="35" t="s">
        <v>9</v>
      </c>
      <c r="J5" s="36"/>
      <c r="K5" s="37" t="s">
        <v>10</v>
      </c>
      <c r="L5" s="38" t="s">
        <v>11</v>
      </c>
      <c r="N5" s="15"/>
    </row>
    <row r="6" ht="25.5" customHeight="1">
      <c r="A6" s="16"/>
      <c r="B6" s="19"/>
      <c r="C6" s="30" t="s">
        <v>12</v>
      </c>
      <c r="E6" s="39">
        <v>15.0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15</v>
      </c>
      <c r="G6" s="40">
        <v>0.0</v>
      </c>
      <c r="H6" s="34">
        <f>MIN(20,(CON)+G6)</f>
        <v>15</v>
      </c>
      <c r="I6" s="35" t="s">
        <v>13</v>
      </c>
      <c r="J6" s="36"/>
      <c r="K6" s="41">
        <v>5.0</v>
      </c>
      <c r="L6" s="42">
        <v>5.0</v>
      </c>
      <c r="N6" s="15"/>
    </row>
    <row r="7" ht="25.5" customHeight="1">
      <c r="A7" s="16"/>
      <c r="B7" s="19"/>
      <c r="C7" s="43" t="s">
        <v>14</v>
      </c>
      <c r="E7" s="31">
        <v>17.0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17</v>
      </c>
      <c r="G7" s="33">
        <v>10.0</v>
      </c>
      <c r="H7" s="34">
        <f>MIN(20,(INT)+G7)</f>
        <v>20</v>
      </c>
      <c r="I7" s="44" t="s">
        <v>15</v>
      </c>
      <c r="J7" s="36"/>
      <c r="K7" s="37" t="s">
        <v>16</v>
      </c>
      <c r="L7" s="38" t="s">
        <v>17</v>
      </c>
      <c r="N7" s="15"/>
    </row>
    <row r="8" ht="25.5" customHeight="1">
      <c r="A8" s="16"/>
      <c r="B8" s="19"/>
      <c r="C8" s="43" t="s">
        <v>18</v>
      </c>
      <c r="E8" s="39">
        <v>16.0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16</v>
      </c>
      <c r="G8" s="40">
        <v>10.0</v>
      </c>
      <c r="H8" s="34">
        <f>MIN(20,(WIS)+G8)</f>
        <v>20</v>
      </c>
      <c r="I8" s="44" t="s">
        <v>19</v>
      </c>
      <c r="J8" s="36"/>
      <c r="K8" s="46">
        <v>500.0</v>
      </c>
      <c r="L8" s="47">
        <v>30.0</v>
      </c>
      <c r="N8" s="15"/>
    </row>
    <row r="9" ht="25.5" customHeight="1">
      <c r="A9" s="16"/>
      <c r="B9" s="19"/>
      <c r="C9" s="48" t="s">
        <v>20</v>
      </c>
      <c r="D9" s="49"/>
      <c r="E9" s="50">
        <v>20.0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2">
        <v>10.0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v>
      </c>
      <c r="G12" s="64"/>
      <c r="H12" s="66"/>
      <c r="I12" s="67"/>
      <c r="J12" s="68"/>
      <c r="K12" s="65"/>
      <c r="L12" s="69"/>
      <c r="M12" s="70"/>
      <c r="N12" s="15"/>
    </row>
    <row r="13" ht="25.5" customHeight="1">
      <c r="A13" s="16"/>
      <c r="B13" s="19"/>
      <c r="D13" s="71" t="s">
        <v>32</v>
      </c>
      <c r="E13" s="18" t="s">
        <v>33</v>
      </c>
      <c r="F13" s="18" t="s">
        <v>34</v>
      </c>
      <c r="G13" s="18" t="s">
        <v>35</v>
      </c>
      <c r="H13" s="72"/>
      <c r="J13" s="71" t="s">
        <v>36</v>
      </c>
      <c r="K13" s="18" t="s">
        <v>37</v>
      </c>
      <c r="L13" s="73" t="s">
        <v>38</v>
      </c>
      <c r="N13" s="15"/>
    </row>
    <row r="14" ht="25.5" customHeight="1">
      <c r="A14" s="16"/>
      <c r="B14" s="19"/>
      <c r="D14" s="74" t="s">
        <v>39</v>
      </c>
      <c r="E14" s="75">
        <v>5918492.0</v>
      </c>
      <c r="F14" s="76" t="s">
        <v>40</v>
      </c>
      <c r="G14" s="77">
        <v>1.0</v>
      </c>
      <c r="H14" s="78" t="s">
        <v>41</v>
      </c>
      <c r="J14" s="79"/>
      <c r="L14" s="72"/>
      <c r="N14" s="15"/>
    </row>
    <row r="15" ht="25.5" customHeight="1">
      <c r="A15" s="16"/>
      <c r="B15" s="19"/>
      <c r="D15" s="80" t="s">
        <v>42</v>
      </c>
      <c r="E15" s="80" t="s">
        <v>43</v>
      </c>
      <c r="F15" s="80" t="s">
        <v>44</v>
      </c>
      <c r="G15" s="81" t="s">
        <v>45</v>
      </c>
      <c r="H15" s="80" t="s">
        <v>46</v>
      </c>
      <c r="J15" s="82"/>
      <c r="L15" s="72"/>
      <c r="N15" s="15"/>
    </row>
    <row r="16" ht="25.5" customHeight="1">
      <c r="A16" s="16"/>
      <c r="B16" s="19"/>
      <c r="D16" s="83"/>
      <c r="J16" s="84"/>
      <c r="K16" s="85"/>
      <c r="L16" s="86"/>
      <c r="N16" s="15"/>
    </row>
    <row r="17" ht="25.5" customHeight="1">
      <c r="A17" s="16"/>
      <c r="B17" s="87"/>
      <c r="D17" s="88"/>
      <c r="E17" s="89"/>
      <c r="F17" s="89"/>
      <c r="G17" s="89"/>
      <c r="H17" s="66"/>
      <c r="J17" s="90" t="s">
        <v>47</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48</v>
      </c>
      <c r="E22" s="62"/>
      <c r="J22" s="99" t="s">
        <v>49</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50</v>
      </c>
      <c r="N1" s="105"/>
      <c r="O1" s="106"/>
      <c r="P1" s="105"/>
      <c r="Q1" s="107" t="s">
        <v>51</v>
      </c>
      <c r="Y1" s="108"/>
    </row>
    <row r="2" ht="18.75" customHeight="1">
      <c r="C2" s="109" t="s">
        <v>52</v>
      </c>
      <c r="D2" s="110" t="s">
        <v>25</v>
      </c>
      <c r="E2" s="109" t="s">
        <v>53</v>
      </c>
      <c r="I2" s="109" t="s">
        <v>29</v>
      </c>
      <c r="J2" s="110" t="s">
        <v>54</v>
      </c>
      <c r="K2" s="110" t="s">
        <v>55</v>
      </c>
      <c r="L2" s="110" t="s">
        <v>56</v>
      </c>
      <c r="M2" s="110" t="s">
        <v>57</v>
      </c>
      <c r="Q2" s="109" t="s">
        <v>52</v>
      </c>
      <c r="R2" s="110" t="s">
        <v>25</v>
      </c>
      <c r="S2" s="110" t="s">
        <v>58</v>
      </c>
      <c r="T2" s="110" t="s">
        <v>29</v>
      </c>
      <c r="U2" s="110" t="s">
        <v>54</v>
      </c>
      <c r="V2" s="110" t="s">
        <v>59</v>
      </c>
      <c r="W2" s="110" t="s">
        <v>56</v>
      </c>
      <c r="X2" s="110" t="s">
        <v>57</v>
      </c>
    </row>
    <row r="3" ht="7.5" customHeight="1">
      <c r="A3" s="1"/>
      <c r="B3" s="1"/>
      <c r="O3" s="111"/>
      <c r="P3" s="112"/>
      <c r="Y3" s="113"/>
    </row>
    <row r="4" ht="22.5" customHeight="1">
      <c r="B4" s="14"/>
      <c r="C4" s="114" t="s">
        <v>60</v>
      </c>
      <c r="D4" s="89"/>
      <c r="E4" s="89"/>
      <c r="F4" s="89"/>
      <c r="G4" s="89"/>
      <c r="H4" s="89"/>
      <c r="I4" s="89"/>
      <c r="J4" s="89"/>
      <c r="K4" s="89"/>
      <c r="L4" s="89"/>
      <c r="M4" s="66"/>
      <c r="N4" s="115"/>
      <c r="P4" s="115"/>
      <c r="Q4" s="116" t="s">
        <v>61</v>
      </c>
      <c r="R4" s="89"/>
      <c r="S4" s="89"/>
      <c r="T4" s="89"/>
      <c r="U4" s="89"/>
      <c r="V4" s="89"/>
      <c r="W4" s="89"/>
      <c r="X4" s="66"/>
    </row>
    <row r="5" ht="22.5" customHeight="1">
      <c r="C5" s="117" t="s">
        <v>62</v>
      </c>
      <c r="D5" s="118"/>
      <c r="E5" s="119" t="s">
        <v>63</v>
      </c>
      <c r="F5" s="120">
        <f>STR</f>
        <v>14</v>
      </c>
      <c r="G5" s="120">
        <f>CON</f>
        <v>15</v>
      </c>
      <c r="H5" s="121"/>
      <c r="I5" s="122"/>
      <c r="J5" s="123" t="str">
        <f t="shared" ref="J5:J9" si="1">IF(AND(D5 &lt; 4, D5 &gt; 1)," Coin",
IF(AND(D5 &lt; 20, D5 &gt; 12)," d12",
IF(D5 = 0, "No Skill",
IF(D5 = 1, 1,
" d" &amp; 2*ROUNDDOWN(D5/2,0)))))
&amp;
IF(I5&gt;0,"+"&amp;I5,I5)</f>
        <v>No Skill</v>
      </c>
      <c r="K5" s="124">
        <f t="shared" ref="K5:K9" si="2">MIN(F5,G5,H5)</f>
        <v>14</v>
      </c>
      <c r="L5" s="125">
        <f t="shared" ref="L5:L9" si="3">D5+I5</f>
        <v>0</v>
      </c>
      <c r="M5" s="126" t="s">
        <v>64</v>
      </c>
      <c r="Q5" s="127" t="s">
        <v>65</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64</v>
      </c>
    </row>
    <row r="6" ht="22.5" customHeight="1">
      <c r="C6" s="117" t="s">
        <v>66</v>
      </c>
      <c r="D6" s="118"/>
      <c r="E6" s="119" t="s">
        <v>67</v>
      </c>
      <c r="F6" s="120">
        <f>DEX</f>
        <v>15</v>
      </c>
      <c r="G6" s="120">
        <f>WIS</f>
        <v>16</v>
      </c>
      <c r="H6" s="121"/>
      <c r="I6" s="122"/>
      <c r="J6" s="123" t="str">
        <f t="shared" si="1"/>
        <v>No Skill</v>
      </c>
      <c r="K6" s="124">
        <f t="shared" si="2"/>
        <v>15</v>
      </c>
      <c r="L6" s="125">
        <f t="shared" si="3"/>
        <v>0</v>
      </c>
      <c r="M6" s="126" t="s">
        <v>64</v>
      </c>
      <c r="Q6" s="127" t="s">
        <v>68</v>
      </c>
      <c r="R6" s="128"/>
      <c r="S6" s="129"/>
      <c r="T6" s="129"/>
      <c r="U6" s="130" t="str">
        <f t="shared" si="4"/>
        <v>No Skill</v>
      </c>
      <c r="V6" s="131">
        <f>IF(S6&gt;0,S6,IF(R17="Mercy",10,IF(R17="Severity",0,5)))</f>
        <v>5</v>
      </c>
      <c r="W6" s="130">
        <f>R6+W17+W18+T6</f>
        <v>0</v>
      </c>
      <c r="X6" s="132" t="s">
        <v>64</v>
      </c>
    </row>
    <row r="7" ht="22.5" customHeight="1">
      <c r="C7" s="133" t="s">
        <v>69</v>
      </c>
      <c r="D7" s="118"/>
      <c r="E7" s="119" t="s">
        <v>70</v>
      </c>
      <c r="F7" s="120">
        <f>STR</f>
        <v>14</v>
      </c>
      <c r="G7" s="120">
        <f>DEX</f>
        <v>15</v>
      </c>
      <c r="H7" s="121"/>
      <c r="I7" s="122"/>
      <c r="J7" s="123" t="str">
        <f t="shared" si="1"/>
        <v>No Skill</v>
      </c>
      <c r="K7" s="124">
        <f t="shared" si="2"/>
        <v>14</v>
      </c>
      <c r="L7" s="125">
        <f t="shared" si="3"/>
        <v>0</v>
      </c>
      <c r="M7" s="126" t="s">
        <v>64</v>
      </c>
      <c r="Q7" s="134" t="s">
        <v>71</v>
      </c>
      <c r="R7" s="135"/>
      <c r="S7" s="136"/>
      <c r="T7" s="136"/>
      <c r="U7" s="137" t="str">
        <f t="shared" si="4"/>
        <v>No Skill</v>
      </c>
      <c r="V7" s="138">
        <f>IF(S7&gt;0,S7,IF(R17="Mercy",10,IF(R17="Severity",0,5)))</f>
        <v>5</v>
      </c>
      <c r="W7" s="137">
        <f>R7+W17+W18+T7</f>
        <v>0</v>
      </c>
      <c r="X7" s="139" t="s">
        <v>64</v>
      </c>
    </row>
    <row r="8" ht="22.5" customHeight="1">
      <c r="C8" s="117" t="s">
        <v>72</v>
      </c>
      <c r="D8" s="118"/>
      <c r="E8" s="119" t="s">
        <v>73</v>
      </c>
      <c r="F8" s="120">
        <f>STR</f>
        <v>14</v>
      </c>
      <c r="G8" s="120">
        <f>DEX</f>
        <v>15</v>
      </c>
      <c r="H8" s="120">
        <f>CON</f>
        <v>15</v>
      </c>
      <c r="I8" s="122"/>
      <c r="J8" s="123" t="str">
        <f t="shared" si="1"/>
        <v>No Skill</v>
      </c>
      <c r="K8" s="124">
        <f t="shared" si="2"/>
        <v>14</v>
      </c>
      <c r="L8" s="125">
        <f t="shared" si="3"/>
        <v>0</v>
      </c>
      <c r="M8" s="126" t="s">
        <v>64</v>
      </c>
      <c r="Q8" s="116" t="s">
        <v>74</v>
      </c>
      <c r="R8" s="89"/>
      <c r="S8" s="89"/>
      <c r="T8" s="89"/>
      <c r="U8" s="89"/>
      <c r="V8" s="89"/>
      <c r="W8" s="89"/>
      <c r="X8" s="66"/>
    </row>
    <row r="9" ht="22.5" customHeight="1">
      <c r="C9" s="140" t="s">
        <v>75</v>
      </c>
      <c r="D9" s="141"/>
      <c r="E9" s="142" t="s">
        <v>76</v>
      </c>
      <c r="F9" s="143">
        <f>STR</f>
        <v>14</v>
      </c>
      <c r="G9" s="143">
        <f>DEX</f>
        <v>15</v>
      </c>
      <c r="H9" s="143">
        <f>CHA</f>
        <v>20</v>
      </c>
      <c r="I9" s="144"/>
      <c r="J9" s="145" t="str">
        <f t="shared" si="1"/>
        <v>No Skill</v>
      </c>
      <c r="K9" s="146">
        <f t="shared" si="2"/>
        <v>14</v>
      </c>
      <c r="L9" s="147">
        <f t="shared" si="3"/>
        <v>0</v>
      </c>
      <c r="M9" s="148" t="s">
        <v>64</v>
      </c>
      <c r="Q9" s="127" t="s">
        <v>77</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64</v>
      </c>
    </row>
    <row r="10" ht="22.5" customHeight="1">
      <c r="C10" s="114" t="s">
        <v>78</v>
      </c>
      <c r="D10" s="89"/>
      <c r="E10" s="89"/>
      <c r="F10" s="89"/>
      <c r="G10" s="89"/>
      <c r="H10" s="89"/>
      <c r="I10" s="89"/>
      <c r="J10" s="89"/>
      <c r="K10" s="89"/>
      <c r="L10" s="89"/>
      <c r="M10" s="66"/>
      <c r="Q10" s="127" t="s">
        <v>79</v>
      </c>
      <c r="R10" s="149"/>
      <c r="S10" s="129"/>
      <c r="T10" s="129"/>
      <c r="U10" s="130" t="str">
        <f t="shared" si="5"/>
        <v>No Skill</v>
      </c>
      <c r="V10" s="131">
        <f>IF(S10&gt;0,S10,IF(R17="Mercy",5,IF(R17="Severity",5,5)))</f>
        <v>5</v>
      </c>
      <c r="W10" s="130">
        <f>R10+W17+W18+T10</f>
        <v>0</v>
      </c>
      <c r="X10" s="150" t="s">
        <v>64</v>
      </c>
    </row>
    <row r="11" ht="22.5" customHeight="1">
      <c r="C11" s="117" t="s">
        <v>80</v>
      </c>
      <c r="D11" s="118"/>
      <c r="E11" s="119" t="s">
        <v>81</v>
      </c>
      <c r="F11" s="120">
        <f>WIS</f>
        <v>16</v>
      </c>
      <c r="G11" s="120">
        <f>CHA</f>
        <v>20</v>
      </c>
      <c r="H11" s="121"/>
      <c r="I11" s="122"/>
      <c r="J11" s="151" t="str">
        <f>IF(AND(D11 &lt; 4, D11 &gt; 1)," Coin",
IF(AND(D11 &lt; 20, D11 &gt; 12)," d12",
IF(D11 = 0, "No Skill",
IF(D11 = 1, 1,
" d" &amp; 2*ROUNDDOWN(D11/2,0)))))
&amp;
IF(I11&gt;0,"+"&amp;I11,I11)
&amp;
IF(BEAUTYMOD &gt; 0,"+" &amp; BEAUTYMOD, "-" &amp; BEAUTYMOD*-1)</f>
        <v>No Skill-3</v>
      </c>
      <c r="K11" s="124">
        <f t="shared" ref="K11:K15" si="6">MIN(F11,G11,H11)</f>
        <v>16</v>
      </c>
      <c r="L11" s="152">
        <f>BEAUTYMOD+I11+D11</f>
        <v>-3</v>
      </c>
      <c r="M11" s="126" t="s">
        <v>64</v>
      </c>
      <c r="Q11" s="127" t="s">
        <v>82</v>
      </c>
      <c r="R11" s="149"/>
      <c r="S11" s="129"/>
      <c r="T11" s="129"/>
      <c r="U11" s="130" t="str">
        <f t="shared" si="5"/>
        <v>No Skill</v>
      </c>
      <c r="V11" s="131">
        <f>IF(S11&gt;0,S11,IF(R17="Mercy",5,IF(R17="Severity",5,5)))</f>
        <v>5</v>
      </c>
      <c r="W11" s="130">
        <f>R11+W17+W18+T11</f>
        <v>0</v>
      </c>
      <c r="X11" s="150" t="s">
        <v>64</v>
      </c>
    </row>
    <row r="12" ht="22.5" customHeight="1">
      <c r="C12" s="117" t="s">
        <v>83</v>
      </c>
      <c r="D12" s="118"/>
      <c r="E12" s="119" t="s">
        <v>84</v>
      </c>
      <c r="F12" s="120">
        <f>STR</f>
        <v>14</v>
      </c>
      <c r="G12" s="120">
        <f>CHA</f>
        <v>20</v>
      </c>
      <c r="H12" s="121"/>
      <c r="I12" s="122"/>
      <c r="J12" s="151" t="str">
        <f>IF(AND(D12 &lt; 4, D12 &gt; 1)," Coin",
IF(AND(D12 &lt; 20, D12 &gt; 12)," d12",
IF(D12 = 0, "No Skill",
IF(D12 = 1, 1,
" d" &amp; 2*ROUNDDOWN(D12/2,0)))))
&amp;
IF(I12&gt;0,"+"&amp;I12,I12)
&amp;
IF(BEAUTYMOD &gt; 0,"-" &amp; BEAUTYMOD, "+" &amp; BEAUTYMOD*-1)</f>
        <v>No Skill+3</v>
      </c>
      <c r="K12" s="124">
        <f t="shared" si="6"/>
        <v>14</v>
      </c>
      <c r="L12" s="152">
        <f>(BEAUTYMOD*-1)+I12+D12</f>
        <v>3</v>
      </c>
      <c r="M12" s="126" t="s">
        <v>64</v>
      </c>
      <c r="Q12" s="134" t="s">
        <v>85</v>
      </c>
      <c r="R12" s="153"/>
      <c r="S12" s="136"/>
      <c r="T12" s="136"/>
      <c r="U12" s="137" t="str">
        <f t="shared" si="5"/>
        <v>No Skill</v>
      </c>
      <c r="V12" s="138">
        <f>IF(S12&gt;0,S12,IF(R17="Mercy",5,IF(R17="Severity",5,5)))</f>
        <v>5</v>
      </c>
      <c r="W12" s="137">
        <f>R12+W17+W18+T12</f>
        <v>0</v>
      </c>
      <c r="X12" s="154" t="s">
        <v>64</v>
      </c>
    </row>
    <row r="13" ht="22.5" customHeight="1">
      <c r="C13" s="117" t="s">
        <v>86</v>
      </c>
      <c r="D13" s="118"/>
      <c r="E13" s="119" t="s">
        <v>87</v>
      </c>
      <c r="F13" s="120">
        <f>INT</f>
        <v>17</v>
      </c>
      <c r="G13" s="120">
        <f>CHA</f>
        <v>20</v>
      </c>
      <c r="H13" s="121"/>
      <c r="I13" s="122"/>
      <c r="J13" s="151" t="str">
        <f>IF(AND(D13 &lt; 4, D13 &gt; 1)," Coin",
IF(AND(D13 &lt; 20, D13 &gt; 12)," d12",
IF(D13 = 0, "No Skill",
IF(D13 = 1, 1,
" d" &amp; 2*ROUNDDOWN(D13/2,0)))))
&amp;
IF(I13&gt;0,"+"&amp;I13,I13)
&amp;
IF(BEAUTYMOD &gt; 0,"+" &amp; BEAUTYMOD, "-" &amp; BEAUTYMOD*-1)</f>
        <v>No Skill-3</v>
      </c>
      <c r="K13" s="124">
        <f t="shared" si="6"/>
        <v>17</v>
      </c>
      <c r="L13" s="152">
        <f>BEAUTYMOD+I13+D13</f>
        <v>-3</v>
      </c>
      <c r="M13" s="126" t="s">
        <v>64</v>
      </c>
      <c r="Q13" s="116" t="s">
        <v>88</v>
      </c>
      <c r="R13" s="89"/>
      <c r="S13" s="89"/>
      <c r="T13" s="89"/>
      <c r="U13" s="89"/>
      <c r="V13" s="89"/>
      <c r="W13" s="89"/>
      <c r="X13" s="66"/>
    </row>
    <row r="14" ht="22.5" customHeight="1">
      <c r="C14" s="117" t="s">
        <v>89</v>
      </c>
      <c r="D14" s="118"/>
      <c r="E14" s="119" t="s">
        <v>90</v>
      </c>
      <c r="F14" s="120">
        <f>INT</f>
        <v>17</v>
      </c>
      <c r="G14" s="120">
        <f>WIS</f>
        <v>16</v>
      </c>
      <c r="H14" s="120"/>
      <c r="I14" s="122"/>
      <c r="J14" s="123" t="str">
        <f t="shared" ref="J14:J15" si="7">IF(AND(D14 &lt; 4, D14 &gt; 1)," Coin",
IF(AND(D14 &lt; 20, D14 &gt; 12)," d12",
IF(D14 = 0, "No Skill",
IF(D14 = 1, 1,
" d" &amp; 2*ROUNDDOWN(D14/2,0)))))
&amp;
IF(I14&gt;0,"+"&amp;I14,I14)</f>
        <v>No Skill</v>
      </c>
      <c r="K14" s="124">
        <f t="shared" si="6"/>
        <v>16</v>
      </c>
      <c r="L14" s="125">
        <f t="shared" ref="L14:L15" si="8">D14+I14</f>
        <v>0</v>
      </c>
      <c r="M14" s="126" t="s">
        <v>64</v>
      </c>
      <c r="Q14" s="127" t="s">
        <v>91</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64</v>
      </c>
    </row>
    <row r="15" ht="22.5" customHeight="1">
      <c r="C15" s="140" t="s">
        <v>92</v>
      </c>
      <c r="D15" s="141"/>
      <c r="E15" s="142" t="s">
        <v>93</v>
      </c>
      <c r="F15" s="143">
        <f>INT</f>
        <v>17</v>
      </c>
      <c r="G15" s="143">
        <f>WIS</f>
        <v>16</v>
      </c>
      <c r="H15" s="143">
        <f>CHA</f>
        <v>20</v>
      </c>
      <c r="I15" s="156"/>
      <c r="J15" s="145" t="str">
        <f t="shared" si="7"/>
        <v>No Skill</v>
      </c>
      <c r="K15" s="146">
        <f t="shared" si="6"/>
        <v>16</v>
      </c>
      <c r="L15" s="147">
        <f t="shared" si="8"/>
        <v>0</v>
      </c>
      <c r="M15" s="148" t="s">
        <v>64</v>
      </c>
      <c r="Q15" s="127" t="s">
        <v>94</v>
      </c>
      <c r="R15" s="155"/>
      <c r="S15" s="129"/>
      <c r="T15" s="129"/>
      <c r="U15" s="130" t="str">
        <f t="shared" si="9"/>
        <v>No Skill</v>
      </c>
      <c r="V15" s="131">
        <f>IF(S15&gt;0,S15,IF(R17="Mercy",0,IF(R17="Severity",10,5)))</f>
        <v>5</v>
      </c>
      <c r="W15" s="130">
        <f>R15+W17+W18+T15</f>
        <v>0</v>
      </c>
      <c r="X15" s="150" t="s">
        <v>64</v>
      </c>
    </row>
    <row r="16" ht="22.5" customHeight="1">
      <c r="C16" s="114" t="s">
        <v>95</v>
      </c>
      <c r="D16" s="89"/>
      <c r="E16" s="89"/>
      <c r="F16" s="89"/>
      <c r="G16" s="89"/>
      <c r="H16" s="89"/>
      <c r="I16" s="89"/>
      <c r="J16" s="89"/>
      <c r="K16" s="89"/>
      <c r="L16" s="89"/>
      <c r="M16" s="66"/>
      <c r="Q16" s="134" t="s">
        <v>96</v>
      </c>
      <c r="R16" s="157"/>
      <c r="S16" s="136"/>
      <c r="T16" s="136"/>
      <c r="U16" s="130" t="str">
        <f t="shared" si="9"/>
        <v>No Skill</v>
      </c>
      <c r="V16" s="131">
        <f>IF(S16&gt;0,S16,IF(R17="Mercy",0,IF(R17="Severity",10,5)))</f>
        <v>5</v>
      </c>
      <c r="W16" s="130">
        <f>R16+W17+W18+T16</f>
        <v>0</v>
      </c>
      <c r="X16" s="154" t="s">
        <v>64</v>
      </c>
    </row>
    <row r="17" ht="22.5" customHeight="1">
      <c r="C17" s="133" t="s">
        <v>97</v>
      </c>
      <c r="D17" s="118"/>
      <c r="E17" s="119" t="s">
        <v>70</v>
      </c>
      <c r="F17" s="120">
        <f>STR</f>
        <v>14</v>
      </c>
      <c r="G17" s="120">
        <f>DEX</f>
        <v>15</v>
      </c>
      <c r="H17" s="121"/>
      <c r="I17" s="122"/>
      <c r="J17" s="123" t="str">
        <f t="shared" ref="J17:J23" si="10">IF(AND(D17 &lt; 4, D17 &gt; 1)," Coin",
IF(AND(D17 &lt; 20, D17 &gt; 12)," d12",
IF(D17 = 0, "No Skill",
IF(D17 = 1, 1,
" d" &amp; 2*ROUNDDOWN(D17/2,0)))))
&amp;
IF(I17&gt;0,"+"&amp;I17,I17)</f>
        <v>No Skill</v>
      </c>
      <c r="K17" s="124">
        <f t="shared" ref="K17:K23" si="11">MIN(F17,G17,H17)</f>
        <v>14</v>
      </c>
      <c r="L17" s="125">
        <f t="shared" ref="L17:L23" si="12">D17+I17</f>
        <v>0</v>
      </c>
      <c r="M17" s="126" t="s">
        <v>64</v>
      </c>
      <c r="Q17" s="133" t="s">
        <v>98</v>
      </c>
      <c r="R17" s="158" t="s">
        <v>41</v>
      </c>
      <c r="S17" s="159"/>
      <c r="T17" s="160" t="s">
        <v>99</v>
      </c>
      <c r="U17" s="161" t="s">
        <v>100</v>
      </c>
      <c r="V17" s="162"/>
      <c r="W17" s="163"/>
      <c r="X17" s="159"/>
    </row>
    <row r="18" ht="22.5" customHeight="1">
      <c r="C18" s="117" t="s">
        <v>101</v>
      </c>
      <c r="D18" s="118"/>
      <c r="E18" s="119" t="s">
        <v>70</v>
      </c>
      <c r="F18" s="120">
        <f>STR</f>
        <v>14</v>
      </c>
      <c r="G18" s="120">
        <f>DEX</f>
        <v>15</v>
      </c>
      <c r="H18" s="121"/>
      <c r="I18" s="122"/>
      <c r="J18" s="123" t="str">
        <f t="shared" si="10"/>
        <v>No Skill</v>
      </c>
      <c r="K18" s="124">
        <f t="shared" si="11"/>
        <v>14</v>
      </c>
      <c r="L18" s="125">
        <f t="shared" si="12"/>
        <v>0</v>
      </c>
      <c r="M18" s="164" t="s">
        <v>64</v>
      </c>
      <c r="Q18" s="165">
        <v>0.0</v>
      </c>
      <c r="R18" s="166">
        <f>MAX(Main!F7,1)+Q18</f>
        <v>17</v>
      </c>
      <c r="T18" s="82"/>
      <c r="U18" s="161" t="s">
        <v>102</v>
      </c>
      <c r="V18" s="167"/>
      <c r="W18" s="168"/>
      <c r="X18" s="169"/>
    </row>
    <row r="19" ht="22.5" customHeight="1">
      <c r="C19" s="133" t="s">
        <v>103</v>
      </c>
      <c r="D19" s="118"/>
      <c r="E19" s="119" t="s">
        <v>63</v>
      </c>
      <c r="F19" s="120">
        <f>STR</f>
        <v>14</v>
      </c>
      <c r="G19" s="120">
        <f>CON</f>
        <v>15</v>
      </c>
      <c r="H19" s="121"/>
      <c r="I19" s="122"/>
      <c r="J19" s="123" t="str">
        <f t="shared" si="10"/>
        <v>No Skill</v>
      </c>
      <c r="K19" s="124">
        <f t="shared" si="11"/>
        <v>14</v>
      </c>
      <c r="L19" s="125">
        <f t="shared" si="12"/>
        <v>0</v>
      </c>
      <c r="M19" s="164" t="s">
        <v>64</v>
      </c>
      <c r="Q19" s="170"/>
      <c r="R19" s="171"/>
      <c r="T19" s="82"/>
      <c r="U19" s="162"/>
      <c r="V19" s="162"/>
      <c r="W19" s="162"/>
    </row>
    <row r="20" ht="22.5" customHeight="1">
      <c r="C20" s="117" t="s">
        <v>104</v>
      </c>
      <c r="D20" s="118"/>
      <c r="E20" s="119" t="s">
        <v>105</v>
      </c>
      <c r="F20" s="120">
        <f>DEX</f>
        <v>15</v>
      </c>
      <c r="G20" s="120">
        <f>CHA</f>
        <v>20</v>
      </c>
      <c r="H20" s="121"/>
      <c r="I20" s="122"/>
      <c r="J20" s="123" t="str">
        <f t="shared" si="10"/>
        <v>No Skill</v>
      </c>
      <c r="K20" s="124">
        <f t="shared" si="11"/>
        <v>15</v>
      </c>
      <c r="L20" s="125">
        <f t="shared" si="12"/>
        <v>0</v>
      </c>
      <c r="M20" s="164" t="s">
        <v>64</v>
      </c>
      <c r="Q20" s="172" t="s">
        <v>106</v>
      </c>
      <c r="R20" s="173" t="s">
        <v>107</v>
      </c>
      <c r="T20" s="82"/>
      <c r="U20" s="167"/>
      <c r="V20" s="167"/>
      <c r="W20" s="167"/>
    </row>
    <row r="21" ht="22.5" customHeight="1">
      <c r="C21" s="117" t="s">
        <v>108</v>
      </c>
      <c r="D21" s="118"/>
      <c r="E21" s="119" t="s">
        <v>109</v>
      </c>
      <c r="F21" s="120">
        <f>STR</f>
        <v>14</v>
      </c>
      <c r="G21" s="120">
        <f>DEX</f>
        <v>15</v>
      </c>
      <c r="H21" s="120">
        <f>WIS</f>
        <v>16</v>
      </c>
      <c r="I21" s="122"/>
      <c r="J21" s="123" t="str">
        <f t="shared" si="10"/>
        <v>No Skill</v>
      </c>
      <c r="K21" s="124">
        <f t="shared" si="11"/>
        <v>14</v>
      </c>
      <c r="L21" s="125">
        <f t="shared" si="12"/>
        <v>0</v>
      </c>
      <c r="M21" s="164" t="s">
        <v>64</v>
      </c>
      <c r="Q21" s="174" t="s">
        <v>110</v>
      </c>
      <c r="R21" s="175">
        <f>FLOOR(SUM(D5:D9,D11:D15,D17:D23,D25:D27,D29:D31,D33:D36,D38:D42,D44:D48,D50:D53,D55:D57,D59:D61,D63:D65)+SUM(R5:R7,R9:R12,R14:R16)*2,1)</f>
        <v>0</v>
      </c>
      <c r="T21" s="84"/>
      <c r="U21" s="162"/>
      <c r="V21" s="162"/>
      <c r="W21" s="163"/>
      <c r="X21" s="159"/>
    </row>
    <row r="22" ht="22.5" customHeight="1">
      <c r="C22" s="117" t="s">
        <v>111</v>
      </c>
      <c r="D22" s="118"/>
      <c r="E22" s="119" t="s">
        <v>112</v>
      </c>
      <c r="F22" s="120">
        <f>DEX</f>
        <v>15</v>
      </c>
      <c r="G22" s="120">
        <f>CON</f>
        <v>15</v>
      </c>
      <c r="H22" s="120">
        <f>WIS</f>
        <v>16</v>
      </c>
      <c r="I22" s="122"/>
      <c r="J22" s="123" t="str">
        <f t="shared" si="10"/>
        <v>No Skill</v>
      </c>
      <c r="K22" s="124">
        <f t="shared" si="11"/>
        <v>15</v>
      </c>
      <c r="L22" s="125">
        <f t="shared" si="12"/>
        <v>0</v>
      </c>
      <c r="M22" s="164" t="s">
        <v>64</v>
      </c>
      <c r="Q22" s="62"/>
    </row>
    <row r="23" ht="22.5" customHeight="1">
      <c r="C23" s="174" t="s">
        <v>113</v>
      </c>
      <c r="D23" s="141"/>
      <c r="E23" s="142" t="s">
        <v>73</v>
      </c>
      <c r="F23" s="143">
        <f>STR</f>
        <v>14</v>
      </c>
      <c r="G23" s="143">
        <f>DEX</f>
        <v>15</v>
      </c>
      <c r="H23" s="143">
        <f>CON</f>
        <v>15</v>
      </c>
      <c r="I23" s="156"/>
      <c r="J23" s="145" t="str">
        <f t="shared" si="10"/>
        <v>No Skill</v>
      </c>
      <c r="K23" s="146">
        <f t="shared" si="11"/>
        <v>14</v>
      </c>
      <c r="L23" s="147">
        <f t="shared" si="12"/>
        <v>0</v>
      </c>
      <c r="M23" s="176" t="s">
        <v>64</v>
      </c>
      <c r="Q23" s="177" t="s">
        <v>114</v>
      </c>
      <c r="R23" s="89"/>
      <c r="S23" s="89"/>
      <c r="T23" s="89"/>
      <c r="U23" s="89"/>
      <c r="V23" s="89"/>
      <c r="W23" s="89"/>
      <c r="X23" s="66"/>
    </row>
    <row r="24" ht="22.5" customHeight="1">
      <c r="C24" s="114" t="s">
        <v>115</v>
      </c>
      <c r="D24" s="89"/>
      <c r="E24" s="89"/>
      <c r="F24" s="89"/>
      <c r="G24" s="89"/>
      <c r="H24" s="89"/>
      <c r="I24" s="89"/>
      <c r="J24" s="89"/>
      <c r="K24" s="89"/>
      <c r="L24" s="89"/>
      <c r="M24" s="66"/>
      <c r="Q24" s="178"/>
      <c r="R24" s="179" t="s">
        <v>116</v>
      </c>
      <c r="T24" s="179" t="s">
        <v>117</v>
      </c>
      <c r="U24" s="179" t="s">
        <v>118</v>
      </c>
      <c r="X24" s="180"/>
    </row>
    <row r="25" ht="22.5" customHeight="1">
      <c r="C25" s="117" t="s">
        <v>119</v>
      </c>
      <c r="D25" s="118"/>
      <c r="E25" s="119" t="s">
        <v>90</v>
      </c>
      <c r="F25" s="120">
        <f>INT</f>
        <v>17</v>
      </c>
      <c r="G25" s="120">
        <f>WIS</f>
        <v>16</v>
      </c>
      <c r="H25" s="121"/>
      <c r="I25" s="181"/>
      <c r="J25" s="182" t="str">
        <f>IF(AND(D25 &lt; 4, D25 &gt; 1)," Coin",
IF(AND(D25 &lt; 20, D25 &gt; 12)," d12",
IF(D25 = 0, "No Skill",
IF(D25 = 1, 1,
" d" &amp; 2*ROUNDDOWN(D25/2,0)))))
&amp;
IF(I25&gt;0,"+"&amp;I25,I25)
&amp;
IF(BEAUTYMOD &gt; 0,"+" &amp; BEAUTYMOD, "-" &amp; BEAUTYMOD*-1)</f>
        <v>No Skill-3</v>
      </c>
      <c r="K25" s="124">
        <f t="shared" ref="K25:K27" si="13">MIN(F25,G25,H25)</f>
        <v>16</v>
      </c>
      <c r="L25" s="183">
        <f>BEAUTYMOD+I25+D25</f>
        <v>-3</v>
      </c>
      <c r="M25" s="184" t="s">
        <v>64</v>
      </c>
      <c r="Q25" s="178"/>
      <c r="R25" s="185"/>
      <c r="T25" s="186"/>
      <c r="U25" s="186"/>
      <c r="X25" s="180"/>
    </row>
    <row r="26" ht="22.5" customHeight="1">
      <c r="C26" s="117" t="s">
        <v>120</v>
      </c>
      <c r="D26" s="118"/>
      <c r="E26" s="119" t="s">
        <v>121</v>
      </c>
      <c r="F26" s="120">
        <f>DEX</f>
        <v>15</v>
      </c>
      <c r="G26" s="120">
        <f>WIS</f>
        <v>16</v>
      </c>
      <c r="H26" s="120">
        <f>CHA</f>
        <v>20</v>
      </c>
      <c r="I26" s="187"/>
      <c r="J26" s="182" t="str">
        <f>IF(AND(D26 &lt; 4, D26 &gt; 1)," Coin",
IF(AND(D26 &lt; 20, D26 &gt; 12)," d12",
IF(D26 = 0, "No Skill",
IF(D26 = 1, 1,
" d" &amp; 2*ROUNDDOWN(D26/2,0)))))
&amp;
IF(I26&gt;0,"+"&amp;I26,I26)
&amp;
IF(BEAUTYMOD &gt; 0,"+" &amp; BEAUTYMOD, "-" &amp; BEAUTYMOD*-1)</f>
        <v>No Skill-3</v>
      </c>
      <c r="K26" s="124">
        <f t="shared" si="13"/>
        <v>15</v>
      </c>
      <c r="L26" s="183">
        <f>BEAUTYMOD+I26+D26</f>
        <v>-3</v>
      </c>
      <c r="M26" s="184" t="s">
        <v>64</v>
      </c>
      <c r="Q26" s="188"/>
      <c r="R26" s="189"/>
      <c r="S26" s="190"/>
      <c r="T26" s="191"/>
      <c r="U26" s="191"/>
      <c r="V26" s="190"/>
      <c r="W26" s="190"/>
      <c r="X26" s="192"/>
    </row>
    <row r="27" ht="22.5" customHeight="1">
      <c r="C27" s="140" t="s">
        <v>122</v>
      </c>
      <c r="D27" s="141"/>
      <c r="E27" s="142" t="s">
        <v>123</v>
      </c>
      <c r="F27" s="143">
        <f>STR</f>
        <v>14</v>
      </c>
      <c r="G27" s="143">
        <f>DEX</f>
        <v>15</v>
      </c>
      <c r="H27" s="143">
        <f>CHA</f>
        <v>20</v>
      </c>
      <c r="I27" s="193"/>
      <c r="J27" s="194" t="str">
        <f>IF(AND(D27 &lt; 4, D27 &gt; 1)," Coin",
IF(AND(D27 &lt; 20, D27 &gt; 12)," d12",
IF(D27 = 0, "No Skill",
IF(D27 = 1, 1,
" d" &amp; 2*ROUNDDOWN(D27/2,0)))))
&amp;
IF(I27&gt;0,"+"&amp;I27,I27)
&amp;
IF(BEAUTYMOD &gt; 0,"+" &amp; BEAUTYMOD, "-" &amp; BEAUTYMOD*-1)</f>
        <v>No Skill-3</v>
      </c>
      <c r="K27" s="146">
        <f t="shared" si="13"/>
        <v>14</v>
      </c>
      <c r="L27" s="195">
        <f>BEAUTYMOD+I27+D27</f>
        <v>-3</v>
      </c>
      <c r="M27" s="196" t="s">
        <v>64</v>
      </c>
      <c r="Q27" s="62"/>
      <c r="R27" s="197"/>
      <c r="S27" s="198"/>
      <c r="X27" s="199"/>
    </row>
    <row r="28" ht="22.5" customHeight="1">
      <c r="C28" s="114" t="s">
        <v>124</v>
      </c>
      <c r="D28" s="89"/>
      <c r="E28" s="89"/>
      <c r="F28" s="89"/>
      <c r="G28" s="89"/>
      <c r="H28" s="89"/>
      <c r="I28" s="89"/>
      <c r="J28" s="89"/>
      <c r="K28" s="89"/>
      <c r="L28" s="89"/>
      <c r="M28" s="66"/>
      <c r="Q28" s="177" t="s">
        <v>125</v>
      </c>
      <c r="R28" s="200"/>
      <c r="S28" s="200"/>
      <c r="T28" s="200"/>
      <c r="U28" s="200"/>
      <c r="V28" s="200"/>
      <c r="W28" s="200"/>
      <c r="X28" s="201"/>
    </row>
    <row r="29" ht="22.5" customHeight="1">
      <c r="C29" s="117" t="s">
        <v>126</v>
      </c>
      <c r="D29" s="118"/>
      <c r="E29" s="119" t="s">
        <v>121</v>
      </c>
      <c r="F29" s="120">
        <f>DEX</f>
        <v>15</v>
      </c>
      <c r="G29" s="120">
        <f>WIS</f>
        <v>16</v>
      </c>
      <c r="H29" s="120">
        <f>CHA</f>
        <v>20</v>
      </c>
      <c r="I29" s="187"/>
      <c r="J29" s="182" t="str">
        <f t="shared" ref="J29:J31" si="14">IF(AND(D29 &lt; 4, D29 &gt; 1)," Coin",
IF(AND(D29 &lt; 20, D29 &gt; 12)," d12",
IF(D29 = 0, "No Skill",
IF(D29 = 1, 1,
" d" &amp; 2*ROUNDDOWN(D29/2,0)))))
&amp;
IF(I29&gt;0,"+"&amp;I29,I29)</f>
        <v>No Skill</v>
      </c>
      <c r="K29" s="124">
        <f t="shared" ref="K29:K31" si="15">MIN(F29,G29,H29)</f>
        <v>15</v>
      </c>
      <c r="L29" s="202">
        <f t="shared" ref="L29:L31" si="16">D29+I29</f>
        <v>0</v>
      </c>
      <c r="M29" s="184" t="s">
        <v>64</v>
      </c>
      <c r="Q29" s="178"/>
      <c r="R29" s="203"/>
      <c r="S29" s="186"/>
      <c r="X29" s="180"/>
    </row>
    <row r="30" ht="22.5" customHeight="1">
      <c r="C30" s="133" t="s">
        <v>127</v>
      </c>
      <c r="D30" s="118"/>
      <c r="E30" s="119" t="s">
        <v>121</v>
      </c>
      <c r="F30" s="120">
        <f>DEX</f>
        <v>15</v>
      </c>
      <c r="G30" s="120">
        <f>WIS</f>
        <v>16</v>
      </c>
      <c r="H30" s="120">
        <f>CHA</f>
        <v>20</v>
      </c>
      <c r="I30" s="187"/>
      <c r="J30" s="182" t="str">
        <f t="shared" si="14"/>
        <v>No Skill</v>
      </c>
      <c r="K30" s="124">
        <f t="shared" si="15"/>
        <v>15</v>
      </c>
      <c r="L30" s="202">
        <f t="shared" si="16"/>
        <v>0</v>
      </c>
      <c r="M30" s="184" t="s">
        <v>64</v>
      </c>
      <c r="Q30" s="178"/>
      <c r="R30" s="204"/>
      <c r="S30" s="205"/>
      <c r="X30" s="180"/>
    </row>
    <row r="31" ht="22.5" customHeight="1">
      <c r="C31" s="174" t="s">
        <v>128</v>
      </c>
      <c r="D31" s="141"/>
      <c r="E31" s="142" t="s">
        <v>93</v>
      </c>
      <c r="F31" s="143">
        <f>INT</f>
        <v>17</v>
      </c>
      <c r="G31" s="143">
        <f>WIS</f>
        <v>16</v>
      </c>
      <c r="H31" s="143">
        <f>CHA</f>
        <v>20</v>
      </c>
      <c r="I31" s="193"/>
      <c r="J31" s="194" t="str">
        <f t="shared" si="14"/>
        <v>No Skill</v>
      </c>
      <c r="K31" s="146">
        <f t="shared" si="15"/>
        <v>16</v>
      </c>
      <c r="L31" s="206">
        <f t="shared" si="16"/>
        <v>0</v>
      </c>
      <c r="M31" s="196" t="s">
        <v>64</v>
      </c>
      <c r="Q31" s="178"/>
      <c r="R31" s="203"/>
      <c r="S31" s="186"/>
      <c r="X31" s="180"/>
    </row>
    <row r="32" ht="22.5" customHeight="1">
      <c r="C32" s="114" t="s">
        <v>129</v>
      </c>
      <c r="D32" s="89"/>
      <c r="E32" s="89"/>
      <c r="F32" s="89"/>
      <c r="G32" s="89"/>
      <c r="H32" s="89"/>
      <c r="I32" s="89"/>
      <c r="J32" s="89"/>
      <c r="K32" s="89"/>
      <c r="L32" s="89"/>
      <c r="M32" s="66"/>
      <c r="Q32" s="178"/>
      <c r="R32" s="204"/>
      <c r="S32" s="205"/>
      <c r="X32" s="180"/>
    </row>
    <row r="33" ht="22.5" customHeight="1">
      <c r="C33" s="117" t="s">
        <v>130</v>
      </c>
      <c r="D33" s="118"/>
      <c r="E33" s="119" t="s">
        <v>87</v>
      </c>
      <c r="F33" s="120">
        <f>INT</f>
        <v>17</v>
      </c>
      <c r="G33" s="120">
        <f>CHA</f>
        <v>20</v>
      </c>
      <c r="H33" s="121"/>
      <c r="I33" s="187"/>
      <c r="J33" s="182" t="str">
        <f t="shared" ref="J33:J36" si="17">IF(AND(D33 &lt; 4, D33 &gt; 1)," Coin",
IF(AND(D33 &lt; 20, D33 &gt; 12)," d12",
IF(D33 = 0, "No Skill",
IF(D33 = 1, 1,
" d" &amp; 2*ROUNDDOWN(D33/2,0)))))
&amp;
IF(I33&gt;0,"+"&amp;I33,I33)</f>
        <v>No Skill</v>
      </c>
      <c r="K33" s="124">
        <f t="shared" ref="K33:K36" si="18">MIN(F33,G33,H33)</f>
        <v>17</v>
      </c>
      <c r="L33" s="202">
        <f t="shared" ref="L33:L36" si="19">D33+I33</f>
        <v>0</v>
      </c>
      <c r="M33" s="184" t="s">
        <v>64</v>
      </c>
      <c r="Q33" s="178"/>
      <c r="R33" s="203"/>
      <c r="S33" s="186"/>
      <c r="X33" s="180"/>
    </row>
    <row r="34" ht="22.5" customHeight="1">
      <c r="C34" s="117" t="s">
        <v>131</v>
      </c>
      <c r="D34" s="118"/>
      <c r="E34" s="119" t="s">
        <v>81</v>
      </c>
      <c r="F34" s="120">
        <f>WIS</f>
        <v>16</v>
      </c>
      <c r="G34" s="120">
        <f>CHA</f>
        <v>20</v>
      </c>
      <c r="H34" s="121"/>
      <c r="I34" s="187"/>
      <c r="J34" s="182" t="str">
        <f t="shared" si="17"/>
        <v>No Skill</v>
      </c>
      <c r="K34" s="124">
        <f t="shared" si="18"/>
        <v>16</v>
      </c>
      <c r="L34" s="202">
        <f t="shared" si="19"/>
        <v>0</v>
      </c>
      <c r="M34" s="184" t="s">
        <v>64</v>
      </c>
      <c r="Q34" s="178"/>
      <c r="R34" s="204"/>
      <c r="S34" s="205"/>
      <c r="X34" s="180"/>
    </row>
    <row r="35" ht="22.5" customHeight="1">
      <c r="C35" s="117" t="s">
        <v>132</v>
      </c>
      <c r="D35" s="118"/>
      <c r="E35" s="119" t="s">
        <v>87</v>
      </c>
      <c r="F35" s="120">
        <f>INT</f>
        <v>17</v>
      </c>
      <c r="G35" s="120">
        <f>CHA</f>
        <v>20</v>
      </c>
      <c r="H35" s="121"/>
      <c r="I35" s="187"/>
      <c r="J35" s="182" t="str">
        <f t="shared" si="17"/>
        <v>No Skill</v>
      </c>
      <c r="K35" s="124">
        <f t="shared" si="18"/>
        <v>17</v>
      </c>
      <c r="L35" s="202">
        <f t="shared" si="19"/>
        <v>0</v>
      </c>
      <c r="M35" s="184" t="s">
        <v>64</v>
      </c>
      <c r="Q35" s="178"/>
      <c r="R35" s="203"/>
      <c r="S35" s="186"/>
      <c r="X35" s="180"/>
    </row>
    <row r="36" ht="22.5" customHeight="1">
      <c r="C36" s="140" t="s">
        <v>133</v>
      </c>
      <c r="D36" s="141"/>
      <c r="E36" s="142" t="s">
        <v>93</v>
      </c>
      <c r="F36" s="143">
        <f>INT</f>
        <v>17</v>
      </c>
      <c r="G36" s="143">
        <f>WIS</f>
        <v>16</v>
      </c>
      <c r="H36" s="143">
        <f>CHA</f>
        <v>20</v>
      </c>
      <c r="I36" s="193"/>
      <c r="J36" s="194" t="str">
        <f t="shared" si="17"/>
        <v>No Skill</v>
      </c>
      <c r="K36" s="146">
        <f t="shared" si="18"/>
        <v>16</v>
      </c>
      <c r="L36" s="206">
        <f t="shared" si="19"/>
        <v>0</v>
      </c>
      <c r="M36" s="196" t="s">
        <v>64</v>
      </c>
      <c r="Q36" s="178"/>
      <c r="R36" s="204"/>
      <c r="S36" s="205"/>
      <c r="X36" s="180"/>
    </row>
    <row r="37" ht="22.5" customHeight="1">
      <c r="C37" s="114" t="s">
        <v>134</v>
      </c>
      <c r="D37" s="89"/>
      <c r="E37" s="89"/>
      <c r="F37" s="89"/>
      <c r="G37" s="89"/>
      <c r="H37" s="89"/>
      <c r="I37" s="89"/>
      <c r="J37" s="89"/>
      <c r="K37" s="89"/>
      <c r="L37" s="89"/>
      <c r="M37" s="66"/>
      <c r="Q37" s="178"/>
      <c r="R37" s="203"/>
      <c r="S37" s="186"/>
      <c r="X37" s="180"/>
    </row>
    <row r="38" ht="22.5" customHeight="1">
      <c r="C38" s="117" t="s">
        <v>135</v>
      </c>
      <c r="D38" s="118"/>
      <c r="E38" s="119" t="s">
        <v>90</v>
      </c>
      <c r="F38" s="120">
        <f>INT</f>
        <v>17</v>
      </c>
      <c r="G38" s="120">
        <f>WIS</f>
        <v>16</v>
      </c>
      <c r="H38" s="121"/>
      <c r="I38" s="187"/>
      <c r="J38" s="182" t="str">
        <f t="shared" ref="J38:J42" si="20">IF(AND(D38 &lt; 4, D38 &gt; 1)," Coin",
IF(AND(D38 &lt; 20, D38 &gt; 12)," d12",
IF(D38 = 0, "No Skill",
IF(D38 = 1, 1,
" d" &amp; 2*ROUNDDOWN(D38/2,0)))))
&amp;
IF(I38&gt;0,"+"&amp;I38,I38)</f>
        <v>No Skill</v>
      </c>
      <c r="K38" s="124">
        <f t="shared" ref="K38:K42" si="21">MIN(F38,G38,H38)</f>
        <v>16</v>
      </c>
      <c r="L38" s="202">
        <f t="shared" ref="L38:L42" si="22">D38+I38</f>
        <v>0</v>
      </c>
      <c r="M38" s="184" t="s">
        <v>64</v>
      </c>
      <c r="Q38" s="178"/>
      <c r="R38" s="204"/>
      <c r="S38" s="205"/>
      <c r="X38" s="180"/>
    </row>
    <row r="39" ht="22.5" customHeight="1">
      <c r="C39" s="133" t="s">
        <v>136</v>
      </c>
      <c r="D39" s="118"/>
      <c r="E39" s="119" t="s">
        <v>90</v>
      </c>
      <c r="F39" s="120">
        <f>INT</f>
        <v>17</v>
      </c>
      <c r="G39" s="120">
        <f>WIS</f>
        <v>16</v>
      </c>
      <c r="H39" s="121"/>
      <c r="I39" s="187"/>
      <c r="J39" s="182" t="str">
        <f t="shared" si="20"/>
        <v>No Skill</v>
      </c>
      <c r="K39" s="124">
        <f t="shared" si="21"/>
        <v>16</v>
      </c>
      <c r="L39" s="202">
        <f t="shared" si="22"/>
        <v>0</v>
      </c>
      <c r="M39" s="184" t="s">
        <v>64</v>
      </c>
      <c r="Q39" s="178"/>
      <c r="R39" s="203"/>
      <c r="S39" s="186"/>
      <c r="X39" s="180"/>
    </row>
    <row r="40" ht="22.5" customHeight="1">
      <c r="C40" s="117" t="s">
        <v>137</v>
      </c>
      <c r="D40" s="118"/>
      <c r="E40" s="119" t="s">
        <v>90</v>
      </c>
      <c r="F40" s="120">
        <f>INT</f>
        <v>17</v>
      </c>
      <c r="G40" s="120">
        <f>WIS</f>
        <v>16</v>
      </c>
      <c r="H40" s="121"/>
      <c r="I40" s="187"/>
      <c r="J40" s="182" t="str">
        <f t="shared" si="20"/>
        <v>No Skill</v>
      </c>
      <c r="K40" s="124">
        <f t="shared" si="21"/>
        <v>16</v>
      </c>
      <c r="L40" s="202">
        <f t="shared" si="22"/>
        <v>0</v>
      </c>
      <c r="M40" s="184" t="s">
        <v>64</v>
      </c>
      <c r="Q40" s="178"/>
      <c r="R40" s="204"/>
      <c r="S40" s="205"/>
      <c r="X40" s="180"/>
    </row>
    <row r="41" ht="22.5" customHeight="1">
      <c r="C41" s="117" t="s">
        <v>138</v>
      </c>
      <c r="D41" s="118"/>
      <c r="E41" s="119" t="s">
        <v>90</v>
      </c>
      <c r="F41" s="120">
        <f>INT</f>
        <v>17</v>
      </c>
      <c r="G41" s="120">
        <f>WIS</f>
        <v>16</v>
      </c>
      <c r="H41" s="121"/>
      <c r="I41" s="187"/>
      <c r="J41" s="182" t="str">
        <f t="shared" si="20"/>
        <v>No Skill</v>
      </c>
      <c r="K41" s="124">
        <f t="shared" si="21"/>
        <v>16</v>
      </c>
      <c r="L41" s="202">
        <f t="shared" si="22"/>
        <v>0</v>
      </c>
      <c r="M41" s="184" t="s">
        <v>64</v>
      </c>
      <c r="Q41" s="178"/>
      <c r="R41" s="203"/>
      <c r="S41" s="186"/>
      <c r="X41" s="180"/>
    </row>
    <row r="42" ht="22.5" customHeight="1">
      <c r="C42" s="174" t="s">
        <v>139</v>
      </c>
      <c r="D42" s="141"/>
      <c r="E42" s="142" t="s">
        <v>90</v>
      </c>
      <c r="F42" s="143">
        <f>INT</f>
        <v>17</v>
      </c>
      <c r="G42" s="143">
        <f>WIS</f>
        <v>16</v>
      </c>
      <c r="H42" s="207"/>
      <c r="I42" s="193"/>
      <c r="J42" s="194" t="str">
        <f t="shared" si="20"/>
        <v>No Skill</v>
      </c>
      <c r="K42" s="146">
        <f t="shared" si="21"/>
        <v>16</v>
      </c>
      <c r="L42" s="206">
        <f t="shared" si="22"/>
        <v>0</v>
      </c>
      <c r="M42" s="196" t="s">
        <v>64</v>
      </c>
      <c r="Q42" s="178"/>
      <c r="R42" s="204"/>
      <c r="S42" s="205"/>
      <c r="X42" s="180"/>
    </row>
    <row r="43" ht="22.5" customHeight="1">
      <c r="C43" s="114" t="s">
        <v>140</v>
      </c>
      <c r="D43" s="89"/>
      <c r="E43" s="89"/>
      <c r="F43" s="89"/>
      <c r="G43" s="89"/>
      <c r="H43" s="89"/>
      <c r="I43" s="89"/>
      <c r="J43" s="89"/>
      <c r="K43" s="89"/>
      <c r="L43" s="89"/>
      <c r="M43" s="66"/>
      <c r="Q43" s="178"/>
      <c r="R43" s="203"/>
      <c r="S43" s="186"/>
      <c r="X43" s="180"/>
    </row>
    <row r="44" ht="22.5" customHeight="1">
      <c r="C44" s="117" t="s">
        <v>141</v>
      </c>
      <c r="D44" s="118"/>
      <c r="E44" s="119" t="s">
        <v>93</v>
      </c>
      <c r="F44" s="120">
        <f>INT</f>
        <v>17</v>
      </c>
      <c r="G44" s="120">
        <f>WIS</f>
        <v>16</v>
      </c>
      <c r="H44" s="120">
        <f>CHA</f>
        <v>20</v>
      </c>
      <c r="I44" s="187"/>
      <c r="J44" s="182" t="str">
        <f t="shared" ref="J44:J48" si="23">IF(AND(D44 &lt; 4, D44 &gt; 1)," Coin",
IF(AND(D44 &lt; 20, D44 &gt; 12)," d12",
IF(D44 = 0, "No Skill",
IF(D44 = 1, 1,
" d" &amp; 2*ROUNDDOWN(D44/2,0)))))
&amp;
IF(I44&gt;0,"+"&amp;I44,I44)</f>
        <v>No Skill</v>
      </c>
      <c r="K44" s="124">
        <f t="shared" ref="K44:K48" si="24">MIN(F44,G44,H44)</f>
        <v>16</v>
      </c>
      <c r="L44" s="202">
        <f t="shared" ref="L44:L48" si="25">D44+I44</f>
        <v>0</v>
      </c>
      <c r="M44" s="184" t="s">
        <v>64</v>
      </c>
      <c r="Q44" s="178"/>
      <c r="R44" s="204"/>
      <c r="S44" s="205"/>
      <c r="X44" s="180"/>
    </row>
    <row r="45" ht="22.5" customHeight="1">
      <c r="C45" s="117" t="s">
        <v>142</v>
      </c>
      <c r="D45" s="118"/>
      <c r="E45" s="119" t="s">
        <v>143</v>
      </c>
      <c r="F45" s="120">
        <f>STR</f>
        <v>14</v>
      </c>
      <c r="G45" s="120">
        <f>INT</f>
        <v>17</v>
      </c>
      <c r="H45" s="120">
        <f>WIS</f>
        <v>16</v>
      </c>
      <c r="I45" s="187"/>
      <c r="J45" s="182" t="str">
        <f t="shared" si="23"/>
        <v>No Skill</v>
      </c>
      <c r="K45" s="124">
        <f t="shared" si="24"/>
        <v>14</v>
      </c>
      <c r="L45" s="202">
        <f t="shared" si="25"/>
        <v>0</v>
      </c>
      <c r="M45" s="184" t="s">
        <v>64</v>
      </c>
      <c r="Q45" s="178"/>
      <c r="R45" s="203"/>
      <c r="S45" s="186"/>
      <c r="X45" s="180"/>
    </row>
    <row r="46" ht="22.5" customHeight="1">
      <c r="C46" s="133" t="s">
        <v>144</v>
      </c>
      <c r="D46" s="118"/>
      <c r="E46" s="119" t="s">
        <v>145</v>
      </c>
      <c r="F46" s="120">
        <f>DEX</f>
        <v>15</v>
      </c>
      <c r="G46" s="120">
        <f>INT</f>
        <v>17</v>
      </c>
      <c r="H46" s="120">
        <f>WIS</f>
        <v>16</v>
      </c>
      <c r="I46" s="187"/>
      <c r="J46" s="182" t="str">
        <f t="shared" si="23"/>
        <v>No Skill</v>
      </c>
      <c r="K46" s="124">
        <f t="shared" si="24"/>
        <v>15</v>
      </c>
      <c r="L46" s="202">
        <f t="shared" si="25"/>
        <v>0</v>
      </c>
      <c r="M46" s="184" t="s">
        <v>64</v>
      </c>
      <c r="Q46" s="178"/>
      <c r="R46" s="204"/>
      <c r="S46" s="205"/>
      <c r="X46" s="180"/>
    </row>
    <row r="47" ht="22.5" customHeight="1">
      <c r="C47" s="117" t="s">
        <v>146</v>
      </c>
      <c r="D47" s="118"/>
      <c r="E47" s="119" t="s">
        <v>147</v>
      </c>
      <c r="F47" s="120">
        <f>CON</f>
        <v>15</v>
      </c>
      <c r="G47" s="120">
        <f>INT</f>
        <v>17</v>
      </c>
      <c r="H47" s="120">
        <f>WIS</f>
        <v>16</v>
      </c>
      <c r="I47" s="187"/>
      <c r="J47" s="182" t="str">
        <f t="shared" si="23"/>
        <v>No Skill</v>
      </c>
      <c r="K47" s="124">
        <f t="shared" si="24"/>
        <v>15</v>
      </c>
      <c r="L47" s="202">
        <f t="shared" si="25"/>
        <v>0</v>
      </c>
      <c r="M47" s="150" t="s">
        <v>64</v>
      </c>
      <c r="Q47" s="178"/>
      <c r="R47" s="203"/>
      <c r="S47" s="186"/>
      <c r="X47" s="180"/>
    </row>
    <row r="48" ht="22.5" customHeight="1">
      <c r="C48" s="140" t="s">
        <v>148</v>
      </c>
      <c r="D48" s="141"/>
      <c r="E48" s="142" t="s">
        <v>149</v>
      </c>
      <c r="F48" s="143">
        <f>DEX</f>
        <v>15</v>
      </c>
      <c r="G48" s="143">
        <f>INT</f>
        <v>17</v>
      </c>
      <c r="H48" s="143">
        <f>CHA</f>
        <v>20</v>
      </c>
      <c r="I48" s="193"/>
      <c r="J48" s="194" t="str">
        <f t="shared" si="23"/>
        <v>No Skill</v>
      </c>
      <c r="K48" s="146">
        <f t="shared" si="24"/>
        <v>15</v>
      </c>
      <c r="L48" s="206">
        <f t="shared" si="25"/>
        <v>0</v>
      </c>
      <c r="M48" s="196" t="s">
        <v>64</v>
      </c>
      <c r="Q48" s="178"/>
      <c r="R48" s="204"/>
      <c r="S48" s="205"/>
      <c r="X48" s="180"/>
    </row>
    <row r="49" ht="22.5" customHeight="1">
      <c r="C49" s="114" t="s">
        <v>150</v>
      </c>
      <c r="D49" s="89"/>
      <c r="E49" s="89"/>
      <c r="F49" s="89"/>
      <c r="G49" s="89"/>
      <c r="H49" s="89"/>
      <c r="I49" s="89"/>
      <c r="J49" s="89"/>
      <c r="K49" s="89"/>
      <c r="L49" s="89"/>
      <c r="M49" s="66"/>
      <c r="Q49" s="178"/>
      <c r="R49" s="203"/>
      <c r="S49" s="186"/>
      <c r="X49" s="180"/>
    </row>
    <row r="50" ht="22.5" customHeight="1">
      <c r="C50" s="117" t="s">
        <v>151</v>
      </c>
      <c r="D50" s="118"/>
      <c r="E50" s="119" t="s">
        <v>152</v>
      </c>
      <c r="F50" s="120">
        <f>STR</f>
        <v>14</v>
      </c>
      <c r="G50" s="120">
        <f>DEX</f>
        <v>15</v>
      </c>
      <c r="H50" s="120">
        <f>INT</f>
        <v>17</v>
      </c>
      <c r="I50" s="187"/>
      <c r="J50" s="182" t="str">
        <f t="shared" ref="J50:J53" si="26">IF(AND(D50 &lt; 4, D50 &gt; 1)," Coin",
IF(AND(D50 &lt; 20, D50 &gt; 12)," d12",
IF(D50 = 0, "No Skill",
IF(D50 = 1, 1,
" d" &amp; 2*ROUNDDOWN(D50/2,0)))))
&amp;
IF(I50&gt;0,"+"&amp;I50,I50)</f>
        <v>No Skill</v>
      </c>
      <c r="K50" s="124">
        <f t="shared" ref="K50:K53" si="27">MIN(F50,G50,H50)</f>
        <v>14</v>
      </c>
      <c r="L50" s="202">
        <f t="shared" ref="L50:L53" si="28">D50+I50</f>
        <v>0</v>
      </c>
      <c r="M50" s="184" t="s">
        <v>64</v>
      </c>
      <c r="Q50" s="178"/>
      <c r="R50" s="204"/>
      <c r="S50" s="205"/>
      <c r="X50" s="180"/>
    </row>
    <row r="51" ht="22.5" customHeight="1">
      <c r="C51" s="117" t="s">
        <v>153</v>
      </c>
      <c r="D51" s="118"/>
      <c r="E51" s="119" t="s">
        <v>121</v>
      </c>
      <c r="F51" s="120">
        <f>DEX</f>
        <v>15</v>
      </c>
      <c r="G51" s="120">
        <f>WIS</f>
        <v>16</v>
      </c>
      <c r="H51" s="120">
        <f>CHA</f>
        <v>20</v>
      </c>
      <c r="I51" s="187"/>
      <c r="J51" s="182" t="str">
        <f t="shared" si="26"/>
        <v>No Skill</v>
      </c>
      <c r="K51" s="124">
        <f t="shared" si="27"/>
        <v>15</v>
      </c>
      <c r="L51" s="202">
        <f t="shared" si="28"/>
        <v>0</v>
      </c>
      <c r="M51" s="184" t="s">
        <v>64</v>
      </c>
      <c r="Q51" s="178"/>
      <c r="R51" s="203"/>
      <c r="S51" s="186"/>
      <c r="X51" s="180"/>
    </row>
    <row r="52" ht="22.5" customHeight="1">
      <c r="C52" s="117" t="s">
        <v>154</v>
      </c>
      <c r="D52" s="118"/>
      <c r="E52" s="119" t="s">
        <v>155</v>
      </c>
      <c r="F52" s="120">
        <f>DEX</f>
        <v>15</v>
      </c>
      <c r="G52" s="120">
        <f>CON</f>
        <v>15</v>
      </c>
      <c r="H52" s="120">
        <f>INT</f>
        <v>17</v>
      </c>
      <c r="I52" s="187"/>
      <c r="J52" s="182" t="str">
        <f t="shared" si="26"/>
        <v>No Skill</v>
      </c>
      <c r="K52" s="124">
        <f t="shared" si="27"/>
        <v>15</v>
      </c>
      <c r="L52" s="202">
        <f t="shared" si="28"/>
        <v>0</v>
      </c>
      <c r="M52" s="184" t="s">
        <v>64</v>
      </c>
      <c r="Q52" s="178"/>
      <c r="R52" s="204"/>
      <c r="S52" s="205"/>
      <c r="X52" s="180"/>
    </row>
    <row r="53" ht="22.5" customHeight="1">
      <c r="C53" s="140" t="s">
        <v>156</v>
      </c>
      <c r="D53" s="141"/>
      <c r="E53" s="142" t="s">
        <v>76</v>
      </c>
      <c r="F53" s="143">
        <f>STR</f>
        <v>14</v>
      </c>
      <c r="G53" s="143">
        <f>DEX</f>
        <v>15</v>
      </c>
      <c r="H53" s="143">
        <f>CHA</f>
        <v>20</v>
      </c>
      <c r="I53" s="193"/>
      <c r="J53" s="194" t="str">
        <f t="shared" si="26"/>
        <v>No Skill</v>
      </c>
      <c r="K53" s="146">
        <f t="shared" si="27"/>
        <v>14</v>
      </c>
      <c r="L53" s="206">
        <f t="shared" si="28"/>
        <v>0</v>
      </c>
      <c r="M53" s="154" t="s">
        <v>64</v>
      </c>
      <c r="Q53" s="178"/>
      <c r="R53" s="203"/>
      <c r="S53" s="186"/>
      <c r="X53" s="180"/>
    </row>
    <row r="54" ht="22.5" customHeight="1">
      <c r="C54" s="114" t="s">
        <v>157</v>
      </c>
      <c r="D54" s="89"/>
      <c r="E54" s="89"/>
      <c r="F54" s="89"/>
      <c r="G54" s="89"/>
      <c r="H54" s="89"/>
      <c r="I54" s="89"/>
      <c r="J54" s="89"/>
      <c r="K54" s="89"/>
      <c r="L54" s="89"/>
      <c r="M54" s="66"/>
      <c r="Q54" s="178"/>
      <c r="R54" s="204"/>
      <c r="S54" s="205"/>
      <c r="X54" s="180"/>
    </row>
    <row r="55" ht="22.5" customHeight="1">
      <c r="C55" s="133" t="s">
        <v>158</v>
      </c>
      <c r="D55" s="118"/>
      <c r="E55" s="119" t="s">
        <v>81</v>
      </c>
      <c r="F55" s="120">
        <f>WIS</f>
        <v>16</v>
      </c>
      <c r="G55" s="120">
        <f>CHA</f>
        <v>20</v>
      </c>
      <c r="H55" s="121"/>
      <c r="I55" s="187"/>
      <c r="J55" s="182" t="str">
        <f t="shared" ref="J55:J57" si="29">IF(AND(D55 &lt; 4, D55 &gt; 1)," Coin",
IF(AND(D55 &lt; 20, D55 &gt; 12)," d12",
IF(D55 = 0, "No Skill",
IF(D55 = 1, 1,
" d" &amp; 2*ROUNDDOWN(D55/2,0)))))
&amp;
IF(I55&gt;0,"+"&amp;I55,I55)</f>
        <v>No Skill</v>
      </c>
      <c r="K55" s="124">
        <f t="shared" ref="K55:K57" si="30">MIN(F55,G55,H55)</f>
        <v>16</v>
      </c>
      <c r="L55" s="202">
        <f t="shared" ref="L55:L57" si="31">D55+I55</f>
        <v>0</v>
      </c>
      <c r="M55" s="150" t="s">
        <v>64</v>
      </c>
      <c r="Q55" s="178"/>
      <c r="R55" s="203"/>
      <c r="S55" s="186"/>
      <c r="X55" s="180"/>
    </row>
    <row r="56" ht="22.5" customHeight="1">
      <c r="C56" s="133" t="s">
        <v>159</v>
      </c>
      <c r="D56" s="118"/>
      <c r="E56" s="119" t="s">
        <v>90</v>
      </c>
      <c r="F56" s="120">
        <f>INT</f>
        <v>17</v>
      </c>
      <c r="G56" s="120">
        <f>WIS</f>
        <v>16</v>
      </c>
      <c r="H56" s="121"/>
      <c r="I56" s="187"/>
      <c r="J56" s="182" t="str">
        <f t="shared" si="29"/>
        <v>No Skill</v>
      </c>
      <c r="K56" s="124">
        <f t="shared" si="30"/>
        <v>16</v>
      </c>
      <c r="L56" s="202">
        <f t="shared" si="31"/>
        <v>0</v>
      </c>
      <c r="M56" s="150" t="s">
        <v>64</v>
      </c>
      <c r="Q56" s="178"/>
      <c r="R56" s="204"/>
      <c r="S56" s="205"/>
      <c r="X56" s="180"/>
    </row>
    <row r="57" ht="22.5" customHeight="1">
      <c r="C57" s="174" t="s">
        <v>160</v>
      </c>
      <c r="D57" s="141"/>
      <c r="E57" s="142" t="s">
        <v>93</v>
      </c>
      <c r="F57" s="143">
        <f>INT</f>
        <v>17</v>
      </c>
      <c r="G57" s="143">
        <f>WIS</f>
        <v>16</v>
      </c>
      <c r="H57" s="143">
        <f>CHA</f>
        <v>20</v>
      </c>
      <c r="I57" s="193"/>
      <c r="J57" s="194" t="str">
        <f t="shared" si="29"/>
        <v>No Skill</v>
      </c>
      <c r="K57" s="146">
        <f t="shared" si="30"/>
        <v>16</v>
      </c>
      <c r="L57" s="206">
        <f t="shared" si="31"/>
        <v>0</v>
      </c>
      <c r="M57" s="154" t="s">
        <v>64</v>
      </c>
      <c r="Q57" s="178"/>
      <c r="R57" s="203"/>
      <c r="S57" s="186"/>
      <c r="X57" s="180"/>
    </row>
    <row r="58" ht="22.5" customHeight="1">
      <c r="C58" s="114" t="s">
        <v>161</v>
      </c>
      <c r="D58" s="89"/>
      <c r="E58" s="89"/>
      <c r="F58" s="89"/>
      <c r="G58" s="89"/>
      <c r="H58" s="89"/>
      <c r="I58" s="89"/>
      <c r="J58" s="89"/>
      <c r="K58" s="89"/>
      <c r="L58" s="89"/>
      <c r="M58" s="66"/>
      <c r="Q58" s="178"/>
      <c r="R58" s="204"/>
      <c r="S58" s="205"/>
      <c r="X58" s="180"/>
    </row>
    <row r="59" ht="22.5" customHeight="1">
      <c r="C59" s="117" t="s">
        <v>162</v>
      </c>
      <c r="D59" s="118"/>
      <c r="E59" s="119" t="s">
        <v>121</v>
      </c>
      <c r="F59" s="120">
        <f>DEX</f>
        <v>15</v>
      </c>
      <c r="G59" s="120">
        <f>WIS</f>
        <v>16</v>
      </c>
      <c r="H59" s="120">
        <f>CHA</f>
        <v>20</v>
      </c>
      <c r="I59" s="187"/>
      <c r="J59" s="182" t="str">
        <f t="shared" ref="J59:J61" si="32">IF(AND(D59 &lt; 4, D59 &gt; 1)," Coin",
IF(AND(D59 &lt; 20, D59 &gt; 12)," d12",
IF(D59 = 0, "No Skill",
IF(D59 = 1, 1,
" d" &amp; 2*ROUNDDOWN(D59/2,0)))))
&amp;
IF(I59&gt;0,"+"&amp;I59,I59)</f>
        <v>No Skill</v>
      </c>
      <c r="K59" s="124">
        <f t="shared" ref="K59:K61" si="33">MIN(F59,G59,H59)</f>
        <v>15</v>
      </c>
      <c r="L59" s="202">
        <f t="shared" ref="L59:L61" si="34">D59+I59</f>
        <v>0</v>
      </c>
      <c r="M59" s="184" t="s">
        <v>64</v>
      </c>
      <c r="Q59" s="178"/>
      <c r="R59" s="203"/>
      <c r="S59" s="186"/>
      <c r="X59" s="180"/>
    </row>
    <row r="60" ht="22.5" customHeight="1">
      <c r="C60" s="117" t="s">
        <v>163</v>
      </c>
      <c r="D60" s="118"/>
      <c r="E60" s="119" t="s">
        <v>145</v>
      </c>
      <c r="F60" s="120">
        <f>DEX</f>
        <v>15</v>
      </c>
      <c r="G60" s="120">
        <f>INT</f>
        <v>17</v>
      </c>
      <c r="H60" s="120">
        <f>WIS</f>
        <v>16</v>
      </c>
      <c r="I60" s="187"/>
      <c r="J60" s="182" t="str">
        <f t="shared" si="32"/>
        <v>No Skill</v>
      </c>
      <c r="K60" s="124">
        <f t="shared" si="33"/>
        <v>15</v>
      </c>
      <c r="L60" s="202">
        <f t="shared" si="34"/>
        <v>0</v>
      </c>
      <c r="M60" s="184" t="s">
        <v>64</v>
      </c>
      <c r="Q60" s="178"/>
      <c r="R60" s="204"/>
      <c r="S60" s="205"/>
      <c r="X60" s="180"/>
    </row>
    <row r="61" ht="22.5" customHeight="1">
      <c r="C61" s="140" t="s">
        <v>164</v>
      </c>
      <c r="D61" s="141"/>
      <c r="E61" s="142" t="s">
        <v>165</v>
      </c>
      <c r="F61" s="143">
        <f>DEX</f>
        <v>15</v>
      </c>
      <c r="G61" s="143">
        <f>CON</f>
        <v>15</v>
      </c>
      <c r="H61" s="143">
        <f>CHA</f>
        <v>20</v>
      </c>
      <c r="I61" s="193"/>
      <c r="J61" s="194" t="str">
        <f t="shared" si="32"/>
        <v>No Skill</v>
      </c>
      <c r="K61" s="146">
        <f t="shared" si="33"/>
        <v>15</v>
      </c>
      <c r="L61" s="206">
        <f t="shared" si="34"/>
        <v>0</v>
      </c>
      <c r="M61" s="154" t="s">
        <v>64</v>
      </c>
      <c r="Q61" s="178"/>
      <c r="R61" s="203"/>
      <c r="S61" s="186"/>
      <c r="X61" s="180"/>
    </row>
    <row r="62" ht="22.5" customHeight="1">
      <c r="C62" s="114" t="s">
        <v>166</v>
      </c>
      <c r="D62" s="89"/>
      <c r="E62" s="89"/>
      <c r="F62" s="89"/>
      <c r="G62" s="89"/>
      <c r="H62" s="89"/>
      <c r="I62" s="89"/>
      <c r="J62" s="89"/>
      <c r="K62" s="89"/>
      <c r="L62" s="89"/>
      <c r="M62" s="66"/>
      <c r="Q62" s="178"/>
      <c r="R62" s="204"/>
      <c r="S62" s="205"/>
      <c r="X62" s="180"/>
    </row>
    <row r="63" ht="22.5" customHeight="1">
      <c r="C63" s="117" t="s">
        <v>167</v>
      </c>
      <c r="D63" s="118"/>
      <c r="E63" s="119" t="s">
        <v>93</v>
      </c>
      <c r="F63" s="120">
        <f>INT</f>
        <v>17</v>
      </c>
      <c r="G63" s="120">
        <f>WIS</f>
        <v>16</v>
      </c>
      <c r="H63" s="120">
        <f>CHA</f>
        <v>20</v>
      </c>
      <c r="I63" s="187"/>
      <c r="J63" s="182" t="str">
        <f t="shared" ref="J63:J65" si="35">IF(AND(D63 &lt; 4, D63 &gt; 1)," Coin",
IF(AND(D63 &lt; 20, D63 &gt; 12)," d12",
IF(D63 = 0, "No Skill",
IF(D63 = 1, 1,
" d" &amp; 2*ROUNDDOWN(D63/2,0)))))
&amp;
IF(I63&gt;0,"+"&amp;I63,I63)</f>
        <v>No Skill</v>
      </c>
      <c r="K63" s="124">
        <f t="shared" ref="K63:K65" si="36">MIN(F63,G63,H63)</f>
        <v>16</v>
      </c>
      <c r="L63" s="202">
        <f t="shared" ref="L63:L65" si="37">D63+I63</f>
        <v>0</v>
      </c>
      <c r="M63" s="184" t="s">
        <v>64</v>
      </c>
      <c r="Q63" s="178"/>
      <c r="R63" s="203"/>
      <c r="S63" s="186"/>
      <c r="X63" s="180"/>
    </row>
    <row r="64" ht="22.5" customHeight="1">
      <c r="C64" s="117" t="s">
        <v>168</v>
      </c>
      <c r="D64" s="118"/>
      <c r="E64" s="119" t="s">
        <v>93</v>
      </c>
      <c r="F64" s="120">
        <f>INT</f>
        <v>17</v>
      </c>
      <c r="G64" s="120">
        <f>WIS</f>
        <v>16</v>
      </c>
      <c r="H64" s="120">
        <f>CHA</f>
        <v>20</v>
      </c>
      <c r="I64" s="187"/>
      <c r="J64" s="182" t="str">
        <f t="shared" si="35"/>
        <v>No Skill</v>
      </c>
      <c r="K64" s="124">
        <f t="shared" si="36"/>
        <v>16</v>
      </c>
      <c r="L64" s="202">
        <f t="shared" si="37"/>
        <v>0</v>
      </c>
      <c r="M64" s="150" t="s">
        <v>64</v>
      </c>
      <c r="Q64" s="178"/>
      <c r="R64" s="204"/>
      <c r="S64" s="205"/>
      <c r="X64" s="180"/>
    </row>
    <row r="65" ht="22.5" customHeight="1">
      <c r="C65" s="140" t="s">
        <v>169</v>
      </c>
      <c r="D65" s="141"/>
      <c r="E65" s="142" t="s">
        <v>93</v>
      </c>
      <c r="F65" s="143">
        <f>INT</f>
        <v>17</v>
      </c>
      <c r="G65" s="143">
        <f>WIS</f>
        <v>16</v>
      </c>
      <c r="H65" s="143">
        <f>CHA</f>
        <v>20</v>
      </c>
      <c r="I65" s="193"/>
      <c r="J65" s="194" t="str">
        <f t="shared" si="35"/>
        <v>No Skill</v>
      </c>
      <c r="K65" s="146">
        <f t="shared" si="36"/>
        <v>16</v>
      </c>
      <c r="L65" s="206">
        <f t="shared" si="37"/>
        <v>0</v>
      </c>
      <c r="M65" s="196" t="s">
        <v>64</v>
      </c>
      <c r="Q65" s="188"/>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170</v>
      </c>
    </row>
    <row r="2" ht="7.5" customHeight="1">
      <c r="A2" s="213"/>
      <c r="B2" s="91"/>
      <c r="E2" s="91"/>
      <c r="H2" s="91"/>
      <c r="K2" s="108"/>
      <c r="Q2" s="108"/>
      <c r="Z2" s="108"/>
      <c r="AK2" s="108"/>
      <c r="AT2" s="108"/>
      <c r="BE2" s="108"/>
      <c r="BN2" s="108"/>
      <c r="BT2" s="213"/>
    </row>
    <row r="3" ht="18.75" customHeight="1">
      <c r="E3" s="214" t="s">
        <v>171</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27</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171</v>
      </c>
      <c r="D8" s="217"/>
      <c r="E8" s="214" t="s">
        <v>171</v>
      </c>
      <c r="H8" s="221"/>
      <c r="I8" s="214" t="s">
        <v>171</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27</v>
      </c>
      <c r="I9" s="215">
        <f>IF(I8="Broken", ROUNDDOWN(MAX((TOUGHNESS/2+RESISTMOD)/2, 1),0),ROUNDDOWN(MAX(TOUGHNESS/2+RESISTMOD, 1),0))</f>
        <v>27</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34</v>
      </c>
      <c r="H10" s="222"/>
      <c r="I10" s="221"/>
      <c r="L10" s="228" t="s">
        <v>172</v>
      </c>
      <c r="P10" s="224"/>
      <c r="Z10" s="224"/>
      <c r="AA10" s="221"/>
      <c r="AF10" s="228" t="s">
        <v>172</v>
      </c>
      <c r="AJ10" s="224"/>
      <c r="AT10" s="224"/>
      <c r="AU10" s="221"/>
      <c r="AZ10" s="228" t="s">
        <v>172</v>
      </c>
      <c r="BD10" s="224"/>
      <c r="BN10" s="224"/>
      <c r="BO10" s="221"/>
    </row>
    <row r="11" ht="18.75" customHeight="1">
      <c r="C11" s="214" t="s">
        <v>171</v>
      </c>
      <c r="I11" s="214" t="s">
        <v>171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27</v>
      </c>
      <c r="E12" s="217"/>
      <c r="I12" s="215">
        <f>IF(I11="Broken", ROUNDDOWN(MAX((TOUGHNESS/2+RESISTMOD)/2, 1),0),ROUNDDOWN(MAX(TOUGHNESS/2+RESISTMOD, 1),0))</f>
        <v>27</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171</v>
      </c>
      <c r="F13" s="222"/>
      <c r="G13" s="214" t="s">
        <v>171</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34</v>
      </c>
      <c r="G15" s="235">
        <f>IF(G13="Broken", ROUNDDOWN(MAX((TOUGHNESS+RESISTMOD)/2, 1),0),ROUNDDOWN(MAX(TOUGHNESS+RESISTMOD, 1),0))</f>
        <v>34</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171</v>
      </c>
      <c r="G18" s="237" t="s">
        <v>171</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27</v>
      </c>
      <c r="G19" s="215">
        <f>IF(G18="Broken", ROUNDDOWN(MAX((TOUGHNESS/2+RESISTMOD)/2, 1),0),ROUNDDOWN(MAX(TOUGHNESS/2+RESISTMOD, 1),0))</f>
        <v>27</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173</v>
      </c>
      <c r="E21" s="21"/>
      <c r="F21" s="21"/>
      <c r="G21" s="21"/>
      <c r="H21" s="27"/>
      <c r="I21" s="232"/>
      <c r="J21" s="232"/>
      <c r="O21" s="241" t="s">
        <v>174</v>
      </c>
      <c r="AB21" s="222"/>
      <c r="AC21" s="239"/>
      <c r="AI21" s="241" t="s">
        <v>175</v>
      </c>
      <c r="AV21" s="222"/>
      <c r="AW21" s="239"/>
      <c r="BC21" s="241" t="s">
        <v>176</v>
      </c>
      <c r="BP21" s="222"/>
      <c r="BQ21" s="239"/>
    </row>
    <row r="22" ht="21.0" customHeight="1">
      <c r="C22" s="242" t="s">
        <v>177</v>
      </c>
      <c r="D22" s="243">
        <f>FOCUSMOD+(Main!H6*4)+(Main!H9*2)</f>
        <v>600</v>
      </c>
      <c r="F22" s="222"/>
      <c r="G22" s="244" t="s">
        <v>178</v>
      </c>
      <c r="H22" s="36"/>
      <c r="I22" s="245" t="s">
        <v>179</v>
      </c>
      <c r="O22" s="216"/>
      <c r="V22" s="214" t="s">
        <v>171</v>
      </c>
      <c r="AB22" s="222"/>
      <c r="AC22" s="246"/>
      <c r="AD22" s="221"/>
      <c r="AE22" s="239"/>
      <c r="AG22" s="221"/>
      <c r="AI22" s="216"/>
      <c r="AP22" s="214" t="s">
        <v>171</v>
      </c>
      <c r="AV22" s="222"/>
      <c r="AW22" s="246"/>
      <c r="AX22" s="221"/>
      <c r="AY22" s="239"/>
      <c r="BA22" s="221"/>
      <c r="BC22" s="216"/>
      <c r="BJ22" s="214" t="s">
        <v>171</v>
      </c>
      <c r="BP22" s="222"/>
      <c r="BQ22" s="246"/>
      <c r="BR22" s="247" t="str">
        <f>IFERROR(vlookup(BC22,Inventory!C4:AJ37,34,false),"")</f>
        <v/>
      </c>
    </row>
    <row r="23" ht="21.0" customHeight="1">
      <c r="C23" s="242" t="s">
        <v>180</v>
      </c>
      <c r="D23" s="248">
        <v>600.0</v>
      </c>
      <c r="F23" s="222"/>
      <c r="G23" s="244" t="s">
        <v>181</v>
      </c>
      <c r="H23" s="36"/>
      <c r="O23" s="218"/>
      <c r="V23" s="227" t="s">
        <v>171</v>
      </c>
      <c r="AB23" s="222"/>
      <c r="AD23" s="221"/>
      <c r="AI23" s="218"/>
      <c r="AP23" s="227" t="s">
        <v>171</v>
      </c>
      <c r="AV23" s="222"/>
      <c r="AX23" s="221"/>
      <c r="BC23" s="218"/>
      <c r="BJ23" s="227" t="s">
        <v>171</v>
      </c>
      <c r="BP23" s="222"/>
      <c r="BR23" s="247" t="str">
        <f>IFERROR(vlookup(BC23,Inventory!C4:AJ37,34,false),"")</f>
        <v/>
      </c>
      <c r="BS23" s="221"/>
    </row>
    <row r="24" ht="21.0" customHeight="1">
      <c r="D24" s="249"/>
      <c r="E24" s="49"/>
      <c r="F24" s="250"/>
      <c r="G24" s="251" t="s">
        <v>182</v>
      </c>
      <c r="H24" s="55"/>
      <c r="I24" s="252" t="b">
        <v>0</v>
      </c>
      <c r="O24" s="216"/>
      <c r="V24" s="214" t="s">
        <v>171</v>
      </c>
      <c r="AB24" s="222"/>
      <c r="AI24" s="216"/>
      <c r="AP24" s="214" t="s">
        <v>171</v>
      </c>
      <c r="AV24" s="222"/>
      <c r="BC24" s="216"/>
      <c r="BJ24" s="214" t="s">
        <v>171</v>
      </c>
      <c r="BP24" s="222"/>
      <c r="BR24" s="247" t="str">
        <f>IFERROR(vlookup(BC24,Inventory!C4:AJ37,34,false),"")</f>
        <v/>
      </c>
      <c r="BS24" s="221"/>
    </row>
    <row r="25" ht="21.0" customHeight="1">
      <c r="C25" s="224"/>
      <c r="D25" s="253" t="s">
        <v>183</v>
      </c>
      <c r="F25" s="224"/>
      <c r="G25" s="224"/>
      <c r="O25" s="218"/>
      <c r="V25" s="227" t="s">
        <v>171</v>
      </c>
      <c r="AB25" s="222"/>
      <c r="AI25" s="218"/>
      <c r="AP25" s="227" t="s">
        <v>171</v>
      </c>
      <c r="AV25" s="222"/>
      <c r="BC25" s="218"/>
      <c r="BJ25" s="227" t="s">
        <v>171</v>
      </c>
      <c r="BP25" s="222"/>
      <c r="BR25" s="247" t="str">
        <f>IFERROR(vlookup(BC25,Inventory!C4:AJ37,34,false),"")</f>
        <v/>
      </c>
      <c r="BS25" s="221"/>
    </row>
    <row r="26" ht="21.0" customHeight="1">
      <c r="C26" s="254" t="s">
        <v>184</v>
      </c>
      <c r="F26" s="255"/>
      <c r="G26" s="256">
        <f>2*ROUNDDOWN(MAX(MAX(Main!H6,0), 0)/2,0)+REGENMOD</f>
        <v>24</v>
      </c>
      <c r="H26" s="257"/>
      <c r="I26" s="258"/>
      <c r="O26" s="216"/>
      <c r="V26" s="214" t="s">
        <v>171</v>
      </c>
      <c r="AB26" s="222"/>
      <c r="AI26" s="216"/>
      <c r="AP26" s="214" t="s">
        <v>171</v>
      </c>
      <c r="AV26" s="222"/>
      <c r="BC26" s="216"/>
      <c r="BJ26" s="214" t="s">
        <v>171</v>
      </c>
      <c r="BP26" s="222"/>
      <c r="BR26" s="247" t="str">
        <f>IFERROR(vlookup(BC26,Inventory!C4:AJ37,34,false),"")</f>
        <v/>
      </c>
      <c r="BS26" s="221"/>
    </row>
    <row r="27" ht="21.0" customHeight="1">
      <c r="C27" s="254" t="s">
        <v>185</v>
      </c>
      <c r="G27" s="256">
        <f>APTMOD+MAX(MIN(STR,WIS,DEX), 1)</f>
        <v>19</v>
      </c>
      <c r="O27" s="218"/>
      <c r="V27" s="227" t="s">
        <v>171</v>
      </c>
      <c r="AB27" s="222"/>
      <c r="AI27" s="218"/>
      <c r="AP27" s="227" t="s">
        <v>171</v>
      </c>
      <c r="AV27" s="222"/>
      <c r="BC27" s="218"/>
      <c r="BJ27" s="227" t="s">
        <v>171</v>
      </c>
      <c r="BP27" s="222"/>
      <c r="BR27" s="247" t="str">
        <f>IFERROR(vlookup(BC27,Inventory!C4:AJ37,34,false),"")</f>
        <v/>
      </c>
      <c r="BS27" s="221"/>
    </row>
    <row r="28" ht="21.0" customHeight="1">
      <c r="C28" s="254" t="s">
        <v>186</v>
      </c>
      <c r="G28" s="256" t="str">
        <f>IF(Inventory!AI38 = "Fine", 5+QUOTIENT(Main!H5,2)*5 + SPEEDMOD*5 &amp; "ft (" &amp; 1+QUOTIENT(Main!H5,2) + SPEEDMOD &amp; ")", 0)</f>
        <v>80ft (16)</v>
      </c>
      <c r="O28" s="216"/>
      <c r="V28" s="214" t="s">
        <v>171</v>
      </c>
      <c r="AB28" s="222"/>
      <c r="AI28" s="216"/>
      <c r="AP28" s="214" t="s">
        <v>171</v>
      </c>
      <c r="AV28" s="222"/>
      <c r="BC28" s="216"/>
      <c r="BJ28" s="214" t="s">
        <v>171</v>
      </c>
      <c r="BP28" s="222"/>
      <c r="BR28" s="247" t="str">
        <f>IFERROR(vlookup(BC28,Inventory!C4:AJ37,34,false),"")</f>
        <v/>
      </c>
      <c r="BS28" s="221"/>
    </row>
    <row r="29" ht="21.0" customHeight="1">
      <c r="C29" s="254" t="s">
        <v>187</v>
      </c>
      <c r="G29" s="259" t="str">
        <f>Main!H5*0.25+Main!F4*0.25 &amp; "ft Vertical" &amp; "
" &amp; (SPEEDMOD*5+20+Main!H5*5)*0.25+Main!E4*0.25 &amp; "ft Long"</f>
        <v>8.5ft Vertical
39.75ft Long</v>
      </c>
      <c r="O29" s="218"/>
      <c r="V29" s="227" t="s">
        <v>171</v>
      </c>
      <c r="AB29" s="222"/>
      <c r="AI29" s="218"/>
      <c r="AP29" s="227" t="s">
        <v>171</v>
      </c>
      <c r="AV29" s="222"/>
      <c r="BC29" s="218"/>
      <c r="BJ29" s="227" t="s">
        <v>171</v>
      </c>
      <c r="BP29" s="222"/>
      <c r="BR29" s="247" t="str">
        <f>IFERROR(vlookup(BC29,Inventory!C4:AJ37,34,false),"")</f>
        <v/>
      </c>
      <c r="BS29" s="221"/>
    </row>
    <row r="30" ht="21.0" customHeight="1">
      <c r="C30" s="254" t="s">
        <v>188</v>
      </c>
      <c r="G30" s="259" t="str">
        <f>"0/"&amp; STR*2+Main!L8 &amp;"/0 : 0/0/0"</f>
        <v>0/58/0 : 0/0/0</v>
      </c>
      <c r="O30" s="216"/>
      <c r="V30" s="214" t="s">
        <v>171</v>
      </c>
      <c r="AB30" s="222"/>
      <c r="AI30" s="216"/>
      <c r="AP30" s="214" t="s">
        <v>171</v>
      </c>
      <c r="AV30" s="222"/>
      <c r="BC30" s="216"/>
      <c r="BJ30" s="214" t="s">
        <v>171</v>
      </c>
      <c r="BP30" s="222"/>
      <c r="BR30" s="247" t="str">
        <f>IFERROR(vlookup(BC30,Inventory!C4:AJ37,34,false),"")</f>
        <v/>
      </c>
      <c r="BS30" s="247">
        <f>Sum(BR22:BR31)</f>
        <v>0</v>
      </c>
    </row>
    <row r="31" ht="21.0" customHeight="1">
      <c r="C31" s="254" t="s">
        <v>189</v>
      </c>
      <c r="G31" s="260">
        <f>Main!H9</f>
        <v>20</v>
      </c>
      <c r="O31" s="218"/>
      <c r="V31" s="227" t="s">
        <v>171</v>
      </c>
      <c r="AB31" s="222"/>
      <c r="AD31" s="221"/>
      <c r="AE31" s="239"/>
      <c r="AG31" s="221"/>
      <c r="AI31" s="218"/>
      <c r="AP31" s="227" t="s">
        <v>171</v>
      </c>
      <c r="AV31" s="222"/>
      <c r="AX31" s="221"/>
      <c r="AY31" s="239"/>
      <c r="BA31" s="221"/>
      <c r="BC31" s="218"/>
      <c r="BJ31" s="227" t="s">
        <v>171</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190</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191</v>
      </c>
      <c r="C2" s="263" t="s">
        <v>192</v>
      </c>
      <c r="D2" s="263" t="s">
        <v>193</v>
      </c>
      <c r="E2" s="263" t="s">
        <v>194</v>
      </c>
      <c r="F2" s="264" t="s">
        <v>195</v>
      </c>
      <c r="G2" s="265" t="s">
        <v>196</v>
      </c>
      <c r="H2" s="266"/>
      <c r="I2" s="266"/>
      <c r="J2" s="266"/>
      <c r="K2" s="266"/>
      <c r="L2" s="266"/>
      <c r="M2" s="266"/>
      <c r="N2" s="267"/>
      <c r="O2" s="263" t="s">
        <v>197</v>
      </c>
      <c r="P2" s="265" t="s">
        <v>198</v>
      </c>
      <c r="Q2" s="266"/>
      <c r="R2" s="266"/>
      <c r="S2" s="266"/>
      <c r="T2" s="266"/>
      <c r="U2" s="267"/>
      <c r="V2" s="263" t="s">
        <v>199</v>
      </c>
      <c r="W2" s="265"/>
      <c r="X2" s="266"/>
      <c r="Y2" s="266"/>
      <c r="Z2" s="266"/>
      <c r="AA2" s="266"/>
      <c r="AB2" s="266"/>
      <c r="AC2" s="266"/>
      <c r="AD2" s="266"/>
      <c r="AE2" s="266"/>
      <c r="AF2" s="267"/>
      <c r="AG2" s="263" t="s">
        <v>200</v>
      </c>
      <c r="AH2" s="268" t="s">
        <v>201</v>
      </c>
      <c r="AI2" s="269" t="s">
        <v>37</v>
      </c>
      <c r="AJ2" s="213"/>
    </row>
    <row r="3" ht="45.0" customHeight="1">
      <c r="A3" s="213"/>
      <c r="B3" s="82"/>
      <c r="C3" s="85"/>
      <c r="D3" s="85"/>
      <c r="E3" s="85"/>
      <c r="F3" s="85"/>
      <c r="G3" s="270" t="s">
        <v>202</v>
      </c>
      <c r="H3" s="271" t="s">
        <v>203</v>
      </c>
      <c r="I3" s="271" t="s">
        <v>204</v>
      </c>
      <c r="J3" s="271"/>
      <c r="K3" s="271" t="s">
        <v>205</v>
      </c>
      <c r="L3" s="271" t="s">
        <v>206</v>
      </c>
      <c r="M3" s="271" t="s">
        <v>207</v>
      </c>
      <c r="N3" s="272" t="s">
        <v>208</v>
      </c>
      <c r="O3" s="85"/>
      <c r="P3" s="273" t="s">
        <v>209</v>
      </c>
      <c r="Q3" s="274" t="s">
        <v>116</v>
      </c>
      <c r="R3" s="274" t="s">
        <v>205</v>
      </c>
      <c r="S3" s="274" t="s">
        <v>206</v>
      </c>
      <c r="T3" s="274" t="s">
        <v>207</v>
      </c>
      <c r="U3" s="275" t="s">
        <v>208</v>
      </c>
      <c r="V3" s="85"/>
      <c r="W3" s="270" t="s">
        <v>210</v>
      </c>
      <c r="X3" s="271" t="s">
        <v>211</v>
      </c>
      <c r="Y3" s="271" t="s">
        <v>212</v>
      </c>
      <c r="Z3" s="271" t="s">
        <v>213</v>
      </c>
      <c r="AA3" s="271" t="s">
        <v>214</v>
      </c>
      <c r="AB3" s="271" t="s">
        <v>215</v>
      </c>
      <c r="AC3" s="271" t="s">
        <v>216</v>
      </c>
      <c r="AD3" s="271" t="s">
        <v>217</v>
      </c>
      <c r="AE3" s="271" t="s">
        <v>218</v>
      </c>
      <c r="AF3" s="272" t="s">
        <v>219</v>
      </c>
      <c r="AG3" s="85"/>
      <c r="AH3" s="85"/>
      <c r="AI3" s="86"/>
      <c r="AJ3" s="213"/>
    </row>
    <row r="4" ht="56.25" customHeight="1">
      <c r="A4" s="213"/>
      <c r="B4" s="276">
        <v>1.0</v>
      </c>
      <c r="C4" s="277"/>
      <c r="D4" s="278"/>
      <c r="E4" s="278"/>
      <c r="F4" s="278"/>
      <c r="G4" s="279"/>
      <c r="H4" s="279"/>
      <c r="I4" s="279"/>
      <c r="J4" s="280" t="s">
        <v>220</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5"/>
      <c r="F5" s="294"/>
      <c r="G5" s="296"/>
      <c r="H5" s="297"/>
      <c r="I5" s="297"/>
      <c r="J5" s="280" t="s">
        <v>220</v>
      </c>
      <c r="K5" s="298"/>
      <c r="L5" s="298"/>
      <c r="M5" s="298"/>
      <c r="N5" s="298"/>
      <c r="O5" s="299"/>
      <c r="P5" s="300"/>
      <c r="Q5" s="299"/>
      <c r="R5" s="301"/>
      <c r="S5" s="301"/>
      <c r="T5" s="301"/>
      <c r="U5" s="302"/>
      <c r="V5" s="285"/>
      <c r="W5" s="303" t="b">
        <v>0</v>
      </c>
      <c r="X5" s="304" t="b">
        <v>0</v>
      </c>
      <c r="Y5" s="304" t="b">
        <v>0</v>
      </c>
      <c r="Z5" s="304" t="b">
        <v>0</v>
      </c>
      <c r="AA5" s="304" t="b">
        <v>0</v>
      </c>
      <c r="AB5" s="304" t="b">
        <v>0</v>
      </c>
      <c r="AC5" s="304" t="b">
        <v>0</v>
      </c>
      <c r="AD5" s="304" t="b">
        <v>0</v>
      </c>
      <c r="AE5" s="304" t="b">
        <v>0</v>
      </c>
      <c r="AF5" s="305" t="b">
        <v>0</v>
      </c>
      <c r="AG5" s="306"/>
      <c r="AH5" s="306"/>
      <c r="AI5" s="307"/>
      <c r="AJ5" s="292" t="str">
        <f>IFERROR(__xludf.DUMMYFUNCTION("IF(E5=""Heavy Armor"",IF(REGEXMATCH(V5,""Flexible""),""0"",COUNTIF(W5:AF5,true)),)"),"")</f>
        <v/>
      </c>
    </row>
    <row r="6" ht="56.25" customHeight="1">
      <c r="A6" s="213"/>
      <c r="B6" s="276">
        <v>3.0</v>
      </c>
      <c r="C6" s="308"/>
      <c r="D6" s="309"/>
      <c r="E6" s="310"/>
      <c r="F6" s="309"/>
      <c r="G6" s="311"/>
      <c r="H6" s="311"/>
      <c r="I6" s="311"/>
      <c r="J6" s="280" t="s">
        <v>220</v>
      </c>
      <c r="K6" s="298"/>
      <c r="L6" s="298"/>
      <c r="M6" s="298"/>
      <c r="N6" s="298"/>
      <c r="O6" s="299"/>
      <c r="P6" s="300"/>
      <c r="Q6" s="299"/>
      <c r="R6" s="301"/>
      <c r="S6" s="301"/>
      <c r="T6" s="285"/>
      <c r="U6" s="286"/>
      <c r="V6" s="285"/>
      <c r="W6" s="303" t="b">
        <v>0</v>
      </c>
      <c r="X6" s="304" t="b">
        <v>0</v>
      </c>
      <c r="Y6" s="304" t="b">
        <v>0</v>
      </c>
      <c r="Z6" s="304" t="b">
        <v>0</v>
      </c>
      <c r="AA6" s="304" t="b">
        <v>0</v>
      </c>
      <c r="AB6" s="304" t="b">
        <v>0</v>
      </c>
      <c r="AC6" s="304" t="b">
        <v>0</v>
      </c>
      <c r="AD6" s="304" t="b">
        <v>0</v>
      </c>
      <c r="AE6" s="304" t="b">
        <v>0</v>
      </c>
      <c r="AF6" s="305" t="b">
        <v>0</v>
      </c>
      <c r="AG6" s="306"/>
      <c r="AH6" s="306"/>
      <c r="AI6" s="307"/>
      <c r="AJ6" s="292" t="str">
        <f>IFERROR(__xludf.DUMMYFUNCTION("IF(E6=""Heavy Armor"",IF(REGEXMATCH(V6,""Flexible""),""0"",COUNTIF(W6:AF6,true)),)"),"")</f>
        <v/>
      </c>
    </row>
    <row r="7" ht="56.25" customHeight="1">
      <c r="A7" s="213"/>
      <c r="B7" s="276">
        <v>4.0</v>
      </c>
      <c r="C7" s="293"/>
      <c r="D7" s="294"/>
      <c r="E7" s="295"/>
      <c r="F7" s="294"/>
      <c r="G7" s="297"/>
      <c r="H7" s="297"/>
      <c r="I7" s="297"/>
      <c r="J7" s="280" t="s">
        <v>220</v>
      </c>
      <c r="K7" s="298"/>
      <c r="L7" s="298"/>
      <c r="M7" s="298"/>
      <c r="N7" s="298"/>
      <c r="O7" s="299"/>
      <c r="P7" s="312"/>
      <c r="Q7" s="313"/>
      <c r="R7" s="301"/>
      <c r="S7" s="301"/>
      <c r="T7" s="301"/>
      <c r="U7" s="302"/>
      <c r="V7" s="285"/>
      <c r="W7" s="303" t="b">
        <v>0</v>
      </c>
      <c r="X7" s="304" t="b">
        <v>0</v>
      </c>
      <c r="Y7" s="304" t="b">
        <v>0</v>
      </c>
      <c r="Z7" s="304" t="b">
        <v>0</v>
      </c>
      <c r="AA7" s="304" t="b">
        <v>0</v>
      </c>
      <c r="AB7" s="304" t="b">
        <v>0</v>
      </c>
      <c r="AC7" s="304" t="b">
        <v>0</v>
      </c>
      <c r="AD7" s="304" t="b">
        <v>0</v>
      </c>
      <c r="AE7" s="304" t="b">
        <v>0</v>
      </c>
      <c r="AF7" s="305" t="b">
        <v>0</v>
      </c>
      <c r="AG7" s="306"/>
      <c r="AH7" s="306"/>
      <c r="AI7" s="307"/>
      <c r="AJ7" s="292" t="str">
        <f>IFERROR(__xludf.DUMMYFUNCTION("IF(E7=""Heavy Armor"",IF(REGEXMATCH(V7,""Flexible""),""0"",COUNTIF(W7:AF7,true)),)"),"")</f>
        <v/>
      </c>
    </row>
    <row r="8" ht="56.25" customHeight="1">
      <c r="A8" s="213"/>
      <c r="B8" s="276">
        <v>5.0</v>
      </c>
      <c r="C8" s="308"/>
      <c r="D8" s="310"/>
      <c r="E8" s="310"/>
      <c r="F8" s="310"/>
      <c r="G8" s="314"/>
      <c r="H8" s="314"/>
      <c r="I8" s="314"/>
      <c r="J8" s="315" t="s">
        <v>220</v>
      </c>
      <c r="K8" s="298"/>
      <c r="L8" s="298"/>
      <c r="M8" s="298"/>
      <c r="N8" s="298"/>
      <c r="O8" s="299"/>
      <c r="P8" s="312"/>
      <c r="Q8" s="313"/>
      <c r="R8" s="301"/>
      <c r="S8" s="301"/>
      <c r="T8" s="301"/>
      <c r="U8" s="302"/>
      <c r="V8" s="301"/>
      <c r="W8" s="303" t="b">
        <v>0</v>
      </c>
      <c r="X8" s="304" t="b">
        <v>0</v>
      </c>
      <c r="Y8" s="304" t="b">
        <v>0</v>
      </c>
      <c r="Z8" s="304" t="b">
        <v>0</v>
      </c>
      <c r="AA8" s="304" t="b">
        <v>0</v>
      </c>
      <c r="AB8" s="304" t="b">
        <v>0</v>
      </c>
      <c r="AC8" s="304" t="b">
        <v>0</v>
      </c>
      <c r="AD8" s="304" t="b">
        <v>0</v>
      </c>
      <c r="AE8" s="304" t="b">
        <v>0</v>
      </c>
      <c r="AF8" s="305" t="b">
        <v>0</v>
      </c>
      <c r="AG8" s="316"/>
      <c r="AH8" s="316"/>
      <c r="AI8" s="307"/>
      <c r="AJ8" s="292" t="str">
        <f>IFERROR(__xludf.DUMMYFUNCTION("IF(E8=""Heavy Armor"",IF(REGEXMATCH(V8,""Flexible""),""0"",COUNTIF(W8:AF8,true)),)"),"")</f>
        <v/>
      </c>
    </row>
    <row r="9" ht="56.25" customHeight="1">
      <c r="A9" s="213"/>
      <c r="B9" s="276">
        <v>6.0</v>
      </c>
      <c r="C9" s="293"/>
      <c r="D9" s="295"/>
      <c r="E9" s="295"/>
      <c r="F9" s="295"/>
      <c r="G9" s="296"/>
      <c r="H9" s="296"/>
      <c r="I9" s="296"/>
      <c r="J9" s="315" t="s">
        <v>220</v>
      </c>
      <c r="K9" s="298"/>
      <c r="L9" s="298"/>
      <c r="M9" s="298"/>
      <c r="N9" s="298"/>
      <c r="O9" s="299"/>
      <c r="P9" s="312"/>
      <c r="Q9" s="313"/>
      <c r="R9" s="301"/>
      <c r="S9" s="301"/>
      <c r="T9" s="301"/>
      <c r="U9" s="302"/>
      <c r="V9" s="301"/>
      <c r="W9" s="303" t="b">
        <v>0</v>
      </c>
      <c r="X9" s="304" t="b">
        <v>0</v>
      </c>
      <c r="Y9" s="304" t="b">
        <v>0</v>
      </c>
      <c r="Z9" s="304" t="b">
        <v>0</v>
      </c>
      <c r="AA9" s="304" t="b">
        <v>0</v>
      </c>
      <c r="AB9" s="304" t="b">
        <v>0</v>
      </c>
      <c r="AC9" s="304" t="b">
        <v>0</v>
      </c>
      <c r="AD9" s="304" t="b">
        <v>0</v>
      </c>
      <c r="AE9" s="304" t="b">
        <v>0</v>
      </c>
      <c r="AF9" s="305" t="b">
        <v>0</v>
      </c>
      <c r="AG9" s="316"/>
      <c r="AH9" s="316"/>
      <c r="AI9" s="307"/>
      <c r="AJ9" s="292" t="str">
        <f>IFERROR(__xludf.DUMMYFUNCTION("IF(E9=""Heavy Armor"",IF(REGEXMATCH(V9,""Flexible""),""0"",COUNTIF(W9:AF9,true)),)"),"")</f>
        <v/>
      </c>
    </row>
    <row r="10" ht="56.25" customHeight="1">
      <c r="A10" s="213"/>
      <c r="B10" s="276">
        <v>7.0</v>
      </c>
      <c r="C10" s="308"/>
      <c r="D10" s="310"/>
      <c r="E10" s="310"/>
      <c r="F10" s="310"/>
      <c r="G10" s="314"/>
      <c r="H10" s="314"/>
      <c r="I10" s="314"/>
      <c r="J10" s="315" t="s">
        <v>220</v>
      </c>
      <c r="K10" s="298"/>
      <c r="L10" s="298"/>
      <c r="M10" s="298"/>
      <c r="N10" s="298"/>
      <c r="O10" s="299"/>
      <c r="P10" s="312"/>
      <c r="Q10" s="313"/>
      <c r="R10" s="301"/>
      <c r="S10" s="301"/>
      <c r="T10" s="301"/>
      <c r="U10" s="302"/>
      <c r="V10" s="285"/>
      <c r="W10" s="303" t="b">
        <v>0</v>
      </c>
      <c r="X10" s="304" t="b">
        <v>0</v>
      </c>
      <c r="Y10" s="304" t="b">
        <v>0</v>
      </c>
      <c r="Z10" s="304" t="b">
        <v>0</v>
      </c>
      <c r="AA10" s="304" t="b">
        <v>0</v>
      </c>
      <c r="AB10" s="304" t="b">
        <v>0</v>
      </c>
      <c r="AC10" s="304" t="b">
        <v>0</v>
      </c>
      <c r="AD10" s="304" t="b">
        <v>0</v>
      </c>
      <c r="AE10" s="304" t="b">
        <v>0</v>
      </c>
      <c r="AF10" s="305" t="b">
        <v>0</v>
      </c>
      <c r="AG10" s="316"/>
      <c r="AH10" s="316"/>
      <c r="AI10" s="307"/>
      <c r="AJ10" s="292" t="str">
        <f>IFERROR(__xludf.DUMMYFUNCTION("IF(E10=""Heavy Armor"",IF(REGEXMATCH(V10,""Flexible""),""0"",COUNTIF(W10:AF10,true)),)"),"")</f>
        <v/>
      </c>
    </row>
    <row r="11" ht="56.25" customHeight="1">
      <c r="A11" s="213"/>
      <c r="B11" s="276">
        <v>8.0</v>
      </c>
      <c r="C11" s="293"/>
      <c r="D11" s="294"/>
      <c r="E11" s="294"/>
      <c r="F11" s="294"/>
      <c r="G11" s="297"/>
      <c r="H11" s="297"/>
      <c r="I11" s="297"/>
      <c r="J11" s="280" t="s">
        <v>220</v>
      </c>
      <c r="K11" s="298"/>
      <c r="L11" s="298"/>
      <c r="M11" s="298"/>
      <c r="N11" s="298"/>
      <c r="O11" s="299"/>
      <c r="P11" s="300"/>
      <c r="Q11" s="299"/>
      <c r="R11" s="285"/>
      <c r="S11" s="285"/>
      <c r="T11" s="285"/>
      <c r="U11" s="286"/>
      <c r="V11" s="285"/>
      <c r="W11" s="303" t="b">
        <v>0</v>
      </c>
      <c r="X11" s="304" t="b">
        <v>0</v>
      </c>
      <c r="Y11" s="304" t="b">
        <v>0</v>
      </c>
      <c r="Z11" s="304" t="b">
        <v>0</v>
      </c>
      <c r="AA11" s="304" t="b">
        <v>0</v>
      </c>
      <c r="AB11" s="304" t="b">
        <v>0</v>
      </c>
      <c r="AC11" s="304" t="b">
        <v>0</v>
      </c>
      <c r="AD11" s="304" t="b">
        <v>0</v>
      </c>
      <c r="AE11" s="304" t="b">
        <v>0</v>
      </c>
      <c r="AF11" s="305" t="b">
        <v>0</v>
      </c>
      <c r="AG11" s="306"/>
      <c r="AH11" s="306"/>
      <c r="AI11" s="307"/>
      <c r="AJ11" s="292" t="str">
        <f>IFERROR(__xludf.DUMMYFUNCTION("IF(E11=""Heavy Armor"",IF(REGEXMATCH(V11,""Flexible""),""0"",COUNTIF(W11:AF11,true)),)"),"")</f>
        <v/>
      </c>
    </row>
    <row r="12" ht="56.25" customHeight="1">
      <c r="A12" s="213"/>
      <c r="B12" s="276">
        <v>9.0</v>
      </c>
      <c r="C12" s="308"/>
      <c r="D12" s="310"/>
      <c r="E12" s="310"/>
      <c r="F12" s="310"/>
      <c r="G12" s="314"/>
      <c r="H12" s="314"/>
      <c r="I12" s="314"/>
      <c r="J12" s="315" t="s">
        <v>220</v>
      </c>
      <c r="K12" s="298"/>
      <c r="L12" s="298"/>
      <c r="M12" s="298"/>
      <c r="N12" s="298"/>
      <c r="O12" s="299"/>
      <c r="P12" s="312"/>
      <c r="Q12" s="313"/>
      <c r="R12" s="301"/>
      <c r="S12" s="301"/>
      <c r="T12" s="301"/>
      <c r="U12" s="302"/>
      <c r="V12" s="301"/>
      <c r="W12" s="303" t="b">
        <v>0</v>
      </c>
      <c r="X12" s="304" t="b">
        <v>0</v>
      </c>
      <c r="Y12" s="304" t="b">
        <v>0</v>
      </c>
      <c r="Z12" s="304" t="b">
        <v>0</v>
      </c>
      <c r="AA12" s="304" t="b">
        <v>0</v>
      </c>
      <c r="AB12" s="304" t="b">
        <v>0</v>
      </c>
      <c r="AC12" s="304" t="b">
        <v>0</v>
      </c>
      <c r="AD12" s="304" t="b">
        <v>0</v>
      </c>
      <c r="AE12" s="304" t="b">
        <v>0</v>
      </c>
      <c r="AF12" s="305" t="b">
        <v>0</v>
      </c>
      <c r="AG12" s="316"/>
      <c r="AH12" s="316"/>
      <c r="AI12" s="307"/>
      <c r="AJ12" s="292" t="str">
        <f>IFERROR(__xludf.DUMMYFUNCTION("IF(E12=""Heavy Armor"",IF(REGEXMATCH(V12,""Flexible""),""0"",COUNTIF(W12:AF12,true)),)"),"")</f>
        <v/>
      </c>
    </row>
    <row r="13" ht="56.25" customHeight="1">
      <c r="A13" s="213"/>
      <c r="B13" s="276">
        <v>10.0</v>
      </c>
      <c r="C13" s="293"/>
      <c r="D13" s="295"/>
      <c r="E13" s="295"/>
      <c r="F13" s="295"/>
      <c r="G13" s="296"/>
      <c r="H13" s="296"/>
      <c r="I13" s="296"/>
      <c r="J13" s="315" t="s">
        <v>220</v>
      </c>
      <c r="K13" s="298"/>
      <c r="L13" s="298"/>
      <c r="M13" s="298"/>
      <c r="N13" s="298"/>
      <c r="O13" s="299"/>
      <c r="P13" s="312"/>
      <c r="Q13" s="313"/>
      <c r="R13" s="301"/>
      <c r="S13" s="301"/>
      <c r="T13" s="301"/>
      <c r="U13" s="302"/>
      <c r="V13" s="301"/>
      <c r="W13" s="303" t="b">
        <v>0</v>
      </c>
      <c r="X13" s="304" t="b">
        <v>0</v>
      </c>
      <c r="Y13" s="304" t="b">
        <v>0</v>
      </c>
      <c r="Z13" s="304" t="b">
        <v>0</v>
      </c>
      <c r="AA13" s="304" t="b">
        <v>0</v>
      </c>
      <c r="AB13" s="304" t="b">
        <v>0</v>
      </c>
      <c r="AC13" s="304" t="b">
        <v>0</v>
      </c>
      <c r="AD13" s="304" t="b">
        <v>0</v>
      </c>
      <c r="AE13" s="304" t="b">
        <v>0</v>
      </c>
      <c r="AF13" s="305" t="b">
        <v>0</v>
      </c>
      <c r="AG13" s="316"/>
      <c r="AH13" s="316"/>
      <c r="AI13" s="307"/>
      <c r="AJ13" s="292" t="str">
        <f>IFERROR(__xludf.DUMMYFUNCTION("IF(E13=""Heavy Armor"",IF(REGEXMATCH(V13,""Flexible""),""0"",COUNTIF(W13:AF13,true)),)"),"")</f>
        <v/>
      </c>
    </row>
    <row r="14" ht="56.25" customHeight="1">
      <c r="A14" s="213"/>
      <c r="B14" s="276">
        <v>11.0</v>
      </c>
      <c r="C14" s="308"/>
      <c r="D14" s="310"/>
      <c r="E14" s="310"/>
      <c r="F14" s="310"/>
      <c r="G14" s="314"/>
      <c r="H14" s="314"/>
      <c r="I14" s="314"/>
      <c r="J14" s="315" t="s">
        <v>220</v>
      </c>
      <c r="K14" s="298"/>
      <c r="L14" s="298"/>
      <c r="M14" s="298"/>
      <c r="N14" s="298"/>
      <c r="O14" s="313"/>
      <c r="P14" s="312"/>
      <c r="Q14" s="313"/>
      <c r="R14" s="301"/>
      <c r="S14" s="301"/>
      <c r="T14" s="301"/>
      <c r="U14" s="302"/>
      <c r="V14" s="301"/>
      <c r="W14" s="303" t="b">
        <v>0</v>
      </c>
      <c r="X14" s="304" t="b">
        <v>0</v>
      </c>
      <c r="Y14" s="304" t="b">
        <v>0</v>
      </c>
      <c r="Z14" s="304" t="b">
        <v>0</v>
      </c>
      <c r="AA14" s="304" t="b">
        <v>0</v>
      </c>
      <c r="AB14" s="304" t="b">
        <v>0</v>
      </c>
      <c r="AC14" s="304" t="b">
        <v>0</v>
      </c>
      <c r="AD14" s="304" t="b">
        <v>0</v>
      </c>
      <c r="AE14" s="304" t="b">
        <v>0</v>
      </c>
      <c r="AF14" s="305" t="b">
        <v>0</v>
      </c>
      <c r="AG14" s="316"/>
      <c r="AH14" s="316"/>
      <c r="AI14" s="307"/>
      <c r="AJ14" s="292" t="str">
        <f>IFERROR(__xludf.DUMMYFUNCTION("IF(E14=""Heavy Armor"",IF(REGEXMATCH(V14,""Flexible""),""0"",COUNTIF(W14:AF14,true)),)"),"")</f>
        <v/>
      </c>
    </row>
    <row r="15" ht="56.25" customHeight="1">
      <c r="A15" s="213"/>
      <c r="B15" s="276">
        <v>12.0</v>
      </c>
      <c r="C15" s="293"/>
      <c r="D15" s="295"/>
      <c r="E15" s="295"/>
      <c r="F15" s="295"/>
      <c r="G15" s="296"/>
      <c r="H15" s="296"/>
      <c r="I15" s="296"/>
      <c r="J15" s="315" t="s">
        <v>220</v>
      </c>
      <c r="K15" s="298"/>
      <c r="L15" s="298"/>
      <c r="M15" s="298"/>
      <c r="N15" s="298"/>
      <c r="O15" s="299"/>
      <c r="P15" s="312"/>
      <c r="Q15" s="313"/>
      <c r="R15" s="301"/>
      <c r="S15" s="301"/>
      <c r="T15" s="301"/>
      <c r="U15" s="302"/>
      <c r="V15" s="301"/>
      <c r="W15" s="303" t="b">
        <v>0</v>
      </c>
      <c r="X15" s="304" t="b">
        <v>0</v>
      </c>
      <c r="Y15" s="304" t="b">
        <v>0</v>
      </c>
      <c r="Z15" s="304" t="b">
        <v>0</v>
      </c>
      <c r="AA15" s="304" t="b">
        <v>0</v>
      </c>
      <c r="AB15" s="304" t="b">
        <v>0</v>
      </c>
      <c r="AC15" s="304" t="b">
        <v>0</v>
      </c>
      <c r="AD15" s="304" t="b">
        <v>0</v>
      </c>
      <c r="AE15" s="304" t="b">
        <v>0</v>
      </c>
      <c r="AF15" s="305" t="b">
        <v>0</v>
      </c>
      <c r="AG15" s="316"/>
      <c r="AH15" s="316"/>
      <c r="AI15" s="307"/>
      <c r="AJ15" s="292" t="str">
        <f>IFERROR(__xludf.DUMMYFUNCTION("IF(E15=""Heavy Armor"",IF(REGEXMATCH(V15,""Flexible""),""0"",COUNTIF(W15:AF15,true)),)"),"")</f>
        <v/>
      </c>
    </row>
    <row r="16" ht="56.25" customHeight="1">
      <c r="A16" s="213"/>
      <c r="B16" s="276">
        <v>13.0</v>
      </c>
      <c r="C16" s="308"/>
      <c r="D16" s="310"/>
      <c r="E16" s="310"/>
      <c r="F16" s="310"/>
      <c r="G16" s="314"/>
      <c r="H16" s="314"/>
      <c r="I16" s="314"/>
      <c r="J16" s="315" t="s">
        <v>220</v>
      </c>
      <c r="K16" s="317"/>
      <c r="L16" s="317"/>
      <c r="M16" s="317"/>
      <c r="N16" s="317"/>
      <c r="O16" s="299"/>
      <c r="P16" s="312"/>
      <c r="Q16" s="313"/>
      <c r="R16" s="301"/>
      <c r="S16" s="301"/>
      <c r="T16" s="301"/>
      <c r="U16" s="302"/>
      <c r="V16" s="285"/>
      <c r="W16" s="303" t="b">
        <v>0</v>
      </c>
      <c r="X16" s="304" t="b">
        <v>0</v>
      </c>
      <c r="Y16" s="304" t="b">
        <v>0</v>
      </c>
      <c r="Z16" s="304" t="b">
        <v>0</v>
      </c>
      <c r="AA16" s="304" t="b">
        <v>0</v>
      </c>
      <c r="AB16" s="304" t="b">
        <v>0</v>
      </c>
      <c r="AC16" s="304" t="b">
        <v>0</v>
      </c>
      <c r="AD16" s="304" t="b">
        <v>0</v>
      </c>
      <c r="AE16" s="304" t="b">
        <v>0</v>
      </c>
      <c r="AF16" s="305" t="b">
        <v>0</v>
      </c>
      <c r="AG16" s="316"/>
      <c r="AH16" s="316"/>
      <c r="AI16" s="307"/>
      <c r="AJ16" s="292" t="str">
        <f>IFERROR(__xludf.DUMMYFUNCTION("IF(E16=""Heavy Armor"",IF(REGEXMATCH(V16,""Flexible""),""0"",COUNTIF(W16:AF16,true)),)"),"")</f>
        <v/>
      </c>
    </row>
    <row r="17" ht="56.25" customHeight="1">
      <c r="A17" s="213"/>
      <c r="B17" s="276">
        <v>14.0</v>
      </c>
      <c r="C17" s="293"/>
      <c r="D17" s="295"/>
      <c r="E17" s="295"/>
      <c r="F17" s="295"/>
      <c r="G17" s="296"/>
      <c r="H17" s="296"/>
      <c r="I17" s="296"/>
      <c r="J17" s="315" t="s">
        <v>220</v>
      </c>
      <c r="K17" s="317"/>
      <c r="L17" s="317"/>
      <c r="M17" s="317"/>
      <c r="N17" s="317"/>
      <c r="O17" s="299"/>
      <c r="P17" s="312"/>
      <c r="Q17" s="313"/>
      <c r="R17" s="301"/>
      <c r="S17" s="301"/>
      <c r="T17" s="301"/>
      <c r="U17" s="302"/>
      <c r="V17" s="285"/>
      <c r="W17" s="303" t="b">
        <v>0</v>
      </c>
      <c r="X17" s="304" t="b">
        <v>0</v>
      </c>
      <c r="Y17" s="304" t="b">
        <v>0</v>
      </c>
      <c r="Z17" s="304" t="b">
        <v>0</v>
      </c>
      <c r="AA17" s="304" t="b">
        <v>0</v>
      </c>
      <c r="AB17" s="304" t="b">
        <v>0</v>
      </c>
      <c r="AC17" s="304" t="b">
        <v>0</v>
      </c>
      <c r="AD17" s="304" t="b">
        <v>0</v>
      </c>
      <c r="AE17" s="304" t="b">
        <v>0</v>
      </c>
      <c r="AF17" s="305" t="b">
        <v>0</v>
      </c>
      <c r="AG17" s="316"/>
      <c r="AH17" s="316"/>
      <c r="AI17" s="307"/>
      <c r="AJ17" s="292" t="str">
        <f>IFERROR(__xludf.DUMMYFUNCTION("IF(E17=""Heavy Armor"",IF(REGEXMATCH(V17,""Flexible""),""0"",COUNTIF(W17:AF17,true)),)"),"")</f>
        <v/>
      </c>
    </row>
    <row r="18" ht="56.25" customHeight="1">
      <c r="A18" s="213"/>
      <c r="B18" s="276">
        <v>15.0</v>
      </c>
      <c r="C18" s="308"/>
      <c r="D18" s="310"/>
      <c r="E18" s="310"/>
      <c r="F18" s="310"/>
      <c r="G18" s="311"/>
      <c r="H18" s="311"/>
      <c r="I18" s="311"/>
      <c r="J18" s="315" t="s">
        <v>220</v>
      </c>
      <c r="K18" s="298"/>
      <c r="L18" s="298"/>
      <c r="M18" s="298"/>
      <c r="N18" s="298"/>
      <c r="O18" s="299"/>
      <c r="P18" s="312"/>
      <c r="Q18" s="313"/>
      <c r="R18" s="301"/>
      <c r="S18" s="301"/>
      <c r="T18" s="301"/>
      <c r="U18" s="302"/>
      <c r="V18" s="285"/>
      <c r="W18" s="303" t="b">
        <v>0</v>
      </c>
      <c r="X18" s="304" t="b">
        <v>0</v>
      </c>
      <c r="Y18" s="304" t="b">
        <v>0</v>
      </c>
      <c r="Z18" s="304" t="b">
        <v>0</v>
      </c>
      <c r="AA18" s="304" t="b">
        <v>0</v>
      </c>
      <c r="AB18" s="304" t="b">
        <v>0</v>
      </c>
      <c r="AC18" s="304" t="b">
        <v>0</v>
      </c>
      <c r="AD18" s="304" t="b">
        <v>0</v>
      </c>
      <c r="AE18" s="304" t="b">
        <v>0</v>
      </c>
      <c r="AF18" s="305" t="b">
        <v>0</v>
      </c>
      <c r="AG18" s="316"/>
      <c r="AH18" s="316"/>
      <c r="AI18" s="307"/>
      <c r="AJ18" s="292" t="str">
        <f>IFERROR(__xludf.DUMMYFUNCTION("IF(E18=""Heavy Armor"",IF(REGEXMATCH(V18,""Flexible""),""0"",COUNTIF(W18:AF18,true)),)"),"")</f>
        <v/>
      </c>
    </row>
    <row r="19" ht="56.25" customHeight="1">
      <c r="A19" s="213"/>
      <c r="B19" s="276">
        <v>16.0</v>
      </c>
      <c r="C19" s="293"/>
      <c r="D19" s="295"/>
      <c r="E19" s="295"/>
      <c r="F19" s="295"/>
      <c r="G19" s="297"/>
      <c r="H19" s="297"/>
      <c r="I19" s="297"/>
      <c r="J19" s="315" t="s">
        <v>220</v>
      </c>
      <c r="K19" s="298"/>
      <c r="L19" s="298"/>
      <c r="M19" s="298"/>
      <c r="N19" s="298"/>
      <c r="O19" s="299"/>
      <c r="P19" s="300"/>
      <c r="Q19" s="313"/>
      <c r="R19" s="301"/>
      <c r="S19" s="301"/>
      <c r="T19" s="301"/>
      <c r="U19" s="302"/>
      <c r="V19" s="301"/>
      <c r="W19" s="303" t="b">
        <v>0</v>
      </c>
      <c r="X19" s="304" t="b">
        <v>0</v>
      </c>
      <c r="Y19" s="304" t="b">
        <v>0</v>
      </c>
      <c r="Z19" s="304" t="b">
        <v>0</v>
      </c>
      <c r="AA19" s="304" t="b">
        <v>0</v>
      </c>
      <c r="AB19" s="304" t="b">
        <v>0</v>
      </c>
      <c r="AC19" s="304" t="b">
        <v>0</v>
      </c>
      <c r="AD19" s="304" t="b">
        <v>0</v>
      </c>
      <c r="AE19" s="304" t="b">
        <v>0</v>
      </c>
      <c r="AF19" s="305" t="b">
        <v>0</v>
      </c>
      <c r="AG19" s="316"/>
      <c r="AH19" s="316"/>
      <c r="AI19" s="307"/>
      <c r="AJ19" s="292" t="str">
        <f>IFERROR(__xludf.DUMMYFUNCTION("IF(E19=""Heavy Armor"",IF(REGEXMATCH(V19,""Flexible""),""0"",COUNTIF(W19:AF19,true)),)"),"")</f>
        <v/>
      </c>
    </row>
    <row r="20" ht="56.25" customHeight="1">
      <c r="A20" s="213"/>
      <c r="B20" s="276">
        <v>17.0</v>
      </c>
      <c r="C20" s="308"/>
      <c r="D20" s="310"/>
      <c r="E20" s="310"/>
      <c r="F20" s="310"/>
      <c r="G20" s="314"/>
      <c r="H20" s="314"/>
      <c r="I20" s="314"/>
      <c r="J20" s="315" t="s">
        <v>220</v>
      </c>
      <c r="K20" s="298"/>
      <c r="L20" s="298"/>
      <c r="M20" s="298"/>
      <c r="N20" s="298"/>
      <c r="O20" s="299"/>
      <c r="P20" s="312"/>
      <c r="Q20" s="313"/>
      <c r="R20" s="301"/>
      <c r="S20" s="301"/>
      <c r="T20" s="301"/>
      <c r="U20" s="302"/>
      <c r="V20" s="301"/>
      <c r="W20" s="303" t="b">
        <v>0</v>
      </c>
      <c r="X20" s="304" t="b">
        <v>0</v>
      </c>
      <c r="Y20" s="304" t="b">
        <v>0</v>
      </c>
      <c r="Z20" s="304" t="b">
        <v>0</v>
      </c>
      <c r="AA20" s="304" t="b">
        <v>0</v>
      </c>
      <c r="AB20" s="304" t="b">
        <v>0</v>
      </c>
      <c r="AC20" s="304" t="b">
        <v>0</v>
      </c>
      <c r="AD20" s="304" t="b">
        <v>0</v>
      </c>
      <c r="AE20" s="304" t="b">
        <v>0</v>
      </c>
      <c r="AF20" s="305" t="b">
        <v>0</v>
      </c>
      <c r="AG20" s="316"/>
      <c r="AH20" s="316"/>
      <c r="AI20" s="307"/>
      <c r="AJ20" s="292" t="str">
        <f>IFERROR(__xludf.DUMMYFUNCTION("IF(E20=""Heavy Armor"",IF(REGEXMATCH(V20,""Flexible""),""0"",COUNTIF(W20:AF20,true)),)"),"")</f>
        <v/>
      </c>
    </row>
    <row r="21" ht="56.25" customHeight="1">
      <c r="A21" s="213"/>
      <c r="B21" s="276">
        <v>18.0</v>
      </c>
      <c r="C21" s="293"/>
      <c r="D21" s="294"/>
      <c r="E21" s="294"/>
      <c r="F21" s="294"/>
      <c r="G21" s="296"/>
      <c r="H21" s="296"/>
      <c r="I21" s="296"/>
      <c r="J21" s="315" t="s">
        <v>220</v>
      </c>
      <c r="K21" s="298"/>
      <c r="L21" s="298"/>
      <c r="M21" s="298"/>
      <c r="N21" s="298"/>
      <c r="O21" s="299"/>
      <c r="P21" s="300"/>
      <c r="Q21" s="313"/>
      <c r="R21" s="301"/>
      <c r="S21" s="301"/>
      <c r="T21" s="301"/>
      <c r="U21" s="302"/>
      <c r="V21" s="285"/>
      <c r="W21" s="303" t="b">
        <v>0</v>
      </c>
      <c r="X21" s="304" t="b">
        <v>0</v>
      </c>
      <c r="Y21" s="304" t="b">
        <v>0</v>
      </c>
      <c r="Z21" s="304" t="b">
        <v>0</v>
      </c>
      <c r="AA21" s="304" t="b">
        <v>0</v>
      </c>
      <c r="AB21" s="304" t="b">
        <v>0</v>
      </c>
      <c r="AC21" s="304" t="b">
        <v>0</v>
      </c>
      <c r="AD21" s="304" t="b">
        <v>0</v>
      </c>
      <c r="AE21" s="304" t="b">
        <v>0</v>
      </c>
      <c r="AF21" s="305" t="b">
        <v>0</v>
      </c>
      <c r="AG21" s="316"/>
      <c r="AH21" s="316"/>
      <c r="AI21" s="307"/>
      <c r="AJ21" s="292" t="str">
        <f>IFERROR(__xludf.DUMMYFUNCTION("IF(E21=""Heavy Armor"",IF(REGEXMATCH(V21,""Flexible""),""0"",COUNTIF(W21:AF21,true)),)"),"")</f>
        <v/>
      </c>
    </row>
    <row r="22" ht="56.25" customHeight="1">
      <c r="A22" s="213"/>
      <c r="B22" s="276">
        <v>19.0</v>
      </c>
      <c r="C22" s="318"/>
      <c r="D22" s="309"/>
      <c r="E22" s="309"/>
      <c r="F22" s="309"/>
      <c r="G22" s="311"/>
      <c r="H22" s="311"/>
      <c r="I22" s="311"/>
      <c r="J22" s="315" t="s">
        <v>220</v>
      </c>
      <c r="K22" s="298"/>
      <c r="L22" s="298"/>
      <c r="M22" s="298"/>
      <c r="N22" s="298"/>
      <c r="O22" s="299"/>
      <c r="P22" s="300"/>
      <c r="Q22" s="313"/>
      <c r="R22" s="301"/>
      <c r="S22" s="301"/>
      <c r="T22" s="301"/>
      <c r="U22" s="302"/>
      <c r="V22" s="285"/>
      <c r="W22" s="303" t="b">
        <v>0</v>
      </c>
      <c r="X22" s="304" t="b">
        <v>0</v>
      </c>
      <c r="Y22" s="304" t="b">
        <v>0</v>
      </c>
      <c r="Z22" s="304" t="b">
        <v>0</v>
      </c>
      <c r="AA22" s="304" t="b">
        <v>0</v>
      </c>
      <c r="AB22" s="304" t="b">
        <v>0</v>
      </c>
      <c r="AC22" s="304" t="b">
        <v>0</v>
      </c>
      <c r="AD22" s="304" t="b">
        <v>0</v>
      </c>
      <c r="AE22" s="304" t="b">
        <v>0</v>
      </c>
      <c r="AF22" s="305" t="b">
        <v>0</v>
      </c>
      <c r="AG22" s="316"/>
      <c r="AH22" s="316"/>
      <c r="AI22" s="307"/>
      <c r="AJ22" s="292" t="str">
        <f>IFERROR(__xludf.DUMMYFUNCTION("IF(E22=""Heavy Armor"",IF(REGEXMATCH(V22,""Flexible""),""0"",COUNTIF(W22:AF22,true)),)"),"")</f>
        <v/>
      </c>
    </row>
    <row r="23" ht="56.25" customHeight="1">
      <c r="A23" s="213"/>
      <c r="B23" s="276">
        <v>20.0</v>
      </c>
      <c r="C23" s="319"/>
      <c r="D23" s="294"/>
      <c r="E23" s="294"/>
      <c r="F23" s="294"/>
      <c r="G23" s="297"/>
      <c r="H23" s="297"/>
      <c r="I23" s="297"/>
      <c r="J23" s="315" t="s">
        <v>220</v>
      </c>
      <c r="K23" s="298"/>
      <c r="L23" s="298"/>
      <c r="M23" s="298"/>
      <c r="N23" s="298"/>
      <c r="O23" s="299"/>
      <c r="P23" s="300"/>
      <c r="Q23" s="313"/>
      <c r="R23" s="301"/>
      <c r="S23" s="301"/>
      <c r="T23" s="301"/>
      <c r="U23" s="302"/>
      <c r="V23" s="285"/>
      <c r="W23" s="303" t="b">
        <v>0</v>
      </c>
      <c r="X23" s="304" t="b">
        <v>0</v>
      </c>
      <c r="Y23" s="304" t="b">
        <v>0</v>
      </c>
      <c r="Z23" s="304" t="b">
        <v>0</v>
      </c>
      <c r="AA23" s="304" t="b">
        <v>0</v>
      </c>
      <c r="AB23" s="304" t="b">
        <v>0</v>
      </c>
      <c r="AC23" s="304" t="b">
        <v>0</v>
      </c>
      <c r="AD23" s="304" t="b">
        <v>0</v>
      </c>
      <c r="AE23" s="304" t="b">
        <v>0</v>
      </c>
      <c r="AF23" s="305" t="b">
        <v>0</v>
      </c>
      <c r="AG23" s="316"/>
      <c r="AH23" s="316"/>
      <c r="AI23" s="307"/>
      <c r="AJ23" s="292" t="str">
        <f>IFERROR(__xludf.DUMMYFUNCTION("IF(E23=""Heavy Armor"",IF(REGEXMATCH(V23,""Flexible""),""0"",COUNTIF(W23:AF23,true)),)"),"")</f>
        <v/>
      </c>
    </row>
    <row r="24" ht="56.25" customHeight="1">
      <c r="A24" s="213"/>
      <c r="B24" s="276">
        <v>21.0</v>
      </c>
      <c r="C24" s="318"/>
      <c r="D24" s="309"/>
      <c r="E24" s="309"/>
      <c r="F24" s="309"/>
      <c r="G24" s="311"/>
      <c r="H24" s="311"/>
      <c r="I24" s="311"/>
      <c r="J24" s="315" t="s">
        <v>220</v>
      </c>
      <c r="K24" s="298"/>
      <c r="L24" s="298"/>
      <c r="M24" s="298"/>
      <c r="N24" s="298"/>
      <c r="O24" s="299"/>
      <c r="P24" s="300"/>
      <c r="Q24" s="313"/>
      <c r="R24" s="301"/>
      <c r="S24" s="301"/>
      <c r="T24" s="301"/>
      <c r="U24" s="302"/>
      <c r="V24" s="285"/>
      <c r="W24" s="303" t="b">
        <v>0</v>
      </c>
      <c r="X24" s="304" t="b">
        <v>0</v>
      </c>
      <c r="Y24" s="304" t="b">
        <v>0</v>
      </c>
      <c r="Z24" s="304" t="b">
        <v>0</v>
      </c>
      <c r="AA24" s="304" t="b">
        <v>0</v>
      </c>
      <c r="AB24" s="304" t="b">
        <v>0</v>
      </c>
      <c r="AC24" s="304" t="b">
        <v>0</v>
      </c>
      <c r="AD24" s="304" t="b">
        <v>0</v>
      </c>
      <c r="AE24" s="304" t="b">
        <v>0</v>
      </c>
      <c r="AF24" s="305" t="b">
        <v>0</v>
      </c>
      <c r="AG24" s="316"/>
      <c r="AH24" s="316"/>
      <c r="AI24" s="307"/>
      <c r="AJ24" s="292" t="str">
        <f>IFERROR(__xludf.DUMMYFUNCTION("IF(E24=""Heavy Armor"",IF(REGEXMATCH(V24,""Flexible""),""0"",COUNTIF(W24:AF24,true)),)"),"")</f>
        <v/>
      </c>
    </row>
    <row r="25" ht="56.25" customHeight="1">
      <c r="A25" s="213"/>
      <c r="B25" s="276">
        <v>22.0</v>
      </c>
      <c r="C25" s="319"/>
      <c r="D25" s="294"/>
      <c r="E25" s="294"/>
      <c r="F25" s="294"/>
      <c r="G25" s="297"/>
      <c r="H25" s="297"/>
      <c r="I25" s="297"/>
      <c r="J25" s="315" t="s">
        <v>220</v>
      </c>
      <c r="K25" s="298"/>
      <c r="L25" s="298"/>
      <c r="M25" s="298"/>
      <c r="N25" s="298"/>
      <c r="O25" s="299"/>
      <c r="P25" s="300"/>
      <c r="Q25" s="313"/>
      <c r="R25" s="301"/>
      <c r="S25" s="301"/>
      <c r="T25" s="301"/>
      <c r="U25" s="302"/>
      <c r="V25" s="285"/>
      <c r="W25" s="303" t="b">
        <v>0</v>
      </c>
      <c r="X25" s="304" t="b">
        <v>0</v>
      </c>
      <c r="Y25" s="304" t="b">
        <v>0</v>
      </c>
      <c r="Z25" s="304" t="b">
        <v>0</v>
      </c>
      <c r="AA25" s="304" t="b">
        <v>0</v>
      </c>
      <c r="AB25" s="304" t="b">
        <v>0</v>
      </c>
      <c r="AC25" s="304" t="b">
        <v>0</v>
      </c>
      <c r="AD25" s="304" t="b">
        <v>0</v>
      </c>
      <c r="AE25" s="304" t="b">
        <v>0</v>
      </c>
      <c r="AF25" s="305" t="b">
        <v>0</v>
      </c>
      <c r="AG25" s="316"/>
      <c r="AH25" s="316"/>
      <c r="AI25" s="307"/>
      <c r="AJ25" s="292" t="str">
        <f>IFERROR(__xludf.DUMMYFUNCTION("IF(E25=""Heavy Armor"",IF(REGEXMATCH(V25,""Flexible""),""0"",COUNTIF(W25:AF25,true)),)"),"")</f>
        <v/>
      </c>
    </row>
    <row r="26" ht="56.25" customHeight="1">
      <c r="A26" s="213"/>
      <c r="B26" s="276">
        <v>23.0</v>
      </c>
      <c r="C26" s="318"/>
      <c r="D26" s="309"/>
      <c r="E26" s="309"/>
      <c r="F26" s="309"/>
      <c r="G26" s="311"/>
      <c r="H26" s="311"/>
      <c r="I26" s="311"/>
      <c r="J26" s="315" t="s">
        <v>220</v>
      </c>
      <c r="K26" s="298"/>
      <c r="L26" s="298"/>
      <c r="M26" s="298"/>
      <c r="N26" s="298"/>
      <c r="O26" s="299"/>
      <c r="P26" s="300"/>
      <c r="Q26" s="313"/>
      <c r="R26" s="301"/>
      <c r="S26" s="301"/>
      <c r="T26" s="301"/>
      <c r="U26" s="302"/>
      <c r="V26" s="285"/>
      <c r="W26" s="303" t="b">
        <v>0</v>
      </c>
      <c r="X26" s="304" t="b">
        <v>0</v>
      </c>
      <c r="Y26" s="304" t="b">
        <v>0</v>
      </c>
      <c r="Z26" s="304" t="b">
        <v>0</v>
      </c>
      <c r="AA26" s="304" t="b">
        <v>0</v>
      </c>
      <c r="AB26" s="304" t="b">
        <v>0</v>
      </c>
      <c r="AC26" s="304" t="b">
        <v>0</v>
      </c>
      <c r="AD26" s="304" t="b">
        <v>0</v>
      </c>
      <c r="AE26" s="304" t="b">
        <v>0</v>
      </c>
      <c r="AF26" s="305" t="b">
        <v>0</v>
      </c>
      <c r="AG26" s="316"/>
      <c r="AH26" s="316"/>
      <c r="AI26" s="307"/>
      <c r="AJ26" s="292" t="str">
        <f>IFERROR(__xludf.DUMMYFUNCTION("IF(E26=""Heavy Armor"",IF(REGEXMATCH(V26,""Flexible""),""0"",COUNTIF(W26:AF26,true)),)"),"")</f>
        <v/>
      </c>
    </row>
    <row r="27" ht="56.25" customHeight="1">
      <c r="A27" s="213"/>
      <c r="B27" s="276">
        <v>24.0</v>
      </c>
      <c r="C27" s="293"/>
      <c r="D27" s="295"/>
      <c r="E27" s="295"/>
      <c r="F27" s="295"/>
      <c r="G27" s="296"/>
      <c r="H27" s="296"/>
      <c r="I27" s="296"/>
      <c r="J27" s="315" t="s">
        <v>220</v>
      </c>
      <c r="K27" s="317"/>
      <c r="L27" s="317"/>
      <c r="M27" s="317"/>
      <c r="N27" s="317"/>
      <c r="O27" s="313"/>
      <c r="P27" s="312"/>
      <c r="Q27" s="313"/>
      <c r="R27" s="301"/>
      <c r="S27" s="301"/>
      <c r="T27" s="301"/>
      <c r="U27" s="302"/>
      <c r="V27" s="301"/>
      <c r="W27" s="303" t="b">
        <v>0</v>
      </c>
      <c r="X27" s="304" t="b">
        <v>0</v>
      </c>
      <c r="Y27" s="304" t="b">
        <v>0</v>
      </c>
      <c r="Z27" s="304" t="b">
        <v>0</v>
      </c>
      <c r="AA27" s="304" t="b">
        <v>0</v>
      </c>
      <c r="AB27" s="304" t="b">
        <v>0</v>
      </c>
      <c r="AC27" s="304" t="b">
        <v>0</v>
      </c>
      <c r="AD27" s="304" t="b">
        <v>0</v>
      </c>
      <c r="AE27" s="304" t="b">
        <v>0</v>
      </c>
      <c r="AF27" s="305" t="b">
        <v>0</v>
      </c>
      <c r="AG27" s="316"/>
      <c r="AH27" s="316"/>
      <c r="AI27" s="307"/>
      <c r="AJ27" s="292" t="str">
        <f>IFERROR(__xludf.DUMMYFUNCTION("IF(E27=""Heavy Armor"",IF(REGEXMATCH(V27,""Flexible""),""0"",COUNTIF(W27:AF27,true)),)"),"")</f>
        <v/>
      </c>
    </row>
    <row r="28" ht="56.25" customHeight="1">
      <c r="A28" s="213"/>
      <c r="B28" s="276">
        <v>25.0</v>
      </c>
      <c r="C28" s="308"/>
      <c r="D28" s="310"/>
      <c r="E28" s="310"/>
      <c r="F28" s="310"/>
      <c r="G28" s="314"/>
      <c r="H28" s="314"/>
      <c r="I28" s="314"/>
      <c r="J28" s="315" t="s">
        <v>220</v>
      </c>
      <c r="K28" s="298"/>
      <c r="L28" s="298"/>
      <c r="M28" s="298"/>
      <c r="N28" s="298"/>
      <c r="O28" s="299"/>
      <c r="P28" s="312"/>
      <c r="Q28" s="313"/>
      <c r="R28" s="301"/>
      <c r="S28" s="301"/>
      <c r="T28" s="301"/>
      <c r="U28" s="302"/>
      <c r="V28" s="301"/>
      <c r="W28" s="303" t="b">
        <v>0</v>
      </c>
      <c r="X28" s="304" t="b">
        <v>0</v>
      </c>
      <c r="Y28" s="304" t="b">
        <v>0</v>
      </c>
      <c r="Z28" s="304" t="b">
        <v>0</v>
      </c>
      <c r="AA28" s="304" t="b">
        <v>0</v>
      </c>
      <c r="AB28" s="304" t="b">
        <v>0</v>
      </c>
      <c r="AC28" s="304" t="b">
        <v>0</v>
      </c>
      <c r="AD28" s="304" t="b">
        <v>0</v>
      </c>
      <c r="AE28" s="304" t="b">
        <v>0</v>
      </c>
      <c r="AF28" s="305" t="b">
        <v>0</v>
      </c>
      <c r="AG28" s="316"/>
      <c r="AH28" s="316"/>
      <c r="AI28" s="307"/>
      <c r="AJ28" s="292" t="str">
        <f>IFERROR(__xludf.DUMMYFUNCTION("IF(E28=""Heavy Armor"",IF(REGEXMATCH(V28,""Flexible""),""0"",COUNTIF(W28:AF28,true)),)"),"")</f>
        <v/>
      </c>
    </row>
    <row r="29" ht="56.25" customHeight="1">
      <c r="A29" s="213"/>
      <c r="B29" s="276">
        <v>26.0</v>
      </c>
      <c r="C29" s="293"/>
      <c r="D29" s="295"/>
      <c r="E29" s="295"/>
      <c r="F29" s="295"/>
      <c r="G29" s="296"/>
      <c r="H29" s="296"/>
      <c r="I29" s="296"/>
      <c r="J29" s="315" t="s">
        <v>220</v>
      </c>
      <c r="K29" s="317"/>
      <c r="L29" s="317"/>
      <c r="M29" s="317"/>
      <c r="N29" s="317"/>
      <c r="O29" s="313"/>
      <c r="P29" s="312"/>
      <c r="Q29" s="313"/>
      <c r="R29" s="301"/>
      <c r="S29" s="301"/>
      <c r="T29" s="301"/>
      <c r="U29" s="302"/>
      <c r="V29" s="301"/>
      <c r="W29" s="303" t="b">
        <v>0</v>
      </c>
      <c r="X29" s="304" t="b">
        <v>0</v>
      </c>
      <c r="Y29" s="304" t="b">
        <v>0</v>
      </c>
      <c r="Z29" s="304" t="b">
        <v>0</v>
      </c>
      <c r="AA29" s="304" t="b">
        <v>0</v>
      </c>
      <c r="AB29" s="304" t="b">
        <v>0</v>
      </c>
      <c r="AC29" s="304" t="b">
        <v>0</v>
      </c>
      <c r="AD29" s="304" t="b">
        <v>0</v>
      </c>
      <c r="AE29" s="304" t="b">
        <v>0</v>
      </c>
      <c r="AF29" s="305" t="b">
        <v>0</v>
      </c>
      <c r="AG29" s="316"/>
      <c r="AH29" s="316"/>
      <c r="AI29" s="307"/>
      <c r="AJ29" s="292" t="str">
        <f>IFERROR(__xludf.DUMMYFUNCTION("IF(E29=""Heavy Armor"",IF(REGEXMATCH(V29,""Flexible""),""0"",COUNTIF(W29:AF29,true)),)"),"")</f>
        <v/>
      </c>
    </row>
    <row r="30" ht="56.25" customHeight="1">
      <c r="A30" s="213"/>
      <c r="B30" s="276">
        <v>27.0</v>
      </c>
      <c r="C30" s="308"/>
      <c r="D30" s="310"/>
      <c r="E30" s="310"/>
      <c r="F30" s="310"/>
      <c r="G30" s="314"/>
      <c r="H30" s="314"/>
      <c r="I30" s="314"/>
      <c r="J30" s="315" t="s">
        <v>220</v>
      </c>
      <c r="K30" s="298"/>
      <c r="L30" s="298"/>
      <c r="M30" s="298"/>
      <c r="N30" s="298"/>
      <c r="O30" s="299"/>
      <c r="P30" s="312"/>
      <c r="Q30" s="313"/>
      <c r="R30" s="301"/>
      <c r="S30" s="301"/>
      <c r="T30" s="301"/>
      <c r="U30" s="302"/>
      <c r="V30" s="301"/>
      <c r="W30" s="303" t="b">
        <v>0</v>
      </c>
      <c r="X30" s="304" t="b">
        <v>0</v>
      </c>
      <c r="Y30" s="304" t="b">
        <v>0</v>
      </c>
      <c r="Z30" s="304" t="b">
        <v>0</v>
      </c>
      <c r="AA30" s="304" t="b">
        <v>0</v>
      </c>
      <c r="AB30" s="304" t="b">
        <v>0</v>
      </c>
      <c r="AC30" s="304" t="b">
        <v>0</v>
      </c>
      <c r="AD30" s="304" t="b">
        <v>0</v>
      </c>
      <c r="AE30" s="304" t="b">
        <v>0</v>
      </c>
      <c r="AF30" s="305" t="b">
        <v>0</v>
      </c>
      <c r="AG30" s="316"/>
      <c r="AH30" s="316"/>
      <c r="AI30" s="307"/>
      <c r="AJ30" s="292" t="str">
        <f>IFERROR(__xludf.DUMMYFUNCTION("IF(E30=""Heavy Armor"",IF(REGEXMATCH(V30,""Flexible""),""0"",COUNTIF(W30:AF30,true)),)"),"")</f>
        <v/>
      </c>
    </row>
    <row r="31" ht="56.25" customHeight="1">
      <c r="A31" s="213"/>
      <c r="B31" s="276">
        <v>28.0</v>
      </c>
      <c r="C31" s="293"/>
      <c r="D31" s="295"/>
      <c r="E31" s="295"/>
      <c r="F31" s="295"/>
      <c r="G31" s="296"/>
      <c r="H31" s="296"/>
      <c r="I31" s="296"/>
      <c r="J31" s="315" t="s">
        <v>220</v>
      </c>
      <c r="K31" s="317"/>
      <c r="L31" s="317"/>
      <c r="M31" s="317"/>
      <c r="N31" s="317"/>
      <c r="O31" s="313"/>
      <c r="P31" s="312"/>
      <c r="Q31" s="313"/>
      <c r="R31" s="301"/>
      <c r="S31" s="301"/>
      <c r="T31" s="301"/>
      <c r="U31" s="302"/>
      <c r="V31" s="301"/>
      <c r="W31" s="303" t="b">
        <v>0</v>
      </c>
      <c r="X31" s="304" t="b">
        <v>0</v>
      </c>
      <c r="Y31" s="304" t="b">
        <v>0</v>
      </c>
      <c r="Z31" s="304" t="b">
        <v>0</v>
      </c>
      <c r="AA31" s="304" t="b">
        <v>0</v>
      </c>
      <c r="AB31" s="304" t="b">
        <v>0</v>
      </c>
      <c r="AC31" s="304" t="b">
        <v>0</v>
      </c>
      <c r="AD31" s="304" t="b">
        <v>0</v>
      </c>
      <c r="AE31" s="304" t="b">
        <v>0</v>
      </c>
      <c r="AF31" s="305" t="b">
        <v>0</v>
      </c>
      <c r="AG31" s="316"/>
      <c r="AH31" s="316"/>
      <c r="AI31" s="307"/>
      <c r="AJ31" s="292" t="str">
        <f>IFERROR(__xludf.DUMMYFUNCTION("IF(E31=""Heavy Armor"",IF(REGEXMATCH(V31,""Flexible""),""0"",COUNTIF(W31:AF31,true)),)"),"")</f>
        <v/>
      </c>
    </row>
    <row r="32" ht="56.25" customHeight="1">
      <c r="A32" s="213"/>
      <c r="B32" s="276">
        <v>29.0</v>
      </c>
      <c r="C32" s="308"/>
      <c r="D32" s="310"/>
      <c r="E32" s="310"/>
      <c r="F32" s="310"/>
      <c r="G32" s="314"/>
      <c r="H32" s="314"/>
      <c r="I32" s="314"/>
      <c r="J32" s="315" t="s">
        <v>220</v>
      </c>
      <c r="K32" s="317"/>
      <c r="L32" s="317"/>
      <c r="M32" s="317"/>
      <c r="N32" s="317"/>
      <c r="O32" s="313"/>
      <c r="P32" s="312"/>
      <c r="Q32" s="313"/>
      <c r="R32" s="301"/>
      <c r="S32" s="301"/>
      <c r="T32" s="301"/>
      <c r="U32" s="302"/>
      <c r="V32" s="301"/>
      <c r="W32" s="303" t="b">
        <v>0</v>
      </c>
      <c r="X32" s="304" t="b">
        <v>0</v>
      </c>
      <c r="Y32" s="304" t="b">
        <v>0</v>
      </c>
      <c r="Z32" s="304" t="b">
        <v>0</v>
      </c>
      <c r="AA32" s="304" t="b">
        <v>0</v>
      </c>
      <c r="AB32" s="304" t="b">
        <v>0</v>
      </c>
      <c r="AC32" s="304" t="b">
        <v>0</v>
      </c>
      <c r="AD32" s="304" t="b">
        <v>0</v>
      </c>
      <c r="AE32" s="304" t="b">
        <v>0</v>
      </c>
      <c r="AF32" s="305" t="b">
        <v>0</v>
      </c>
      <c r="AG32" s="316"/>
      <c r="AH32" s="316"/>
      <c r="AI32" s="307"/>
      <c r="AJ32" s="292" t="str">
        <f>IFERROR(__xludf.DUMMYFUNCTION("IF(E32=""Heavy Armor"",IF(REGEXMATCH(V32,""Flexible""),""0"",COUNTIF(W32:AF32,true)),)"),"")</f>
        <v/>
      </c>
    </row>
    <row r="33" ht="56.25" customHeight="1">
      <c r="A33" s="213"/>
      <c r="B33" s="276">
        <v>30.0</v>
      </c>
      <c r="C33" s="293"/>
      <c r="D33" s="295"/>
      <c r="E33" s="295"/>
      <c r="F33" s="295"/>
      <c r="G33" s="296"/>
      <c r="H33" s="296"/>
      <c r="I33" s="296"/>
      <c r="J33" s="315" t="s">
        <v>220</v>
      </c>
      <c r="K33" s="317"/>
      <c r="L33" s="317"/>
      <c r="M33" s="317"/>
      <c r="N33" s="317"/>
      <c r="O33" s="313"/>
      <c r="P33" s="312"/>
      <c r="Q33" s="313"/>
      <c r="R33" s="301"/>
      <c r="S33" s="301"/>
      <c r="T33" s="301"/>
      <c r="U33" s="302"/>
      <c r="V33" s="301"/>
      <c r="W33" s="303" t="b">
        <v>0</v>
      </c>
      <c r="X33" s="304" t="b">
        <v>0</v>
      </c>
      <c r="Y33" s="304" t="b">
        <v>0</v>
      </c>
      <c r="Z33" s="304" t="b">
        <v>0</v>
      </c>
      <c r="AA33" s="304" t="b">
        <v>0</v>
      </c>
      <c r="AB33" s="304" t="b">
        <v>0</v>
      </c>
      <c r="AC33" s="304" t="b">
        <v>0</v>
      </c>
      <c r="AD33" s="304" t="b">
        <v>0</v>
      </c>
      <c r="AE33" s="304" t="b">
        <v>0</v>
      </c>
      <c r="AF33" s="305" t="b">
        <v>0</v>
      </c>
      <c r="AG33" s="316"/>
      <c r="AH33" s="316"/>
      <c r="AI33" s="307"/>
      <c r="AJ33" s="292" t="str">
        <f>IFERROR(__xludf.DUMMYFUNCTION("IF(E33=""Heavy Armor"",IF(REGEXMATCH(V33,""Flexible""),""0"",COUNTIF(W33:AF33,true)),)"),"")</f>
        <v/>
      </c>
    </row>
    <row r="34" ht="56.25" customHeight="1">
      <c r="A34" s="213"/>
      <c r="B34" s="276">
        <v>31.0</v>
      </c>
      <c r="C34" s="308"/>
      <c r="D34" s="310"/>
      <c r="E34" s="310"/>
      <c r="F34" s="310"/>
      <c r="G34" s="314"/>
      <c r="H34" s="314"/>
      <c r="I34" s="314"/>
      <c r="J34" s="315" t="s">
        <v>220</v>
      </c>
      <c r="K34" s="298"/>
      <c r="L34" s="298"/>
      <c r="M34" s="298"/>
      <c r="N34" s="298"/>
      <c r="O34" s="299"/>
      <c r="P34" s="312"/>
      <c r="Q34" s="313"/>
      <c r="R34" s="301"/>
      <c r="S34" s="301"/>
      <c r="T34" s="301"/>
      <c r="U34" s="302"/>
      <c r="V34" s="285"/>
      <c r="W34" s="303" t="b">
        <v>0</v>
      </c>
      <c r="X34" s="304" t="b">
        <v>0</v>
      </c>
      <c r="Y34" s="304" t="b">
        <v>0</v>
      </c>
      <c r="Z34" s="304" t="b">
        <v>0</v>
      </c>
      <c r="AA34" s="304" t="b">
        <v>0</v>
      </c>
      <c r="AB34" s="304" t="b">
        <v>0</v>
      </c>
      <c r="AC34" s="304" t="b">
        <v>0</v>
      </c>
      <c r="AD34" s="304" t="b">
        <v>0</v>
      </c>
      <c r="AE34" s="304" t="b">
        <v>0</v>
      </c>
      <c r="AF34" s="305" t="b">
        <v>0</v>
      </c>
      <c r="AG34" s="316"/>
      <c r="AH34" s="316"/>
      <c r="AI34" s="307"/>
      <c r="AJ34" s="292" t="str">
        <f>IFERROR(__xludf.DUMMYFUNCTION("IF(E34=""Heavy Armor"",IF(REGEXMATCH(V34,""Flexible""),""0"",COUNTIF(W34:AF34,true)),)"),"")</f>
        <v/>
      </c>
    </row>
    <row r="35" ht="56.25" customHeight="1">
      <c r="A35" s="213"/>
      <c r="B35" s="276">
        <v>32.0</v>
      </c>
      <c r="C35" s="293"/>
      <c r="D35" s="295"/>
      <c r="E35" s="295"/>
      <c r="F35" s="295"/>
      <c r="G35" s="296"/>
      <c r="H35" s="296"/>
      <c r="I35" s="296"/>
      <c r="J35" s="315" t="s">
        <v>220</v>
      </c>
      <c r="K35" s="298"/>
      <c r="L35" s="298"/>
      <c r="M35" s="298"/>
      <c r="N35" s="298"/>
      <c r="O35" s="299"/>
      <c r="P35" s="312"/>
      <c r="Q35" s="313"/>
      <c r="R35" s="301"/>
      <c r="S35" s="301"/>
      <c r="T35" s="301"/>
      <c r="U35" s="302"/>
      <c r="V35" s="301"/>
      <c r="W35" s="303" t="b">
        <v>0</v>
      </c>
      <c r="X35" s="304" t="b">
        <v>0</v>
      </c>
      <c r="Y35" s="304" t="b">
        <v>0</v>
      </c>
      <c r="Z35" s="304" t="b">
        <v>0</v>
      </c>
      <c r="AA35" s="304" t="b">
        <v>0</v>
      </c>
      <c r="AB35" s="304" t="b">
        <v>0</v>
      </c>
      <c r="AC35" s="304" t="b">
        <v>0</v>
      </c>
      <c r="AD35" s="304" t="b">
        <v>0</v>
      </c>
      <c r="AE35" s="304" t="b">
        <v>0</v>
      </c>
      <c r="AF35" s="305" t="b">
        <v>0</v>
      </c>
      <c r="AG35" s="316"/>
      <c r="AH35" s="316"/>
      <c r="AI35" s="307"/>
      <c r="AJ35" s="292" t="str">
        <f>IFERROR(__xludf.DUMMYFUNCTION("IF(E35=""Heavy Armor"",IF(REGEXMATCH(V35,""Flexible""),""0"",COUNTIF(W35:AF35,true)),)"),"")</f>
        <v/>
      </c>
    </row>
    <row r="36" ht="56.25" customHeight="1">
      <c r="A36" s="213"/>
      <c r="B36" s="276">
        <v>33.0</v>
      </c>
      <c r="C36" s="308"/>
      <c r="D36" s="310"/>
      <c r="E36" s="310"/>
      <c r="F36" s="310"/>
      <c r="G36" s="314"/>
      <c r="H36" s="314"/>
      <c r="I36" s="314"/>
      <c r="J36" s="315" t="s">
        <v>220</v>
      </c>
      <c r="K36" s="298"/>
      <c r="L36" s="298"/>
      <c r="M36" s="298"/>
      <c r="N36" s="298"/>
      <c r="O36" s="313"/>
      <c r="P36" s="312"/>
      <c r="Q36" s="313"/>
      <c r="R36" s="301"/>
      <c r="S36" s="301"/>
      <c r="T36" s="301"/>
      <c r="U36" s="302"/>
      <c r="V36" s="301"/>
      <c r="W36" s="303" t="b">
        <v>0</v>
      </c>
      <c r="X36" s="304" t="b">
        <v>0</v>
      </c>
      <c r="Y36" s="304" t="b">
        <v>0</v>
      </c>
      <c r="Z36" s="304" t="b">
        <v>0</v>
      </c>
      <c r="AA36" s="304" t="b">
        <v>0</v>
      </c>
      <c r="AB36" s="304" t="b">
        <v>0</v>
      </c>
      <c r="AC36" s="304" t="b">
        <v>0</v>
      </c>
      <c r="AD36" s="304" t="b">
        <v>0</v>
      </c>
      <c r="AE36" s="304" t="b">
        <v>0</v>
      </c>
      <c r="AF36" s="305" t="b">
        <v>0</v>
      </c>
      <c r="AG36" s="316"/>
      <c r="AH36" s="316"/>
      <c r="AI36" s="307"/>
      <c r="AJ36" s="292" t="str">
        <f>IFERROR(__xludf.DUMMYFUNCTION("IF(E36=""Heavy Armor"",IF(REGEXMATCH(V36,""Flexible""),""0"",COUNTIF(W36:AF36,true)),)"),"")</f>
        <v/>
      </c>
    </row>
    <row r="37" ht="56.25" customHeight="1">
      <c r="A37" s="213"/>
      <c r="B37" s="276">
        <v>34.0</v>
      </c>
      <c r="C37" s="320"/>
      <c r="D37" s="321"/>
      <c r="E37" s="321"/>
      <c r="F37" s="321"/>
      <c r="G37" s="322"/>
      <c r="H37" s="322"/>
      <c r="I37" s="322"/>
      <c r="J37" s="323" t="s">
        <v>220</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221</v>
      </c>
      <c r="AI38" s="338" t="str">
        <f>IFERROR(__xludf.DUMMYFUNCTION("IF(ArrayFormula(SUM(IFERROR(LARGE(Arrayformula(Value(Iferror(REGEXEXTRACT(AI4:AI37,""[0-9]+""),))),{1,2}),0))) &gt;= AI39*2, ""Encumbered"", ""Fine"")"),"Fine")</f>
        <v>Fine</v>
      </c>
      <c r="AJ38" s="213"/>
    </row>
    <row r="39" ht="31.5" customHeight="1">
      <c r="A39" s="213"/>
      <c r="B39" s="335"/>
      <c r="AH39" s="337" t="s">
        <v>222</v>
      </c>
      <c r="AI39" s="339">
        <f>MAX(QUOTIENT(STR,2), 1)</f>
        <v>7</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223</v>
      </c>
      <c r="AE1" s="213"/>
    </row>
    <row r="2" ht="24.0" customHeight="1">
      <c r="A2" s="213"/>
      <c r="B2" s="344"/>
      <c r="C2" s="63"/>
      <c r="D2" s="64"/>
      <c r="E2" s="89"/>
      <c r="F2" s="89"/>
      <c r="G2" s="89"/>
      <c r="H2" s="89"/>
      <c r="I2" s="66"/>
      <c r="J2" s="257"/>
      <c r="AE2" s="213"/>
    </row>
    <row r="3" ht="31.5" customHeight="1">
      <c r="A3" s="213"/>
      <c r="C3" s="345" t="s">
        <v>224</v>
      </c>
      <c r="D3" s="346" t="s">
        <v>225</v>
      </c>
      <c r="E3" s="85"/>
      <c r="F3" s="85"/>
      <c r="G3" s="85"/>
      <c r="H3" s="85"/>
      <c r="I3" s="86"/>
      <c r="AE3" s="213"/>
    </row>
    <row r="4" ht="21.0" customHeight="1">
      <c r="A4" s="213"/>
      <c r="B4" s="262" t="s">
        <v>191</v>
      </c>
      <c r="C4" s="263" t="s">
        <v>192</v>
      </c>
      <c r="D4" s="347" t="s">
        <v>226</v>
      </c>
      <c r="E4" s="348"/>
      <c r="F4" s="348"/>
      <c r="G4" s="348"/>
      <c r="H4" s="348"/>
      <c r="I4" s="348"/>
      <c r="J4" s="348"/>
      <c r="K4" s="348"/>
      <c r="L4" s="348"/>
      <c r="M4" s="349"/>
      <c r="N4" s="350" t="s">
        <v>227</v>
      </c>
      <c r="O4" s="348"/>
      <c r="P4" s="348"/>
      <c r="Q4" s="349"/>
      <c r="R4" s="264" t="s">
        <v>228</v>
      </c>
      <c r="S4" s="351" t="s">
        <v>229</v>
      </c>
      <c r="T4" s="266"/>
      <c r="U4" s="266"/>
      <c r="V4" s="267"/>
      <c r="W4" s="352" t="s">
        <v>230</v>
      </c>
      <c r="X4" s="353"/>
      <c r="Y4" s="263" t="s">
        <v>231</v>
      </c>
      <c r="Z4" s="263" t="s">
        <v>197</v>
      </c>
      <c r="AA4" s="263" t="s">
        <v>232</v>
      </c>
      <c r="AC4" s="268" t="s">
        <v>233</v>
      </c>
      <c r="AD4" s="268" t="s">
        <v>6</v>
      </c>
      <c r="AE4" s="213"/>
    </row>
    <row r="5" ht="60.75" customHeight="1">
      <c r="A5" s="213"/>
      <c r="B5" s="82"/>
      <c r="D5" s="354" t="s">
        <v>234</v>
      </c>
      <c r="E5" s="355" t="s">
        <v>235</v>
      </c>
      <c r="F5" s="355" t="s">
        <v>236</v>
      </c>
      <c r="G5" s="355" t="s">
        <v>237</v>
      </c>
      <c r="H5" s="355" t="s">
        <v>238</v>
      </c>
      <c r="I5" s="355" t="s">
        <v>239</v>
      </c>
      <c r="J5" s="355" t="s">
        <v>240</v>
      </c>
      <c r="K5" s="355" t="s">
        <v>241</v>
      </c>
      <c r="L5" s="355" t="s">
        <v>242</v>
      </c>
      <c r="M5" s="356" t="s">
        <v>243</v>
      </c>
      <c r="N5" s="357" t="s">
        <v>244</v>
      </c>
      <c r="O5" s="358" t="s">
        <v>245</v>
      </c>
      <c r="P5" s="359"/>
      <c r="Q5" s="360" t="s">
        <v>246</v>
      </c>
      <c r="S5" s="361" t="s">
        <v>247</v>
      </c>
      <c r="T5" s="362" t="s">
        <v>248</v>
      </c>
      <c r="U5" s="362" t="s">
        <v>249</v>
      </c>
      <c r="V5" s="353"/>
      <c r="W5" s="363" t="s">
        <v>200</v>
      </c>
      <c r="X5" s="364" t="s">
        <v>116</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250</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250</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250</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250</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250</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250</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250</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250</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250</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250</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250</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250</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250</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250</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250</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250</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250</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250</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250</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250</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250</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250</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250</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250</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250</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250</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250</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250</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250</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251</v>
      </c>
      <c r="H1" s="213"/>
    </row>
    <row r="2" ht="31.5" customHeight="1">
      <c r="B2" s="263" t="s">
        <v>116</v>
      </c>
      <c r="C2" s="263" t="s">
        <v>192</v>
      </c>
      <c r="D2" s="263" t="s">
        <v>25</v>
      </c>
      <c r="E2" s="263" t="s">
        <v>232</v>
      </c>
      <c r="F2" s="263" t="s">
        <v>252</v>
      </c>
      <c r="G2" s="263" t="s">
        <v>253</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4" t="b">
        <f t="shared" si="1"/>
        <v>0</v>
      </c>
      <c r="F4" s="415"/>
      <c r="G4" s="416" t="b">
        <f t="shared" si="2"/>
        <v>0</v>
      </c>
    </row>
    <row r="5" ht="75.0" customHeight="1">
      <c r="B5" s="414"/>
      <c r="C5" s="415"/>
      <c r="D5" s="415"/>
      <c r="E5" s="304" t="b">
        <f t="shared" si="1"/>
        <v>0</v>
      </c>
      <c r="F5" s="415"/>
      <c r="G5" s="416" t="b">
        <f t="shared" si="2"/>
        <v>0</v>
      </c>
    </row>
    <row r="6" ht="75.0" customHeight="1">
      <c r="B6" s="414"/>
      <c r="C6" s="415"/>
      <c r="D6" s="415"/>
      <c r="E6" s="304" t="b">
        <f t="shared" si="1"/>
        <v>0</v>
      </c>
      <c r="F6" s="415"/>
      <c r="G6" s="416" t="b">
        <f t="shared" si="2"/>
        <v>0</v>
      </c>
    </row>
    <row r="7" ht="75.0" customHeight="1">
      <c r="B7" s="414"/>
      <c r="C7" s="415"/>
      <c r="D7" s="415"/>
      <c r="E7" s="304" t="b">
        <f t="shared" si="1"/>
        <v>0</v>
      </c>
      <c r="F7" s="415"/>
      <c r="G7" s="416" t="b">
        <f t="shared" si="2"/>
        <v>0</v>
      </c>
    </row>
    <row r="8" ht="75.0" customHeight="1">
      <c r="B8" s="414"/>
      <c r="C8" s="415"/>
      <c r="D8" s="415"/>
      <c r="E8" s="304" t="b">
        <f t="shared" si="1"/>
        <v>0</v>
      </c>
      <c r="F8" s="415"/>
      <c r="G8" s="416" t="b">
        <f t="shared" si="2"/>
        <v>0</v>
      </c>
    </row>
    <row r="9" ht="75.0" customHeight="1">
      <c r="B9" s="414"/>
      <c r="C9" s="415"/>
      <c r="D9" s="415"/>
      <c r="E9" s="304" t="b">
        <f t="shared" si="1"/>
        <v>0</v>
      </c>
      <c r="F9" s="415"/>
      <c r="G9" s="416" t="b">
        <f t="shared" si="2"/>
        <v>0</v>
      </c>
    </row>
    <row r="10" ht="75.0" customHeight="1">
      <c r="B10" s="414"/>
      <c r="C10" s="415"/>
      <c r="D10" s="415"/>
      <c r="E10" s="304" t="b">
        <f t="shared" si="1"/>
        <v>0</v>
      </c>
      <c r="F10" s="415"/>
      <c r="G10" s="416" t="b">
        <f t="shared" si="2"/>
        <v>0</v>
      </c>
    </row>
    <row r="11" ht="75.0" customHeight="1">
      <c r="B11" s="414"/>
      <c r="C11" s="415"/>
      <c r="D11" s="415"/>
      <c r="E11" s="304" t="b">
        <f t="shared" si="1"/>
        <v>0</v>
      </c>
      <c r="F11" s="415"/>
      <c r="G11" s="416" t="b">
        <f t="shared" si="2"/>
        <v>0</v>
      </c>
    </row>
    <row r="12" ht="75.0" customHeight="1">
      <c r="B12" s="414"/>
      <c r="C12" s="415"/>
      <c r="D12" s="415"/>
      <c r="E12" s="304" t="b">
        <f t="shared" si="1"/>
        <v>0</v>
      </c>
      <c r="F12" s="415"/>
      <c r="G12" s="416" t="b">
        <f t="shared" si="2"/>
        <v>0</v>
      </c>
    </row>
    <row r="13" ht="75.0" customHeight="1">
      <c r="B13" s="414"/>
      <c r="C13" s="415"/>
      <c r="D13" s="415"/>
      <c r="E13" s="304" t="b">
        <f t="shared" si="1"/>
        <v>0</v>
      </c>
      <c r="F13" s="415"/>
      <c r="G13" s="416" t="b">
        <f t="shared" si="2"/>
        <v>0</v>
      </c>
    </row>
    <row r="14" ht="75.0" customHeight="1">
      <c r="B14" s="414"/>
      <c r="C14" s="415"/>
      <c r="D14" s="415"/>
      <c r="E14" s="304" t="b">
        <f t="shared" si="1"/>
        <v>0</v>
      </c>
      <c r="F14" s="415"/>
      <c r="G14" s="416" t="b">
        <f t="shared" si="2"/>
        <v>0</v>
      </c>
    </row>
    <row r="15" ht="75.0" customHeight="1">
      <c r="B15" s="414"/>
      <c r="C15" s="415"/>
      <c r="D15" s="415"/>
      <c r="E15" s="304" t="b">
        <f t="shared" si="1"/>
        <v>0</v>
      </c>
      <c r="F15" s="415"/>
      <c r="G15" s="416" t="b">
        <f t="shared" si="2"/>
        <v>0</v>
      </c>
    </row>
    <row r="16" ht="75.0" customHeight="1">
      <c r="B16" s="414"/>
      <c r="C16" s="415"/>
      <c r="D16" s="415"/>
      <c r="E16" s="304" t="b">
        <f t="shared" si="1"/>
        <v>0</v>
      </c>
      <c r="F16" s="415"/>
      <c r="G16" s="416" t="b">
        <f t="shared" si="2"/>
        <v>0</v>
      </c>
    </row>
    <row r="17" ht="75.0" customHeight="1">
      <c r="B17" s="414"/>
      <c r="C17" s="415"/>
      <c r="D17" s="415"/>
      <c r="E17" s="304" t="b">
        <f t="shared" si="1"/>
        <v>0</v>
      </c>
      <c r="F17" s="415"/>
      <c r="G17" s="416" t="b">
        <f t="shared" si="2"/>
        <v>0</v>
      </c>
    </row>
    <row r="18" ht="75.0" customHeight="1">
      <c r="B18" s="414"/>
      <c r="C18" s="415"/>
      <c r="D18" s="415"/>
      <c r="E18" s="304" t="b">
        <f t="shared" si="1"/>
        <v>0</v>
      </c>
      <c r="F18" s="415"/>
      <c r="G18" s="416" t="b">
        <f t="shared" si="2"/>
        <v>0</v>
      </c>
    </row>
    <row r="19" ht="75.0" customHeight="1">
      <c r="B19" s="414"/>
      <c r="C19" s="415"/>
      <c r="D19" s="415"/>
      <c r="E19" s="304" t="b">
        <f t="shared" si="1"/>
        <v>0</v>
      </c>
      <c r="F19" s="415"/>
      <c r="G19" s="416" t="b">
        <f t="shared" si="2"/>
        <v>0</v>
      </c>
    </row>
    <row r="20" ht="75.0" customHeight="1">
      <c r="B20" s="414"/>
      <c r="C20" s="415"/>
      <c r="D20" s="415"/>
      <c r="E20" s="304" t="b">
        <f t="shared" si="1"/>
        <v>0</v>
      </c>
      <c r="F20" s="415"/>
      <c r="G20" s="416" t="b">
        <f t="shared" si="2"/>
        <v>0</v>
      </c>
    </row>
    <row r="21" ht="75.0" customHeight="1">
      <c r="B21" s="414"/>
      <c r="C21" s="415"/>
      <c r="D21" s="415"/>
      <c r="E21" s="304" t="b">
        <f t="shared" si="1"/>
        <v>0</v>
      </c>
      <c r="F21" s="415"/>
      <c r="G21" s="416" t="b">
        <f t="shared" si="2"/>
        <v>0</v>
      </c>
    </row>
    <row r="22" ht="75.0" customHeight="1">
      <c r="B22" s="414"/>
      <c r="C22" s="415"/>
      <c r="D22" s="415"/>
      <c r="E22" s="304" t="b">
        <f t="shared" si="1"/>
        <v>0</v>
      </c>
      <c r="F22" s="415"/>
      <c r="G22" s="416" t="b">
        <f t="shared" si="2"/>
        <v>0</v>
      </c>
    </row>
    <row r="23" ht="75.0" customHeight="1">
      <c r="B23" s="414"/>
      <c r="C23" s="415"/>
      <c r="D23" s="415"/>
      <c r="E23" s="304" t="b">
        <f t="shared" si="1"/>
        <v>0</v>
      </c>
      <c r="F23" s="415"/>
      <c r="G23" s="416" t="b">
        <f t="shared" si="2"/>
        <v>0</v>
      </c>
    </row>
    <row r="24" ht="75.0" customHeight="1">
      <c r="B24" s="414"/>
      <c r="C24" s="415"/>
      <c r="D24" s="415"/>
      <c r="E24" s="304" t="b">
        <f t="shared" si="1"/>
        <v>0</v>
      </c>
      <c r="F24" s="415"/>
      <c r="G24" s="416" t="b">
        <f t="shared" si="2"/>
        <v>0</v>
      </c>
    </row>
    <row r="25" ht="75.0" customHeight="1">
      <c r="B25" s="414"/>
      <c r="C25" s="415"/>
      <c r="D25" s="415"/>
      <c r="E25" s="304" t="b">
        <f t="shared" si="1"/>
        <v>0</v>
      </c>
      <c r="F25" s="415"/>
      <c r="G25" s="416" t="b">
        <f t="shared" si="2"/>
        <v>0</v>
      </c>
    </row>
    <row r="26" ht="75.0" customHeight="1">
      <c r="B26" s="414"/>
      <c r="C26" s="415"/>
      <c r="D26" s="415"/>
      <c r="E26" s="304" t="b">
        <f t="shared" si="1"/>
        <v>0</v>
      </c>
      <c r="F26" s="415"/>
      <c r="G26" s="416" t="b">
        <f t="shared" si="2"/>
        <v>0</v>
      </c>
    </row>
    <row r="27" ht="75.0" customHeight="1">
      <c r="B27" s="414"/>
      <c r="C27" s="415"/>
      <c r="D27" s="415"/>
      <c r="E27" s="304" t="b">
        <f t="shared" si="1"/>
        <v>0</v>
      </c>
      <c r="F27" s="415"/>
      <c r="G27" s="416" t="b">
        <f t="shared" si="2"/>
        <v>0</v>
      </c>
    </row>
    <row r="28" ht="75.0" customHeight="1">
      <c r="B28" s="414"/>
      <c r="C28" s="415"/>
      <c r="D28" s="415"/>
      <c r="E28" s="304" t="b">
        <f t="shared" si="1"/>
        <v>0</v>
      </c>
      <c r="F28" s="415"/>
      <c r="G28" s="416" t="b">
        <f t="shared" si="2"/>
        <v>0</v>
      </c>
    </row>
    <row r="29" ht="75.0" customHeight="1">
      <c r="B29" s="414"/>
      <c r="C29" s="415"/>
      <c r="D29" s="415"/>
      <c r="E29" s="304" t="b">
        <f t="shared" si="1"/>
        <v>0</v>
      </c>
      <c r="F29" s="415"/>
      <c r="G29" s="416" t="b">
        <f t="shared" si="2"/>
        <v>0</v>
      </c>
    </row>
    <row r="30" ht="75.0" customHeight="1">
      <c r="B30" s="414"/>
      <c r="C30" s="415"/>
      <c r="D30" s="415"/>
      <c r="E30" s="304" t="b">
        <f t="shared" si="1"/>
        <v>0</v>
      </c>
      <c r="F30" s="415"/>
      <c r="G30" s="416" t="b">
        <f t="shared" si="2"/>
        <v>0</v>
      </c>
    </row>
    <row r="31" ht="75.0" customHeight="1">
      <c r="B31" s="414"/>
      <c r="C31" s="415"/>
      <c r="D31" s="415"/>
      <c r="E31" s="304" t="b">
        <f t="shared" si="1"/>
        <v>0</v>
      </c>
      <c r="F31" s="415"/>
      <c r="G31" s="416" t="b">
        <f t="shared" si="2"/>
        <v>0</v>
      </c>
    </row>
    <row r="32" ht="75.0" customHeight="1">
      <c r="B32" s="414"/>
      <c r="C32" s="415"/>
      <c r="D32" s="415"/>
      <c r="E32" s="304" t="b">
        <f t="shared" si="1"/>
        <v>0</v>
      </c>
      <c r="F32" s="415"/>
      <c r="G32" s="416" t="b">
        <f t="shared" si="2"/>
        <v>0</v>
      </c>
    </row>
    <row r="33" ht="75.0" customHeight="1">
      <c r="B33" s="414"/>
      <c r="C33" s="415"/>
      <c r="D33" s="415"/>
      <c r="E33" s="304" t="b">
        <f t="shared" si="1"/>
        <v>0</v>
      </c>
      <c r="F33" s="415"/>
      <c r="G33" s="416" t="b">
        <f t="shared" si="2"/>
        <v>0</v>
      </c>
    </row>
    <row r="34" ht="75.0" customHeight="1">
      <c r="B34" s="414"/>
      <c r="C34" s="415"/>
      <c r="D34" s="415"/>
      <c r="E34" s="304" t="b">
        <f t="shared" si="1"/>
        <v>0</v>
      </c>
      <c r="F34" s="415"/>
      <c r="G34" s="416" t="b">
        <f t="shared" si="2"/>
        <v>0</v>
      </c>
    </row>
    <row r="35" ht="75.0" customHeight="1">
      <c r="B35" s="414"/>
      <c r="C35" s="415"/>
      <c r="D35" s="415"/>
      <c r="E35" s="304" t="b">
        <f t="shared" si="1"/>
        <v>0</v>
      </c>
      <c r="F35" s="415"/>
      <c r="G35" s="416" t="b">
        <f t="shared" si="2"/>
        <v>0</v>
      </c>
    </row>
    <row r="36" ht="75.0" customHeight="1">
      <c r="B36" s="414"/>
      <c r="C36" s="415"/>
      <c r="D36" s="415"/>
      <c r="E36" s="304" t="b">
        <f t="shared" si="1"/>
        <v>0</v>
      </c>
      <c r="F36" s="415"/>
      <c r="G36" s="416" t="b">
        <f t="shared" si="2"/>
        <v>0</v>
      </c>
    </row>
    <row r="37" ht="75.0" customHeight="1">
      <c r="B37" s="414"/>
      <c r="C37" s="415"/>
      <c r="D37" s="415"/>
      <c r="E37" s="304" t="b">
        <f t="shared" si="1"/>
        <v>0</v>
      </c>
      <c r="F37" s="415"/>
      <c r="G37" s="416" t="b">
        <f t="shared" si="2"/>
        <v>0</v>
      </c>
    </row>
    <row r="38" ht="75.0" customHeight="1">
      <c r="B38" s="414"/>
      <c r="C38" s="415"/>
      <c r="D38" s="415"/>
      <c r="E38" s="304" t="b">
        <f t="shared" si="1"/>
        <v>0</v>
      </c>
      <c r="F38" s="415"/>
      <c r="G38" s="416" t="b">
        <f t="shared" si="2"/>
        <v>0</v>
      </c>
    </row>
    <row r="39" ht="75.0" customHeight="1">
      <c r="B39" s="414"/>
      <c r="C39" s="415"/>
      <c r="D39" s="415"/>
      <c r="E39" s="304" t="b">
        <f t="shared" si="1"/>
        <v>0</v>
      </c>
      <c r="F39" s="415"/>
      <c r="G39" s="416" t="b">
        <f t="shared" si="2"/>
        <v>0</v>
      </c>
    </row>
    <row r="40" ht="75.0" customHeight="1">
      <c r="B40" s="414"/>
      <c r="C40" s="415"/>
      <c r="D40" s="415"/>
      <c r="E40" s="304" t="b">
        <f t="shared" si="1"/>
        <v>0</v>
      </c>
      <c r="F40" s="415"/>
      <c r="G40" s="416" t="b">
        <f t="shared" si="2"/>
        <v>0</v>
      </c>
    </row>
    <row r="41" ht="75.0" customHeight="1">
      <c r="B41" s="414"/>
      <c r="C41" s="415"/>
      <c r="D41" s="415"/>
      <c r="E41" s="304" t="b">
        <f t="shared" si="1"/>
        <v>0</v>
      </c>
      <c r="F41" s="415"/>
      <c r="G41" s="416" t="b">
        <f t="shared" si="2"/>
        <v>0</v>
      </c>
    </row>
    <row r="42" ht="75.0" customHeight="1">
      <c r="B42" s="414"/>
      <c r="C42" s="415"/>
      <c r="D42" s="415"/>
      <c r="E42" s="304" t="b">
        <f t="shared" si="1"/>
        <v>0</v>
      </c>
      <c r="F42" s="415"/>
      <c r="G42" s="416" t="b">
        <f t="shared" si="2"/>
        <v>0</v>
      </c>
    </row>
    <row r="43" ht="75.0" customHeight="1">
      <c r="B43" s="414"/>
      <c r="C43" s="415"/>
      <c r="D43" s="415"/>
      <c r="E43" s="304" t="b">
        <f t="shared" si="1"/>
        <v>0</v>
      </c>
      <c r="F43" s="415"/>
      <c r="G43" s="416" t="b">
        <f t="shared" si="2"/>
        <v>0</v>
      </c>
    </row>
    <row r="44" ht="75.0" customHeight="1">
      <c r="B44" s="414"/>
      <c r="C44" s="415"/>
      <c r="D44" s="415"/>
      <c r="E44" s="304" t="b">
        <f t="shared" si="1"/>
        <v>0</v>
      </c>
      <c r="F44" s="415"/>
      <c r="G44" s="416" t="b">
        <f t="shared" si="2"/>
        <v>0</v>
      </c>
    </row>
    <row r="45" ht="75.0" customHeight="1">
      <c r="B45" s="414"/>
      <c r="C45" s="415"/>
      <c r="D45" s="415"/>
      <c r="E45" s="304" t="b">
        <f t="shared" si="1"/>
        <v>0</v>
      </c>
      <c r="F45" s="415"/>
      <c r="G45" s="416" t="b">
        <f t="shared" si="2"/>
        <v>0</v>
      </c>
    </row>
    <row r="46" ht="75.0" customHeight="1">
      <c r="B46" s="414"/>
      <c r="C46" s="415"/>
      <c r="D46" s="415"/>
      <c r="E46" s="304" t="b">
        <f t="shared" si="1"/>
        <v>0</v>
      </c>
      <c r="F46" s="415"/>
      <c r="G46" s="416" t="b">
        <f t="shared" si="2"/>
        <v>0</v>
      </c>
    </row>
    <row r="47" ht="75.0" customHeight="1">
      <c r="B47" s="414"/>
      <c r="C47" s="415"/>
      <c r="D47" s="415"/>
      <c r="E47" s="304" t="b">
        <f t="shared" si="1"/>
        <v>0</v>
      </c>
      <c r="F47" s="415"/>
      <c r="G47" s="416" t="b">
        <f t="shared" si="2"/>
        <v>0</v>
      </c>
    </row>
    <row r="48" ht="75.0" customHeight="1">
      <c r="B48" s="414"/>
      <c r="C48" s="415"/>
      <c r="D48" s="415"/>
      <c r="E48" s="304" t="b">
        <f t="shared" si="1"/>
        <v>0</v>
      </c>
      <c r="F48" s="415"/>
      <c r="G48" s="416" t="b">
        <f t="shared" si="2"/>
        <v>0</v>
      </c>
    </row>
    <row r="49" ht="75.0" customHeight="1">
      <c r="B49" s="414"/>
      <c r="C49" s="415"/>
      <c r="D49" s="415"/>
      <c r="E49" s="304" t="b">
        <f t="shared" si="1"/>
        <v>0</v>
      </c>
      <c r="F49" s="415"/>
      <c r="G49" s="416" t="b">
        <f t="shared" si="2"/>
        <v>0</v>
      </c>
    </row>
    <row r="50" ht="75.0" customHeight="1">
      <c r="B50" s="414"/>
      <c r="C50" s="415"/>
      <c r="D50" s="415"/>
      <c r="E50" s="304" t="b">
        <f t="shared" si="1"/>
        <v>0</v>
      </c>
      <c r="F50" s="415"/>
      <c r="G50" s="416" t="b">
        <f t="shared" si="2"/>
        <v>0</v>
      </c>
    </row>
    <row r="51" ht="75.0" customHeight="1">
      <c r="B51" s="414"/>
      <c r="C51" s="415"/>
      <c r="D51" s="415"/>
      <c r="E51" s="304"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254</v>
      </c>
      <c r="M1" s="421"/>
    </row>
    <row r="2" ht="16.5" customHeight="1">
      <c r="A2" s="420"/>
      <c r="B2" s="422" t="s">
        <v>255</v>
      </c>
      <c r="C2" s="423"/>
      <c r="D2" s="424"/>
      <c r="E2" s="424"/>
      <c r="F2" s="424"/>
      <c r="G2" s="424"/>
      <c r="H2" s="424"/>
      <c r="I2" s="424"/>
      <c r="J2" s="424"/>
      <c r="K2" s="424"/>
      <c r="L2" s="424"/>
      <c r="M2" s="420"/>
    </row>
    <row r="3" ht="16.5" customHeight="1">
      <c r="A3" s="420"/>
      <c r="B3" s="422" t="s">
        <v>256</v>
      </c>
      <c r="C3" s="425"/>
      <c r="D3" s="425"/>
      <c r="E3" s="425"/>
      <c r="F3" s="425"/>
      <c r="G3" s="425"/>
      <c r="H3" s="425"/>
      <c r="I3" s="425"/>
      <c r="J3" s="425"/>
      <c r="K3" s="425"/>
      <c r="L3" s="425"/>
      <c r="M3" s="420"/>
    </row>
    <row r="4" ht="16.5" customHeight="1">
      <c r="A4" s="420"/>
      <c r="B4" s="426" t="s">
        <v>257</v>
      </c>
      <c r="C4" s="427"/>
      <c r="D4" s="427"/>
      <c r="E4" s="427"/>
      <c r="F4" s="427"/>
      <c r="G4" s="427"/>
      <c r="H4" s="427"/>
      <c r="I4" s="427"/>
      <c r="J4" s="427"/>
      <c r="K4" s="427"/>
      <c r="L4" s="427"/>
      <c r="M4" s="420"/>
    </row>
    <row r="5" ht="16.5" customHeight="1">
      <c r="A5" s="420"/>
      <c r="B5" s="428" t="s">
        <v>258</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259</v>
      </c>
      <c r="C2" s="440"/>
      <c r="D2" s="441" t="s">
        <v>260</v>
      </c>
    </row>
    <row r="3" ht="30.0" customHeight="1">
      <c r="B3" s="439" t="s">
        <v>261</v>
      </c>
      <c r="C3" s="442"/>
      <c r="D3" s="443" t="b">
        <v>0</v>
      </c>
    </row>
    <row r="4" ht="30.0" customHeight="1">
      <c r="B4" s="439" t="s">
        <v>262</v>
      </c>
      <c r="C4" s="442"/>
      <c r="D4" s="443" t="b">
        <v>0</v>
      </c>
    </row>
    <row r="5" ht="30.0" customHeight="1">
      <c r="B5" s="444" t="s">
        <v>263</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264</v>
      </c>
      <c r="C1" t="s">
        <v>264</v>
      </c>
      <c r="D1" t="s">
        <v>264</v>
      </c>
      <c r="E1" t="s">
        <v>264</v>
      </c>
      <c r="F1" t="s">
        <v>264</v>
      </c>
      <c r="G1" t="s">
        <v>264</v>
      </c>
      <c r="H1" t="s">
        <v>264</v>
      </c>
      <c r="I1" t="s">
        <v>264</v>
      </c>
      <c r="J1" t="s">
        <v>264</v>
      </c>
      <c r="K1" t="s">
        <v>264</v>
      </c>
      <c r="L1" t="s">
        <v>264</v>
      </c>
      <c r="M1" t="s">
        <v>264</v>
      </c>
      <c r="N1" t="s">
        <v>264</v>
      </c>
      <c r="O1" t="s">
        <v>264</v>
      </c>
      <c r="P1" t="s">
        <v>264</v>
      </c>
      <c r="Q1" t="s">
        <v>264</v>
      </c>
      <c r="R1" t="s">
        <v>264</v>
      </c>
      <c r="S1" t="s">
        <v>264</v>
      </c>
      <c r="T1" t="s">
        <v>264</v>
      </c>
      <c r="U1" t="s">
        <v>264</v>
      </c>
      <c r="V1" t="s">
        <v>264</v>
      </c>
      <c r="W1" t="s">
        <v>264</v>
      </c>
      <c r="X1" t="s">
        <v>264</v>
      </c>
      <c r="Y1" t="s">
        <v>264</v>
      </c>
      <c r="Z1" t="s">
        <v>264</v>
      </c>
      <c r="AA1" t="s">
        <v>264</v>
      </c>
      <c r="AB1" t="s">
        <v>264</v>
      </c>
      <c r="AC1" t="s">
        <v>264</v>
      </c>
      <c r="AD1" t="s">
        <v>264</v>
      </c>
      <c r="AE1" t="s">
        <v>264</v>
      </c>
      <c r="AF1" t="s">
        <v>264</v>
      </c>
      <c r="AG1" t="s">
        <v>264</v>
      </c>
      <c r="AH1" t="s">
        <v>264</v>
      </c>
      <c r="AI1" t="s">
        <v>264</v>
      </c>
      <c r="AJ1" t="s">
        <v>264</v>
      </c>
      <c r="AK1" t="s">
        <v>264</v>
      </c>
      <c r="AL1" t="s">
        <v>264</v>
      </c>
      <c r="AM1" t="s">
        <v>264</v>
      </c>
      <c r="AN1" t="s">
        <v>264</v>
      </c>
      <c r="AO1" t="s">
        <v>264</v>
      </c>
      <c r="AP1" t="s">
        <v>264</v>
      </c>
      <c r="AQ1" t="s">
        <v>264</v>
      </c>
      <c r="AR1" t="s">
        <v>264</v>
      </c>
      <c r="AS1" t="s">
        <v>264</v>
      </c>
      <c r="AT1" t="s">
        <v>264</v>
      </c>
      <c r="AU1" t="s">
        <v>264</v>
      </c>
      <c r="AV1" t="s">
        <v>264</v>
      </c>
      <c r="AW1" t="s">
        <v>264</v>
      </c>
      <c r="AX1" t="s">
        <v>264</v>
      </c>
      <c r="AY1" t="s">
        <v>264</v>
      </c>
      <c r="AZ1" t="s">
        <v>264</v>
      </c>
    </row>
    <row r="2">
      <c r="A2" s="447" t="str">
        <f t="array" ref="A2:AZ2">TRANSPOSE(indirect(Exploits!B4&amp;"!A:A"))</f>
        <v>Fast Learner</v>
      </c>
      <c r="B2" t="s">
        <v>264</v>
      </c>
      <c r="C2" t="s">
        <v>264</v>
      </c>
      <c r="D2" t="s">
        <v>264</v>
      </c>
      <c r="E2" t="s">
        <v>264</v>
      </c>
      <c r="F2" t="s">
        <v>264</v>
      </c>
      <c r="G2" t="s">
        <v>264</v>
      </c>
      <c r="H2" t="s">
        <v>264</v>
      </c>
      <c r="I2" t="s">
        <v>264</v>
      </c>
      <c r="J2" t="s">
        <v>264</v>
      </c>
      <c r="K2" t="s">
        <v>264</v>
      </c>
      <c r="L2" t="s">
        <v>264</v>
      </c>
      <c r="M2" t="s">
        <v>264</v>
      </c>
      <c r="N2" t="s">
        <v>264</v>
      </c>
      <c r="O2" t="s">
        <v>264</v>
      </c>
      <c r="P2" t="s">
        <v>264</v>
      </c>
      <c r="Q2" t="s">
        <v>264</v>
      </c>
      <c r="R2" t="s">
        <v>264</v>
      </c>
      <c r="S2" t="s">
        <v>264</v>
      </c>
      <c r="T2" t="s">
        <v>264</v>
      </c>
      <c r="U2" t="s">
        <v>264</v>
      </c>
      <c r="V2" t="s">
        <v>264</v>
      </c>
      <c r="W2" t="s">
        <v>264</v>
      </c>
      <c r="X2" t="s">
        <v>264</v>
      </c>
      <c r="Y2" t="s">
        <v>264</v>
      </c>
      <c r="Z2" t="s">
        <v>264</v>
      </c>
      <c r="AA2" t="s">
        <v>264</v>
      </c>
      <c r="AB2" t="s">
        <v>264</v>
      </c>
      <c r="AC2" t="s">
        <v>264</v>
      </c>
      <c r="AD2" t="s">
        <v>264</v>
      </c>
      <c r="AE2" t="s">
        <v>264</v>
      </c>
      <c r="AF2" t="s">
        <v>264</v>
      </c>
      <c r="AG2" t="s">
        <v>264</v>
      </c>
      <c r="AH2" t="s">
        <v>264</v>
      </c>
      <c r="AI2" t="s">
        <v>264</v>
      </c>
      <c r="AJ2" t="s">
        <v>264</v>
      </c>
      <c r="AK2" t="s">
        <v>264</v>
      </c>
      <c r="AL2" t="s">
        <v>264</v>
      </c>
      <c r="AM2" t="s">
        <v>264</v>
      </c>
      <c r="AN2" t="s">
        <v>264</v>
      </c>
      <c r="AO2" t="s">
        <v>264</v>
      </c>
      <c r="AP2" t="s">
        <v>264</v>
      </c>
      <c r="AQ2" t="s">
        <v>264</v>
      </c>
      <c r="AR2" t="s">
        <v>264</v>
      </c>
      <c r="AS2" t="s">
        <v>264</v>
      </c>
      <c r="AT2" t="s">
        <v>264</v>
      </c>
      <c r="AU2" t="s">
        <v>264</v>
      </c>
      <c r="AV2" t="s">
        <v>264</v>
      </c>
      <c r="AW2" t="s">
        <v>264</v>
      </c>
      <c r="AX2" t="s">
        <v>264</v>
      </c>
      <c r="AY2" t="s">
        <v>264</v>
      </c>
      <c r="AZ2" t="s">
        <v>264</v>
      </c>
    </row>
    <row r="3">
      <c r="A3" s="447" t="str">
        <f t="array" ref="A3:AZ3">TRANSPOSE(indirect(Exploits!B5&amp;"!A:A"))</f>
        <v>Fast Learner</v>
      </c>
      <c r="B3" t="s">
        <v>264</v>
      </c>
      <c r="C3" t="s">
        <v>264</v>
      </c>
      <c r="D3" t="s">
        <v>264</v>
      </c>
      <c r="E3" t="s">
        <v>264</v>
      </c>
      <c r="F3" t="s">
        <v>264</v>
      </c>
      <c r="G3" t="s">
        <v>264</v>
      </c>
      <c r="H3" t="s">
        <v>264</v>
      </c>
      <c r="I3" t="s">
        <v>264</v>
      </c>
      <c r="J3" t="s">
        <v>264</v>
      </c>
      <c r="K3" t="s">
        <v>264</v>
      </c>
      <c r="L3" t="s">
        <v>264</v>
      </c>
      <c r="M3" t="s">
        <v>264</v>
      </c>
      <c r="N3" t="s">
        <v>264</v>
      </c>
      <c r="O3" t="s">
        <v>264</v>
      </c>
      <c r="P3" t="s">
        <v>264</v>
      </c>
      <c r="Q3" t="s">
        <v>264</v>
      </c>
      <c r="R3" t="s">
        <v>264</v>
      </c>
      <c r="S3" t="s">
        <v>264</v>
      </c>
      <c r="T3" t="s">
        <v>264</v>
      </c>
      <c r="U3" t="s">
        <v>264</v>
      </c>
      <c r="V3" t="s">
        <v>264</v>
      </c>
      <c r="W3" t="s">
        <v>264</v>
      </c>
      <c r="X3" t="s">
        <v>264</v>
      </c>
      <c r="Y3" t="s">
        <v>264</v>
      </c>
      <c r="Z3" t="s">
        <v>264</v>
      </c>
      <c r="AA3" t="s">
        <v>264</v>
      </c>
      <c r="AB3" t="s">
        <v>264</v>
      </c>
      <c r="AC3" t="s">
        <v>264</v>
      </c>
      <c r="AD3" t="s">
        <v>264</v>
      </c>
      <c r="AE3" t="s">
        <v>264</v>
      </c>
      <c r="AF3" t="s">
        <v>264</v>
      </c>
      <c r="AG3" t="s">
        <v>264</v>
      </c>
      <c r="AH3" t="s">
        <v>264</v>
      </c>
      <c r="AI3" t="s">
        <v>264</v>
      </c>
      <c r="AJ3" t="s">
        <v>264</v>
      </c>
      <c r="AK3" t="s">
        <v>264</v>
      </c>
      <c r="AL3" t="s">
        <v>264</v>
      </c>
      <c r="AM3" t="s">
        <v>264</v>
      </c>
      <c r="AN3" t="s">
        <v>264</v>
      </c>
      <c r="AO3" t="s">
        <v>264</v>
      </c>
      <c r="AP3" t="s">
        <v>264</v>
      </c>
      <c r="AQ3" t="s">
        <v>264</v>
      </c>
      <c r="AR3" t="s">
        <v>264</v>
      </c>
      <c r="AS3" t="s">
        <v>264</v>
      </c>
      <c r="AT3" t="s">
        <v>264</v>
      </c>
      <c r="AU3" t="s">
        <v>264</v>
      </c>
      <c r="AV3" t="s">
        <v>264</v>
      </c>
      <c r="AW3" t="s">
        <v>264</v>
      </c>
      <c r="AX3" t="s">
        <v>264</v>
      </c>
      <c r="AY3" t="s">
        <v>264</v>
      </c>
      <c r="AZ3" t="s">
        <v>264</v>
      </c>
    </row>
    <row r="4">
      <c r="A4" s="447" t="str">
        <f t="array" ref="A4:AZ4">TRANSPOSE(indirect(Exploits!B6&amp;"!A:A"))</f>
        <v>Fast Learner</v>
      </c>
      <c r="B4" t="s">
        <v>264</v>
      </c>
      <c r="C4" t="s">
        <v>264</v>
      </c>
      <c r="D4" t="s">
        <v>264</v>
      </c>
      <c r="E4" t="s">
        <v>264</v>
      </c>
      <c r="F4" t="s">
        <v>264</v>
      </c>
      <c r="G4" t="s">
        <v>264</v>
      </c>
      <c r="H4" t="s">
        <v>264</v>
      </c>
      <c r="I4" t="s">
        <v>264</v>
      </c>
      <c r="J4" t="s">
        <v>264</v>
      </c>
      <c r="K4" t="s">
        <v>264</v>
      </c>
      <c r="L4" t="s">
        <v>264</v>
      </c>
      <c r="M4" t="s">
        <v>264</v>
      </c>
      <c r="N4" t="s">
        <v>264</v>
      </c>
      <c r="O4" t="s">
        <v>264</v>
      </c>
      <c r="P4" t="s">
        <v>264</v>
      </c>
      <c r="Q4" t="s">
        <v>264</v>
      </c>
      <c r="R4" t="s">
        <v>264</v>
      </c>
      <c r="S4" t="s">
        <v>264</v>
      </c>
      <c r="T4" t="s">
        <v>264</v>
      </c>
      <c r="U4" t="s">
        <v>264</v>
      </c>
      <c r="V4" t="s">
        <v>264</v>
      </c>
      <c r="W4" t="s">
        <v>264</v>
      </c>
      <c r="X4" t="s">
        <v>264</v>
      </c>
      <c r="Y4" t="s">
        <v>264</v>
      </c>
      <c r="Z4" t="s">
        <v>264</v>
      </c>
      <c r="AA4" t="s">
        <v>264</v>
      </c>
      <c r="AB4" t="s">
        <v>264</v>
      </c>
      <c r="AC4" t="s">
        <v>264</v>
      </c>
      <c r="AD4" t="s">
        <v>264</v>
      </c>
      <c r="AE4" t="s">
        <v>264</v>
      </c>
      <c r="AF4" t="s">
        <v>264</v>
      </c>
      <c r="AG4" t="s">
        <v>264</v>
      </c>
      <c r="AH4" t="s">
        <v>264</v>
      </c>
      <c r="AI4" t="s">
        <v>264</v>
      </c>
      <c r="AJ4" t="s">
        <v>264</v>
      </c>
      <c r="AK4" t="s">
        <v>264</v>
      </c>
      <c r="AL4" t="s">
        <v>264</v>
      </c>
      <c r="AM4" t="s">
        <v>264</v>
      </c>
      <c r="AN4" t="s">
        <v>264</v>
      </c>
      <c r="AO4" t="s">
        <v>264</v>
      </c>
      <c r="AP4" t="s">
        <v>264</v>
      </c>
      <c r="AQ4" t="s">
        <v>264</v>
      </c>
      <c r="AR4" t="s">
        <v>264</v>
      </c>
      <c r="AS4" t="s">
        <v>264</v>
      </c>
      <c r="AT4" t="s">
        <v>264</v>
      </c>
      <c r="AU4" t="s">
        <v>264</v>
      </c>
      <c r="AV4" t="s">
        <v>264</v>
      </c>
      <c r="AW4" t="s">
        <v>264</v>
      </c>
      <c r="AX4" t="s">
        <v>264</v>
      </c>
      <c r="AY4" t="s">
        <v>264</v>
      </c>
      <c r="AZ4" t="s">
        <v>264</v>
      </c>
    </row>
    <row r="5">
      <c r="A5" s="447" t="str">
        <f t="array" ref="A5:AZ5">TRANSPOSE(indirect(Exploits!B7&amp;"!A:A"))</f>
        <v>Fast Learner</v>
      </c>
      <c r="B5" t="s">
        <v>264</v>
      </c>
      <c r="C5" t="s">
        <v>264</v>
      </c>
      <c r="D5" t="s">
        <v>264</v>
      </c>
      <c r="E5" t="s">
        <v>264</v>
      </c>
      <c r="F5" t="s">
        <v>264</v>
      </c>
      <c r="G5" t="s">
        <v>264</v>
      </c>
      <c r="H5" t="s">
        <v>264</v>
      </c>
      <c r="I5" t="s">
        <v>264</v>
      </c>
      <c r="J5" t="s">
        <v>264</v>
      </c>
      <c r="K5" t="s">
        <v>264</v>
      </c>
      <c r="L5" t="s">
        <v>264</v>
      </c>
      <c r="M5" t="s">
        <v>264</v>
      </c>
      <c r="N5" t="s">
        <v>264</v>
      </c>
      <c r="O5" t="s">
        <v>264</v>
      </c>
      <c r="P5" t="s">
        <v>264</v>
      </c>
      <c r="Q5" t="s">
        <v>264</v>
      </c>
      <c r="R5" t="s">
        <v>264</v>
      </c>
      <c r="S5" t="s">
        <v>264</v>
      </c>
      <c r="T5" t="s">
        <v>264</v>
      </c>
      <c r="U5" t="s">
        <v>264</v>
      </c>
      <c r="V5" t="s">
        <v>264</v>
      </c>
      <c r="W5" t="s">
        <v>264</v>
      </c>
      <c r="X5" t="s">
        <v>264</v>
      </c>
      <c r="Y5" t="s">
        <v>264</v>
      </c>
      <c r="Z5" t="s">
        <v>264</v>
      </c>
      <c r="AA5" t="s">
        <v>264</v>
      </c>
      <c r="AB5" t="s">
        <v>264</v>
      </c>
      <c r="AC5" t="s">
        <v>264</v>
      </c>
      <c r="AD5" t="s">
        <v>264</v>
      </c>
      <c r="AE5" t="s">
        <v>264</v>
      </c>
      <c r="AF5" t="s">
        <v>264</v>
      </c>
      <c r="AG5" t="s">
        <v>264</v>
      </c>
      <c r="AH5" t="s">
        <v>264</v>
      </c>
      <c r="AI5" t="s">
        <v>264</v>
      </c>
      <c r="AJ5" t="s">
        <v>264</v>
      </c>
      <c r="AK5" t="s">
        <v>264</v>
      </c>
      <c r="AL5" t="s">
        <v>264</v>
      </c>
      <c r="AM5" t="s">
        <v>264</v>
      </c>
      <c r="AN5" t="s">
        <v>264</v>
      </c>
      <c r="AO5" t="s">
        <v>264</v>
      </c>
      <c r="AP5" t="s">
        <v>264</v>
      </c>
      <c r="AQ5" t="s">
        <v>264</v>
      </c>
      <c r="AR5" t="s">
        <v>264</v>
      </c>
      <c r="AS5" t="s">
        <v>264</v>
      </c>
      <c r="AT5" t="s">
        <v>264</v>
      </c>
      <c r="AU5" t="s">
        <v>264</v>
      </c>
      <c r="AV5" t="s">
        <v>264</v>
      </c>
      <c r="AW5" t="s">
        <v>264</v>
      </c>
      <c r="AX5" t="s">
        <v>264</v>
      </c>
      <c r="AY5" t="s">
        <v>264</v>
      </c>
      <c r="AZ5" t="s">
        <v>264</v>
      </c>
    </row>
    <row r="6">
      <c r="A6" s="447" t="str">
        <f t="array" ref="A6:AZ6">TRANSPOSE(indirect(Exploits!B8&amp;"!A:A"))</f>
        <v>Fast Learner</v>
      </c>
      <c r="B6" t="s">
        <v>264</v>
      </c>
      <c r="C6" t="s">
        <v>264</v>
      </c>
      <c r="D6" t="s">
        <v>264</v>
      </c>
      <c r="E6" t="s">
        <v>264</v>
      </c>
      <c r="F6" t="s">
        <v>264</v>
      </c>
      <c r="G6" t="s">
        <v>264</v>
      </c>
      <c r="H6" t="s">
        <v>264</v>
      </c>
      <c r="I6" t="s">
        <v>264</v>
      </c>
      <c r="J6" t="s">
        <v>264</v>
      </c>
      <c r="K6" t="s">
        <v>264</v>
      </c>
      <c r="L6" t="s">
        <v>264</v>
      </c>
      <c r="M6" t="s">
        <v>264</v>
      </c>
      <c r="N6" t="s">
        <v>264</v>
      </c>
      <c r="O6" t="s">
        <v>264</v>
      </c>
      <c r="P6" t="s">
        <v>264</v>
      </c>
      <c r="Q6" t="s">
        <v>264</v>
      </c>
      <c r="R6" t="s">
        <v>264</v>
      </c>
      <c r="S6" t="s">
        <v>264</v>
      </c>
      <c r="T6" t="s">
        <v>264</v>
      </c>
      <c r="U6" t="s">
        <v>264</v>
      </c>
      <c r="V6" t="s">
        <v>264</v>
      </c>
      <c r="W6" t="s">
        <v>264</v>
      </c>
      <c r="X6" t="s">
        <v>264</v>
      </c>
      <c r="Y6" t="s">
        <v>264</v>
      </c>
      <c r="Z6" t="s">
        <v>264</v>
      </c>
      <c r="AA6" t="s">
        <v>264</v>
      </c>
      <c r="AB6" t="s">
        <v>264</v>
      </c>
      <c r="AC6" t="s">
        <v>264</v>
      </c>
      <c r="AD6" t="s">
        <v>264</v>
      </c>
      <c r="AE6" t="s">
        <v>264</v>
      </c>
      <c r="AF6" t="s">
        <v>264</v>
      </c>
      <c r="AG6" t="s">
        <v>264</v>
      </c>
      <c r="AH6" t="s">
        <v>264</v>
      </c>
      <c r="AI6" t="s">
        <v>264</v>
      </c>
      <c r="AJ6" t="s">
        <v>264</v>
      </c>
      <c r="AK6" t="s">
        <v>264</v>
      </c>
      <c r="AL6" t="s">
        <v>264</v>
      </c>
      <c r="AM6" t="s">
        <v>264</v>
      </c>
      <c r="AN6" t="s">
        <v>264</v>
      </c>
      <c r="AO6" t="s">
        <v>264</v>
      </c>
      <c r="AP6" t="s">
        <v>264</v>
      </c>
      <c r="AQ6" t="s">
        <v>264</v>
      </c>
      <c r="AR6" t="s">
        <v>264</v>
      </c>
      <c r="AS6" t="s">
        <v>264</v>
      </c>
      <c r="AT6" t="s">
        <v>264</v>
      </c>
      <c r="AU6" t="s">
        <v>264</v>
      </c>
      <c r="AV6" t="s">
        <v>264</v>
      </c>
      <c r="AW6" t="s">
        <v>264</v>
      </c>
      <c r="AX6" t="s">
        <v>264</v>
      </c>
      <c r="AY6" t="s">
        <v>264</v>
      </c>
      <c r="AZ6" t="s">
        <v>264</v>
      </c>
    </row>
    <row r="7">
      <c r="A7" s="447" t="str">
        <f t="array" ref="A7:AZ7">TRANSPOSE(indirect(Exploits!B9&amp;"!A:A"))</f>
        <v>Fast Learner</v>
      </c>
      <c r="B7" t="s">
        <v>264</v>
      </c>
      <c r="C7" t="s">
        <v>264</v>
      </c>
      <c r="D7" t="s">
        <v>264</v>
      </c>
      <c r="E7" t="s">
        <v>264</v>
      </c>
      <c r="F7" t="s">
        <v>264</v>
      </c>
      <c r="G7" t="s">
        <v>264</v>
      </c>
      <c r="H7" t="s">
        <v>264</v>
      </c>
      <c r="I7" t="s">
        <v>264</v>
      </c>
      <c r="J7" t="s">
        <v>264</v>
      </c>
      <c r="K7" t="s">
        <v>264</v>
      </c>
      <c r="L7" t="s">
        <v>264</v>
      </c>
      <c r="M7" t="s">
        <v>264</v>
      </c>
      <c r="N7" t="s">
        <v>264</v>
      </c>
      <c r="O7" t="s">
        <v>264</v>
      </c>
      <c r="P7" t="s">
        <v>264</v>
      </c>
      <c r="Q7" t="s">
        <v>264</v>
      </c>
      <c r="R7" t="s">
        <v>264</v>
      </c>
      <c r="S7" t="s">
        <v>264</v>
      </c>
      <c r="T7" t="s">
        <v>264</v>
      </c>
      <c r="U7" t="s">
        <v>264</v>
      </c>
      <c r="V7" t="s">
        <v>264</v>
      </c>
      <c r="W7" t="s">
        <v>264</v>
      </c>
      <c r="X7" t="s">
        <v>264</v>
      </c>
      <c r="Y7" t="s">
        <v>264</v>
      </c>
      <c r="Z7" t="s">
        <v>264</v>
      </c>
      <c r="AA7" t="s">
        <v>264</v>
      </c>
      <c r="AB7" t="s">
        <v>264</v>
      </c>
      <c r="AC7" t="s">
        <v>264</v>
      </c>
      <c r="AD7" t="s">
        <v>264</v>
      </c>
      <c r="AE7" t="s">
        <v>264</v>
      </c>
      <c r="AF7" t="s">
        <v>264</v>
      </c>
      <c r="AG7" t="s">
        <v>264</v>
      </c>
      <c r="AH7" t="s">
        <v>264</v>
      </c>
      <c r="AI7" t="s">
        <v>264</v>
      </c>
      <c r="AJ7" t="s">
        <v>264</v>
      </c>
      <c r="AK7" t="s">
        <v>264</v>
      </c>
      <c r="AL7" t="s">
        <v>264</v>
      </c>
      <c r="AM7" t="s">
        <v>264</v>
      </c>
      <c r="AN7" t="s">
        <v>264</v>
      </c>
      <c r="AO7" t="s">
        <v>264</v>
      </c>
      <c r="AP7" t="s">
        <v>264</v>
      </c>
      <c r="AQ7" t="s">
        <v>264</v>
      </c>
      <c r="AR7" t="s">
        <v>264</v>
      </c>
      <c r="AS7" t="s">
        <v>264</v>
      </c>
      <c r="AT7" t="s">
        <v>264</v>
      </c>
      <c r="AU7" t="s">
        <v>264</v>
      </c>
      <c r="AV7" t="s">
        <v>264</v>
      </c>
      <c r="AW7" t="s">
        <v>264</v>
      </c>
      <c r="AX7" t="s">
        <v>264</v>
      </c>
      <c r="AY7" t="s">
        <v>264</v>
      </c>
      <c r="AZ7" t="s">
        <v>264</v>
      </c>
    </row>
    <row r="8">
      <c r="A8" s="447" t="str">
        <f t="array" ref="A8:AZ8">TRANSPOSE(indirect(Exploits!B10&amp;"!A:A"))</f>
        <v>Fast Learner</v>
      </c>
      <c r="B8" t="s">
        <v>264</v>
      </c>
      <c r="C8" t="s">
        <v>264</v>
      </c>
      <c r="D8" t="s">
        <v>264</v>
      </c>
      <c r="E8" t="s">
        <v>264</v>
      </c>
      <c r="F8" t="s">
        <v>264</v>
      </c>
      <c r="G8" t="s">
        <v>264</v>
      </c>
      <c r="H8" t="s">
        <v>264</v>
      </c>
      <c r="I8" t="s">
        <v>264</v>
      </c>
      <c r="J8" t="s">
        <v>264</v>
      </c>
      <c r="K8" t="s">
        <v>264</v>
      </c>
      <c r="L8" t="s">
        <v>264</v>
      </c>
      <c r="M8" t="s">
        <v>264</v>
      </c>
      <c r="N8" t="s">
        <v>264</v>
      </c>
      <c r="O8" t="s">
        <v>264</v>
      </c>
      <c r="P8" t="s">
        <v>264</v>
      </c>
      <c r="Q8" t="s">
        <v>264</v>
      </c>
      <c r="R8" t="s">
        <v>264</v>
      </c>
      <c r="S8" t="s">
        <v>264</v>
      </c>
      <c r="T8" t="s">
        <v>264</v>
      </c>
      <c r="U8" t="s">
        <v>264</v>
      </c>
      <c r="V8" t="s">
        <v>264</v>
      </c>
      <c r="W8" t="s">
        <v>264</v>
      </c>
      <c r="X8" t="s">
        <v>264</v>
      </c>
      <c r="Y8" t="s">
        <v>264</v>
      </c>
      <c r="Z8" t="s">
        <v>264</v>
      </c>
      <c r="AA8" t="s">
        <v>264</v>
      </c>
      <c r="AB8" t="s">
        <v>264</v>
      </c>
      <c r="AC8" t="s">
        <v>264</v>
      </c>
      <c r="AD8" t="s">
        <v>264</v>
      </c>
      <c r="AE8" t="s">
        <v>264</v>
      </c>
      <c r="AF8" t="s">
        <v>264</v>
      </c>
      <c r="AG8" t="s">
        <v>264</v>
      </c>
      <c r="AH8" t="s">
        <v>264</v>
      </c>
      <c r="AI8" t="s">
        <v>264</v>
      </c>
      <c r="AJ8" t="s">
        <v>264</v>
      </c>
      <c r="AK8" t="s">
        <v>264</v>
      </c>
      <c r="AL8" t="s">
        <v>264</v>
      </c>
      <c r="AM8" t="s">
        <v>264</v>
      </c>
      <c r="AN8" t="s">
        <v>264</v>
      </c>
      <c r="AO8" t="s">
        <v>264</v>
      </c>
      <c r="AP8" t="s">
        <v>264</v>
      </c>
      <c r="AQ8" t="s">
        <v>264</v>
      </c>
      <c r="AR8" t="s">
        <v>264</v>
      </c>
      <c r="AS8" t="s">
        <v>264</v>
      </c>
      <c r="AT8" t="s">
        <v>264</v>
      </c>
      <c r="AU8" t="s">
        <v>264</v>
      </c>
      <c r="AV8" t="s">
        <v>264</v>
      </c>
      <c r="AW8" t="s">
        <v>264</v>
      </c>
      <c r="AX8" t="s">
        <v>264</v>
      </c>
      <c r="AY8" t="s">
        <v>264</v>
      </c>
      <c r="AZ8" t="s">
        <v>264</v>
      </c>
    </row>
    <row r="9">
      <c r="A9" s="447" t="str">
        <f t="array" ref="A9:AZ9">TRANSPOSE(indirect(Exploits!B11&amp;"!A:A"))</f>
        <v>Fast Learner</v>
      </c>
      <c r="B9" t="s">
        <v>264</v>
      </c>
      <c r="C9" t="s">
        <v>264</v>
      </c>
      <c r="D9" t="s">
        <v>264</v>
      </c>
      <c r="E9" t="s">
        <v>264</v>
      </c>
      <c r="F9" t="s">
        <v>264</v>
      </c>
      <c r="G9" t="s">
        <v>264</v>
      </c>
      <c r="H9" t="s">
        <v>264</v>
      </c>
      <c r="I9" t="s">
        <v>264</v>
      </c>
      <c r="J9" t="s">
        <v>264</v>
      </c>
      <c r="K9" t="s">
        <v>264</v>
      </c>
      <c r="L9" t="s">
        <v>264</v>
      </c>
      <c r="M9" t="s">
        <v>264</v>
      </c>
      <c r="N9" t="s">
        <v>264</v>
      </c>
      <c r="O9" t="s">
        <v>264</v>
      </c>
      <c r="P9" t="s">
        <v>264</v>
      </c>
      <c r="Q9" t="s">
        <v>264</v>
      </c>
      <c r="R9" t="s">
        <v>264</v>
      </c>
      <c r="S9" t="s">
        <v>264</v>
      </c>
      <c r="T9" t="s">
        <v>264</v>
      </c>
      <c r="U9" t="s">
        <v>264</v>
      </c>
      <c r="V9" t="s">
        <v>264</v>
      </c>
      <c r="W9" t="s">
        <v>264</v>
      </c>
      <c r="X9" t="s">
        <v>264</v>
      </c>
      <c r="Y9" t="s">
        <v>264</v>
      </c>
      <c r="Z9" t="s">
        <v>264</v>
      </c>
      <c r="AA9" t="s">
        <v>264</v>
      </c>
      <c r="AB9" t="s">
        <v>264</v>
      </c>
      <c r="AC9" t="s">
        <v>264</v>
      </c>
      <c r="AD9" t="s">
        <v>264</v>
      </c>
      <c r="AE9" t="s">
        <v>264</v>
      </c>
      <c r="AF9" t="s">
        <v>264</v>
      </c>
      <c r="AG9" t="s">
        <v>264</v>
      </c>
      <c r="AH9" t="s">
        <v>264</v>
      </c>
      <c r="AI9" t="s">
        <v>264</v>
      </c>
      <c r="AJ9" t="s">
        <v>264</v>
      </c>
      <c r="AK9" t="s">
        <v>264</v>
      </c>
      <c r="AL9" t="s">
        <v>264</v>
      </c>
      <c r="AM9" t="s">
        <v>264</v>
      </c>
      <c r="AN9" t="s">
        <v>264</v>
      </c>
      <c r="AO9" t="s">
        <v>264</v>
      </c>
      <c r="AP9" t="s">
        <v>264</v>
      </c>
      <c r="AQ9" t="s">
        <v>264</v>
      </c>
      <c r="AR9" t="s">
        <v>264</v>
      </c>
      <c r="AS9" t="s">
        <v>264</v>
      </c>
      <c r="AT9" t="s">
        <v>264</v>
      </c>
      <c r="AU9" t="s">
        <v>264</v>
      </c>
      <c r="AV9" t="s">
        <v>264</v>
      </c>
      <c r="AW9" t="s">
        <v>264</v>
      </c>
      <c r="AX9" t="s">
        <v>264</v>
      </c>
      <c r="AY9" t="s">
        <v>264</v>
      </c>
      <c r="AZ9" t="s">
        <v>264</v>
      </c>
    </row>
    <row r="10">
      <c r="A10" s="447" t="str">
        <f t="array" ref="A10:AZ10">TRANSPOSE(indirect(Exploits!B12&amp;"!A:A"))</f>
        <v>Fast Learner</v>
      </c>
      <c r="B10" t="s">
        <v>264</v>
      </c>
      <c r="C10" t="s">
        <v>264</v>
      </c>
      <c r="D10" t="s">
        <v>264</v>
      </c>
      <c r="E10" t="s">
        <v>264</v>
      </c>
      <c r="F10" t="s">
        <v>264</v>
      </c>
      <c r="G10" t="s">
        <v>264</v>
      </c>
      <c r="H10" t="s">
        <v>264</v>
      </c>
      <c r="I10" t="s">
        <v>264</v>
      </c>
      <c r="J10" t="s">
        <v>264</v>
      </c>
      <c r="K10" t="s">
        <v>264</v>
      </c>
      <c r="L10" t="s">
        <v>264</v>
      </c>
      <c r="M10" t="s">
        <v>264</v>
      </c>
      <c r="N10" t="s">
        <v>264</v>
      </c>
      <c r="O10" t="s">
        <v>264</v>
      </c>
      <c r="P10" t="s">
        <v>264</v>
      </c>
      <c r="Q10" t="s">
        <v>264</v>
      </c>
      <c r="R10" t="s">
        <v>264</v>
      </c>
      <c r="S10" t="s">
        <v>264</v>
      </c>
      <c r="T10" t="s">
        <v>264</v>
      </c>
      <c r="U10" t="s">
        <v>264</v>
      </c>
      <c r="V10" t="s">
        <v>264</v>
      </c>
      <c r="W10" t="s">
        <v>264</v>
      </c>
      <c r="X10" t="s">
        <v>264</v>
      </c>
      <c r="Y10" t="s">
        <v>264</v>
      </c>
      <c r="Z10" t="s">
        <v>264</v>
      </c>
      <c r="AA10" t="s">
        <v>264</v>
      </c>
      <c r="AB10" t="s">
        <v>264</v>
      </c>
      <c r="AC10" t="s">
        <v>264</v>
      </c>
      <c r="AD10" t="s">
        <v>264</v>
      </c>
      <c r="AE10" t="s">
        <v>264</v>
      </c>
      <c r="AF10" t="s">
        <v>264</v>
      </c>
      <c r="AG10" t="s">
        <v>264</v>
      </c>
      <c r="AH10" t="s">
        <v>264</v>
      </c>
      <c r="AI10" t="s">
        <v>264</v>
      </c>
      <c r="AJ10" t="s">
        <v>264</v>
      </c>
      <c r="AK10" t="s">
        <v>264</v>
      </c>
      <c r="AL10" t="s">
        <v>264</v>
      </c>
      <c r="AM10" t="s">
        <v>264</v>
      </c>
      <c r="AN10" t="s">
        <v>264</v>
      </c>
      <c r="AO10" t="s">
        <v>264</v>
      </c>
      <c r="AP10" t="s">
        <v>264</v>
      </c>
      <c r="AQ10" t="s">
        <v>264</v>
      </c>
      <c r="AR10" t="s">
        <v>264</v>
      </c>
      <c r="AS10" t="s">
        <v>264</v>
      </c>
      <c r="AT10" t="s">
        <v>264</v>
      </c>
      <c r="AU10" t="s">
        <v>264</v>
      </c>
      <c r="AV10" t="s">
        <v>264</v>
      </c>
      <c r="AW10" t="s">
        <v>264</v>
      </c>
      <c r="AX10" t="s">
        <v>264</v>
      </c>
      <c r="AY10" t="s">
        <v>264</v>
      </c>
      <c r="AZ10" t="s">
        <v>264</v>
      </c>
    </row>
    <row r="11">
      <c r="A11" s="447" t="str">
        <f t="array" ref="A11:AZ11">TRANSPOSE(indirect(Exploits!B13&amp;"!A:A"))</f>
        <v>Fast Learner</v>
      </c>
      <c r="B11" t="s">
        <v>264</v>
      </c>
      <c r="C11" t="s">
        <v>264</v>
      </c>
      <c r="D11" t="s">
        <v>264</v>
      </c>
      <c r="E11" t="s">
        <v>264</v>
      </c>
      <c r="F11" t="s">
        <v>264</v>
      </c>
      <c r="G11" t="s">
        <v>264</v>
      </c>
      <c r="H11" t="s">
        <v>264</v>
      </c>
      <c r="I11" t="s">
        <v>264</v>
      </c>
      <c r="J11" t="s">
        <v>264</v>
      </c>
      <c r="K11" t="s">
        <v>264</v>
      </c>
      <c r="L11" t="s">
        <v>264</v>
      </c>
      <c r="M11" t="s">
        <v>264</v>
      </c>
      <c r="N11" t="s">
        <v>264</v>
      </c>
      <c r="O11" t="s">
        <v>264</v>
      </c>
      <c r="P11" t="s">
        <v>264</v>
      </c>
      <c r="Q11" t="s">
        <v>264</v>
      </c>
      <c r="R11" t="s">
        <v>264</v>
      </c>
      <c r="S11" t="s">
        <v>264</v>
      </c>
      <c r="T11" t="s">
        <v>264</v>
      </c>
      <c r="U11" t="s">
        <v>264</v>
      </c>
      <c r="V11" t="s">
        <v>264</v>
      </c>
      <c r="W11" t="s">
        <v>264</v>
      </c>
      <c r="X11" t="s">
        <v>264</v>
      </c>
      <c r="Y11" t="s">
        <v>264</v>
      </c>
      <c r="Z11" t="s">
        <v>264</v>
      </c>
      <c r="AA11" t="s">
        <v>264</v>
      </c>
      <c r="AB11" t="s">
        <v>264</v>
      </c>
      <c r="AC11" t="s">
        <v>264</v>
      </c>
      <c r="AD11" t="s">
        <v>264</v>
      </c>
      <c r="AE11" t="s">
        <v>264</v>
      </c>
      <c r="AF11" t="s">
        <v>264</v>
      </c>
      <c r="AG11" t="s">
        <v>264</v>
      </c>
      <c r="AH11" t="s">
        <v>264</v>
      </c>
      <c r="AI11" t="s">
        <v>264</v>
      </c>
      <c r="AJ11" t="s">
        <v>264</v>
      </c>
      <c r="AK11" t="s">
        <v>264</v>
      </c>
      <c r="AL11" t="s">
        <v>264</v>
      </c>
      <c r="AM11" t="s">
        <v>264</v>
      </c>
      <c r="AN11" t="s">
        <v>264</v>
      </c>
      <c r="AO11" t="s">
        <v>264</v>
      </c>
      <c r="AP11" t="s">
        <v>264</v>
      </c>
      <c r="AQ11" t="s">
        <v>264</v>
      </c>
      <c r="AR11" t="s">
        <v>264</v>
      </c>
      <c r="AS11" t="s">
        <v>264</v>
      </c>
      <c r="AT11" t="s">
        <v>264</v>
      </c>
      <c r="AU11" t="s">
        <v>264</v>
      </c>
      <c r="AV11" t="s">
        <v>264</v>
      </c>
      <c r="AW11" t="s">
        <v>264</v>
      </c>
      <c r="AX11" t="s">
        <v>264</v>
      </c>
      <c r="AY11" t="s">
        <v>264</v>
      </c>
      <c r="AZ11" t="s">
        <v>264</v>
      </c>
    </row>
    <row r="12">
      <c r="A12" s="447" t="str">
        <f t="array" ref="A12:AZ12">TRANSPOSE(indirect(Exploits!B14&amp;"!A:A"))</f>
        <v>Fast Learner</v>
      </c>
      <c r="B12" t="s">
        <v>264</v>
      </c>
      <c r="C12" t="s">
        <v>264</v>
      </c>
      <c r="D12" t="s">
        <v>264</v>
      </c>
      <c r="E12" t="s">
        <v>264</v>
      </c>
      <c r="F12" t="s">
        <v>264</v>
      </c>
      <c r="G12" t="s">
        <v>264</v>
      </c>
      <c r="H12" t="s">
        <v>264</v>
      </c>
      <c r="I12" t="s">
        <v>264</v>
      </c>
      <c r="J12" t="s">
        <v>264</v>
      </c>
      <c r="K12" t="s">
        <v>264</v>
      </c>
      <c r="L12" t="s">
        <v>264</v>
      </c>
      <c r="M12" t="s">
        <v>264</v>
      </c>
      <c r="N12" t="s">
        <v>264</v>
      </c>
      <c r="O12" t="s">
        <v>264</v>
      </c>
      <c r="P12" t="s">
        <v>264</v>
      </c>
      <c r="Q12" t="s">
        <v>264</v>
      </c>
      <c r="R12" t="s">
        <v>264</v>
      </c>
      <c r="S12" t="s">
        <v>264</v>
      </c>
      <c r="T12" t="s">
        <v>264</v>
      </c>
      <c r="U12" t="s">
        <v>264</v>
      </c>
      <c r="V12" t="s">
        <v>264</v>
      </c>
      <c r="W12" t="s">
        <v>264</v>
      </c>
      <c r="X12" t="s">
        <v>264</v>
      </c>
      <c r="Y12" t="s">
        <v>264</v>
      </c>
      <c r="Z12" t="s">
        <v>264</v>
      </c>
      <c r="AA12" t="s">
        <v>264</v>
      </c>
      <c r="AB12" t="s">
        <v>264</v>
      </c>
      <c r="AC12" t="s">
        <v>264</v>
      </c>
      <c r="AD12" t="s">
        <v>264</v>
      </c>
      <c r="AE12" t="s">
        <v>264</v>
      </c>
      <c r="AF12" t="s">
        <v>264</v>
      </c>
      <c r="AG12" t="s">
        <v>264</v>
      </c>
      <c r="AH12" t="s">
        <v>264</v>
      </c>
      <c r="AI12" t="s">
        <v>264</v>
      </c>
      <c r="AJ12" t="s">
        <v>264</v>
      </c>
      <c r="AK12" t="s">
        <v>264</v>
      </c>
      <c r="AL12" t="s">
        <v>264</v>
      </c>
      <c r="AM12" t="s">
        <v>264</v>
      </c>
      <c r="AN12" t="s">
        <v>264</v>
      </c>
      <c r="AO12" t="s">
        <v>264</v>
      </c>
      <c r="AP12" t="s">
        <v>264</v>
      </c>
      <c r="AQ12" t="s">
        <v>264</v>
      </c>
      <c r="AR12" t="s">
        <v>264</v>
      </c>
      <c r="AS12" t="s">
        <v>264</v>
      </c>
      <c r="AT12" t="s">
        <v>264</v>
      </c>
      <c r="AU12" t="s">
        <v>264</v>
      </c>
      <c r="AV12" t="s">
        <v>264</v>
      </c>
      <c r="AW12" t="s">
        <v>264</v>
      </c>
      <c r="AX12" t="s">
        <v>264</v>
      </c>
      <c r="AY12" t="s">
        <v>264</v>
      </c>
      <c r="AZ12" t="s">
        <v>264</v>
      </c>
    </row>
    <row r="13">
      <c r="A13" s="447" t="str">
        <f t="array" ref="A13:AZ13">TRANSPOSE(indirect(Exploits!B15&amp;"!A:A"))</f>
        <v>Fast Learner</v>
      </c>
      <c r="B13" t="s">
        <v>264</v>
      </c>
      <c r="C13" t="s">
        <v>264</v>
      </c>
      <c r="D13" t="s">
        <v>264</v>
      </c>
      <c r="E13" t="s">
        <v>264</v>
      </c>
      <c r="F13" t="s">
        <v>264</v>
      </c>
      <c r="G13" t="s">
        <v>264</v>
      </c>
      <c r="H13" t="s">
        <v>264</v>
      </c>
      <c r="I13" t="s">
        <v>264</v>
      </c>
      <c r="J13" t="s">
        <v>264</v>
      </c>
      <c r="K13" t="s">
        <v>264</v>
      </c>
      <c r="L13" t="s">
        <v>264</v>
      </c>
      <c r="M13" t="s">
        <v>264</v>
      </c>
      <c r="N13" t="s">
        <v>264</v>
      </c>
      <c r="O13" t="s">
        <v>264</v>
      </c>
      <c r="P13" t="s">
        <v>264</v>
      </c>
      <c r="Q13" t="s">
        <v>264</v>
      </c>
      <c r="R13" t="s">
        <v>264</v>
      </c>
      <c r="S13" t="s">
        <v>264</v>
      </c>
      <c r="T13" t="s">
        <v>264</v>
      </c>
      <c r="U13" t="s">
        <v>264</v>
      </c>
      <c r="V13" t="s">
        <v>264</v>
      </c>
      <c r="W13" t="s">
        <v>264</v>
      </c>
      <c r="X13" t="s">
        <v>264</v>
      </c>
      <c r="Y13" t="s">
        <v>264</v>
      </c>
      <c r="Z13" t="s">
        <v>264</v>
      </c>
      <c r="AA13" t="s">
        <v>264</v>
      </c>
      <c r="AB13" t="s">
        <v>264</v>
      </c>
      <c r="AC13" t="s">
        <v>264</v>
      </c>
      <c r="AD13" t="s">
        <v>264</v>
      </c>
      <c r="AE13" t="s">
        <v>264</v>
      </c>
      <c r="AF13" t="s">
        <v>264</v>
      </c>
      <c r="AG13" t="s">
        <v>264</v>
      </c>
      <c r="AH13" t="s">
        <v>264</v>
      </c>
      <c r="AI13" t="s">
        <v>264</v>
      </c>
      <c r="AJ13" t="s">
        <v>264</v>
      </c>
      <c r="AK13" t="s">
        <v>264</v>
      </c>
      <c r="AL13" t="s">
        <v>264</v>
      </c>
      <c r="AM13" t="s">
        <v>264</v>
      </c>
      <c r="AN13" t="s">
        <v>264</v>
      </c>
      <c r="AO13" t="s">
        <v>264</v>
      </c>
      <c r="AP13" t="s">
        <v>264</v>
      </c>
      <c r="AQ13" t="s">
        <v>264</v>
      </c>
      <c r="AR13" t="s">
        <v>264</v>
      </c>
      <c r="AS13" t="s">
        <v>264</v>
      </c>
      <c r="AT13" t="s">
        <v>264</v>
      </c>
      <c r="AU13" t="s">
        <v>264</v>
      </c>
      <c r="AV13" t="s">
        <v>264</v>
      </c>
      <c r="AW13" t="s">
        <v>264</v>
      </c>
      <c r="AX13" t="s">
        <v>264</v>
      </c>
      <c r="AY13" t="s">
        <v>264</v>
      </c>
      <c r="AZ13" t="s">
        <v>264</v>
      </c>
    </row>
    <row r="14">
      <c r="A14" s="447" t="str">
        <f t="array" ref="A14:AZ14">TRANSPOSE(indirect(Exploits!B16&amp;"!A:A"))</f>
        <v>Fast Learner</v>
      </c>
      <c r="B14" t="s">
        <v>264</v>
      </c>
      <c r="C14" t="s">
        <v>264</v>
      </c>
      <c r="D14" t="s">
        <v>264</v>
      </c>
      <c r="E14" t="s">
        <v>264</v>
      </c>
      <c r="F14" t="s">
        <v>264</v>
      </c>
      <c r="G14" t="s">
        <v>264</v>
      </c>
      <c r="H14" t="s">
        <v>264</v>
      </c>
      <c r="I14" t="s">
        <v>264</v>
      </c>
      <c r="J14" t="s">
        <v>264</v>
      </c>
      <c r="K14" t="s">
        <v>264</v>
      </c>
      <c r="L14" t="s">
        <v>264</v>
      </c>
      <c r="M14" t="s">
        <v>264</v>
      </c>
      <c r="N14" t="s">
        <v>264</v>
      </c>
      <c r="O14" t="s">
        <v>264</v>
      </c>
      <c r="P14" t="s">
        <v>264</v>
      </c>
      <c r="Q14" t="s">
        <v>264</v>
      </c>
      <c r="R14" t="s">
        <v>264</v>
      </c>
      <c r="S14" t="s">
        <v>264</v>
      </c>
      <c r="T14" t="s">
        <v>264</v>
      </c>
      <c r="U14" t="s">
        <v>264</v>
      </c>
      <c r="V14" t="s">
        <v>264</v>
      </c>
      <c r="W14" t="s">
        <v>264</v>
      </c>
      <c r="X14" t="s">
        <v>264</v>
      </c>
      <c r="Y14" t="s">
        <v>264</v>
      </c>
      <c r="Z14" t="s">
        <v>264</v>
      </c>
      <c r="AA14" t="s">
        <v>264</v>
      </c>
      <c r="AB14" t="s">
        <v>264</v>
      </c>
      <c r="AC14" t="s">
        <v>264</v>
      </c>
      <c r="AD14" t="s">
        <v>264</v>
      </c>
      <c r="AE14" t="s">
        <v>264</v>
      </c>
      <c r="AF14" t="s">
        <v>264</v>
      </c>
      <c r="AG14" t="s">
        <v>264</v>
      </c>
      <c r="AH14" t="s">
        <v>264</v>
      </c>
      <c r="AI14" t="s">
        <v>264</v>
      </c>
      <c r="AJ14" t="s">
        <v>264</v>
      </c>
      <c r="AK14" t="s">
        <v>264</v>
      </c>
      <c r="AL14" t="s">
        <v>264</v>
      </c>
      <c r="AM14" t="s">
        <v>264</v>
      </c>
      <c r="AN14" t="s">
        <v>264</v>
      </c>
      <c r="AO14" t="s">
        <v>264</v>
      </c>
      <c r="AP14" t="s">
        <v>264</v>
      </c>
      <c r="AQ14" t="s">
        <v>264</v>
      </c>
      <c r="AR14" t="s">
        <v>264</v>
      </c>
      <c r="AS14" t="s">
        <v>264</v>
      </c>
      <c r="AT14" t="s">
        <v>264</v>
      </c>
      <c r="AU14" t="s">
        <v>264</v>
      </c>
      <c r="AV14" t="s">
        <v>264</v>
      </c>
      <c r="AW14" t="s">
        <v>264</v>
      </c>
      <c r="AX14" t="s">
        <v>264</v>
      </c>
      <c r="AY14" t="s">
        <v>264</v>
      </c>
      <c r="AZ14" t="s">
        <v>264</v>
      </c>
    </row>
    <row r="15">
      <c r="A15" s="447" t="str">
        <f t="array" ref="A15:AZ15">TRANSPOSE(indirect(Exploits!B17&amp;"!A:A"))</f>
        <v>Fast Learner</v>
      </c>
      <c r="B15" t="s">
        <v>264</v>
      </c>
      <c r="C15" t="s">
        <v>264</v>
      </c>
      <c r="D15" t="s">
        <v>264</v>
      </c>
      <c r="E15" t="s">
        <v>264</v>
      </c>
      <c r="F15" t="s">
        <v>264</v>
      </c>
      <c r="G15" t="s">
        <v>264</v>
      </c>
      <c r="H15" t="s">
        <v>264</v>
      </c>
      <c r="I15" t="s">
        <v>264</v>
      </c>
      <c r="J15" t="s">
        <v>264</v>
      </c>
      <c r="K15" t="s">
        <v>264</v>
      </c>
      <c r="L15" t="s">
        <v>264</v>
      </c>
      <c r="M15" t="s">
        <v>264</v>
      </c>
      <c r="N15" t="s">
        <v>264</v>
      </c>
      <c r="O15" t="s">
        <v>264</v>
      </c>
      <c r="P15" t="s">
        <v>264</v>
      </c>
      <c r="Q15" t="s">
        <v>264</v>
      </c>
      <c r="R15" t="s">
        <v>264</v>
      </c>
      <c r="S15" t="s">
        <v>264</v>
      </c>
      <c r="T15" t="s">
        <v>264</v>
      </c>
      <c r="U15" t="s">
        <v>264</v>
      </c>
      <c r="V15" t="s">
        <v>264</v>
      </c>
      <c r="W15" t="s">
        <v>264</v>
      </c>
      <c r="X15" t="s">
        <v>264</v>
      </c>
      <c r="Y15" t="s">
        <v>264</v>
      </c>
      <c r="Z15" t="s">
        <v>264</v>
      </c>
      <c r="AA15" t="s">
        <v>264</v>
      </c>
      <c r="AB15" t="s">
        <v>264</v>
      </c>
      <c r="AC15" t="s">
        <v>264</v>
      </c>
      <c r="AD15" t="s">
        <v>264</v>
      </c>
      <c r="AE15" t="s">
        <v>264</v>
      </c>
      <c r="AF15" t="s">
        <v>264</v>
      </c>
      <c r="AG15" t="s">
        <v>264</v>
      </c>
      <c r="AH15" t="s">
        <v>264</v>
      </c>
      <c r="AI15" t="s">
        <v>264</v>
      </c>
      <c r="AJ15" t="s">
        <v>264</v>
      </c>
      <c r="AK15" t="s">
        <v>264</v>
      </c>
      <c r="AL15" t="s">
        <v>264</v>
      </c>
      <c r="AM15" t="s">
        <v>264</v>
      </c>
      <c r="AN15" t="s">
        <v>264</v>
      </c>
      <c r="AO15" t="s">
        <v>264</v>
      </c>
      <c r="AP15" t="s">
        <v>264</v>
      </c>
      <c r="AQ15" t="s">
        <v>264</v>
      </c>
      <c r="AR15" t="s">
        <v>264</v>
      </c>
      <c r="AS15" t="s">
        <v>264</v>
      </c>
      <c r="AT15" t="s">
        <v>264</v>
      </c>
      <c r="AU15" t="s">
        <v>264</v>
      </c>
      <c r="AV15" t="s">
        <v>264</v>
      </c>
      <c r="AW15" t="s">
        <v>264</v>
      </c>
      <c r="AX15" t="s">
        <v>264</v>
      </c>
      <c r="AY15" t="s">
        <v>264</v>
      </c>
      <c r="AZ15" t="s">
        <v>264</v>
      </c>
    </row>
    <row r="16">
      <c r="A16" s="447" t="str">
        <f t="array" ref="A16:AZ16">TRANSPOSE(indirect(Exploits!B18&amp;"!A:A"))</f>
        <v>Fast Learner</v>
      </c>
      <c r="B16" t="s">
        <v>264</v>
      </c>
      <c r="C16" t="s">
        <v>264</v>
      </c>
      <c r="D16" t="s">
        <v>264</v>
      </c>
      <c r="E16" t="s">
        <v>264</v>
      </c>
      <c r="F16" t="s">
        <v>264</v>
      </c>
      <c r="G16" t="s">
        <v>264</v>
      </c>
      <c r="H16" t="s">
        <v>264</v>
      </c>
      <c r="I16" t="s">
        <v>264</v>
      </c>
      <c r="J16" t="s">
        <v>264</v>
      </c>
      <c r="K16" t="s">
        <v>264</v>
      </c>
      <c r="L16" t="s">
        <v>264</v>
      </c>
      <c r="M16" t="s">
        <v>264</v>
      </c>
      <c r="N16" t="s">
        <v>264</v>
      </c>
      <c r="O16" t="s">
        <v>264</v>
      </c>
      <c r="P16" t="s">
        <v>264</v>
      </c>
      <c r="Q16" t="s">
        <v>264</v>
      </c>
      <c r="R16" t="s">
        <v>264</v>
      </c>
      <c r="S16" t="s">
        <v>264</v>
      </c>
      <c r="T16" t="s">
        <v>264</v>
      </c>
      <c r="U16" t="s">
        <v>264</v>
      </c>
      <c r="V16" t="s">
        <v>264</v>
      </c>
      <c r="W16" t="s">
        <v>264</v>
      </c>
      <c r="X16" t="s">
        <v>264</v>
      </c>
      <c r="Y16" t="s">
        <v>264</v>
      </c>
      <c r="Z16" t="s">
        <v>264</v>
      </c>
      <c r="AA16" t="s">
        <v>264</v>
      </c>
      <c r="AB16" t="s">
        <v>264</v>
      </c>
      <c r="AC16" t="s">
        <v>264</v>
      </c>
      <c r="AD16" t="s">
        <v>264</v>
      </c>
      <c r="AE16" t="s">
        <v>264</v>
      </c>
      <c r="AF16" t="s">
        <v>264</v>
      </c>
      <c r="AG16" t="s">
        <v>264</v>
      </c>
      <c r="AH16" t="s">
        <v>264</v>
      </c>
      <c r="AI16" t="s">
        <v>264</v>
      </c>
      <c r="AJ16" t="s">
        <v>264</v>
      </c>
      <c r="AK16" t="s">
        <v>264</v>
      </c>
      <c r="AL16" t="s">
        <v>264</v>
      </c>
      <c r="AM16" t="s">
        <v>264</v>
      </c>
      <c r="AN16" t="s">
        <v>264</v>
      </c>
      <c r="AO16" t="s">
        <v>264</v>
      </c>
      <c r="AP16" t="s">
        <v>264</v>
      </c>
      <c r="AQ16" t="s">
        <v>264</v>
      </c>
      <c r="AR16" t="s">
        <v>264</v>
      </c>
      <c r="AS16" t="s">
        <v>264</v>
      </c>
      <c r="AT16" t="s">
        <v>264</v>
      </c>
      <c r="AU16" t="s">
        <v>264</v>
      </c>
      <c r="AV16" t="s">
        <v>264</v>
      </c>
      <c r="AW16" t="s">
        <v>264</v>
      </c>
      <c r="AX16" t="s">
        <v>264</v>
      </c>
      <c r="AY16" t="s">
        <v>264</v>
      </c>
      <c r="AZ16" t="s">
        <v>264</v>
      </c>
    </row>
    <row r="17">
      <c r="A17" s="447" t="str">
        <f t="array" ref="A17:AZ17">TRANSPOSE(indirect(Exploits!B19&amp;"!A:A"))</f>
        <v>Fast Learner</v>
      </c>
      <c r="B17" t="s">
        <v>264</v>
      </c>
      <c r="C17" t="s">
        <v>264</v>
      </c>
      <c r="D17" t="s">
        <v>264</v>
      </c>
      <c r="E17" t="s">
        <v>264</v>
      </c>
      <c r="F17" t="s">
        <v>264</v>
      </c>
      <c r="G17" t="s">
        <v>264</v>
      </c>
      <c r="H17" t="s">
        <v>264</v>
      </c>
      <c r="I17" t="s">
        <v>264</v>
      </c>
      <c r="J17" t="s">
        <v>264</v>
      </c>
      <c r="K17" t="s">
        <v>264</v>
      </c>
      <c r="L17" t="s">
        <v>264</v>
      </c>
      <c r="M17" t="s">
        <v>264</v>
      </c>
      <c r="N17" t="s">
        <v>264</v>
      </c>
      <c r="O17" t="s">
        <v>264</v>
      </c>
      <c r="P17" t="s">
        <v>264</v>
      </c>
      <c r="Q17" t="s">
        <v>264</v>
      </c>
      <c r="R17" t="s">
        <v>264</v>
      </c>
      <c r="S17" t="s">
        <v>264</v>
      </c>
      <c r="T17" t="s">
        <v>264</v>
      </c>
      <c r="U17" t="s">
        <v>264</v>
      </c>
      <c r="V17" t="s">
        <v>264</v>
      </c>
      <c r="W17" t="s">
        <v>264</v>
      </c>
      <c r="X17" t="s">
        <v>264</v>
      </c>
      <c r="Y17" t="s">
        <v>264</v>
      </c>
      <c r="Z17" t="s">
        <v>264</v>
      </c>
      <c r="AA17" t="s">
        <v>264</v>
      </c>
      <c r="AB17" t="s">
        <v>264</v>
      </c>
      <c r="AC17" t="s">
        <v>264</v>
      </c>
      <c r="AD17" t="s">
        <v>264</v>
      </c>
      <c r="AE17" t="s">
        <v>264</v>
      </c>
      <c r="AF17" t="s">
        <v>264</v>
      </c>
      <c r="AG17" t="s">
        <v>264</v>
      </c>
      <c r="AH17" t="s">
        <v>264</v>
      </c>
      <c r="AI17" t="s">
        <v>264</v>
      </c>
      <c r="AJ17" t="s">
        <v>264</v>
      </c>
      <c r="AK17" t="s">
        <v>264</v>
      </c>
      <c r="AL17" t="s">
        <v>264</v>
      </c>
      <c r="AM17" t="s">
        <v>264</v>
      </c>
      <c r="AN17" t="s">
        <v>264</v>
      </c>
      <c r="AO17" t="s">
        <v>264</v>
      </c>
      <c r="AP17" t="s">
        <v>264</v>
      </c>
      <c r="AQ17" t="s">
        <v>264</v>
      </c>
      <c r="AR17" t="s">
        <v>264</v>
      </c>
      <c r="AS17" t="s">
        <v>264</v>
      </c>
      <c r="AT17" t="s">
        <v>264</v>
      </c>
      <c r="AU17" t="s">
        <v>264</v>
      </c>
      <c r="AV17" t="s">
        <v>264</v>
      </c>
      <c r="AW17" t="s">
        <v>264</v>
      </c>
      <c r="AX17" t="s">
        <v>264</v>
      </c>
      <c r="AY17" t="s">
        <v>264</v>
      </c>
      <c r="AZ17" t="s">
        <v>264</v>
      </c>
    </row>
    <row r="18">
      <c r="A18" s="447" t="str">
        <f t="array" ref="A18:AZ18">TRANSPOSE(indirect(Exploits!B20&amp;"!A:A"))</f>
        <v>Fast Learner</v>
      </c>
      <c r="B18" t="s">
        <v>264</v>
      </c>
      <c r="C18" t="s">
        <v>264</v>
      </c>
      <c r="D18" t="s">
        <v>264</v>
      </c>
      <c r="E18" t="s">
        <v>264</v>
      </c>
      <c r="F18" t="s">
        <v>264</v>
      </c>
      <c r="G18" t="s">
        <v>264</v>
      </c>
      <c r="H18" t="s">
        <v>264</v>
      </c>
      <c r="I18" t="s">
        <v>264</v>
      </c>
      <c r="J18" t="s">
        <v>264</v>
      </c>
      <c r="K18" t="s">
        <v>264</v>
      </c>
      <c r="L18" t="s">
        <v>264</v>
      </c>
      <c r="M18" t="s">
        <v>264</v>
      </c>
      <c r="N18" t="s">
        <v>264</v>
      </c>
      <c r="O18" t="s">
        <v>264</v>
      </c>
      <c r="P18" t="s">
        <v>264</v>
      </c>
      <c r="Q18" t="s">
        <v>264</v>
      </c>
      <c r="R18" t="s">
        <v>264</v>
      </c>
      <c r="S18" t="s">
        <v>264</v>
      </c>
      <c r="T18" t="s">
        <v>264</v>
      </c>
      <c r="U18" t="s">
        <v>264</v>
      </c>
      <c r="V18" t="s">
        <v>264</v>
      </c>
      <c r="W18" t="s">
        <v>264</v>
      </c>
      <c r="X18" t="s">
        <v>264</v>
      </c>
      <c r="Y18" t="s">
        <v>264</v>
      </c>
      <c r="Z18" t="s">
        <v>264</v>
      </c>
      <c r="AA18" t="s">
        <v>264</v>
      </c>
      <c r="AB18" t="s">
        <v>264</v>
      </c>
      <c r="AC18" t="s">
        <v>264</v>
      </c>
      <c r="AD18" t="s">
        <v>264</v>
      </c>
      <c r="AE18" t="s">
        <v>264</v>
      </c>
      <c r="AF18" t="s">
        <v>264</v>
      </c>
      <c r="AG18" t="s">
        <v>264</v>
      </c>
      <c r="AH18" t="s">
        <v>264</v>
      </c>
      <c r="AI18" t="s">
        <v>264</v>
      </c>
      <c r="AJ18" t="s">
        <v>264</v>
      </c>
      <c r="AK18" t="s">
        <v>264</v>
      </c>
      <c r="AL18" t="s">
        <v>264</v>
      </c>
      <c r="AM18" t="s">
        <v>264</v>
      </c>
      <c r="AN18" t="s">
        <v>264</v>
      </c>
      <c r="AO18" t="s">
        <v>264</v>
      </c>
      <c r="AP18" t="s">
        <v>264</v>
      </c>
      <c r="AQ18" t="s">
        <v>264</v>
      </c>
      <c r="AR18" t="s">
        <v>264</v>
      </c>
      <c r="AS18" t="s">
        <v>264</v>
      </c>
      <c r="AT18" t="s">
        <v>264</v>
      </c>
      <c r="AU18" t="s">
        <v>264</v>
      </c>
      <c r="AV18" t="s">
        <v>264</v>
      </c>
      <c r="AW18" t="s">
        <v>264</v>
      </c>
      <c r="AX18" t="s">
        <v>264</v>
      </c>
      <c r="AY18" t="s">
        <v>264</v>
      </c>
      <c r="AZ18" t="s">
        <v>264</v>
      </c>
    </row>
    <row r="19">
      <c r="A19" s="447" t="str">
        <f t="array" ref="A19:AZ19">TRANSPOSE(indirect(Exploits!B21&amp;"!A:A"))</f>
        <v>Fast Learner</v>
      </c>
      <c r="B19" t="s">
        <v>264</v>
      </c>
      <c r="C19" t="s">
        <v>264</v>
      </c>
      <c r="D19" t="s">
        <v>264</v>
      </c>
      <c r="E19" t="s">
        <v>264</v>
      </c>
      <c r="F19" t="s">
        <v>264</v>
      </c>
      <c r="G19" t="s">
        <v>264</v>
      </c>
      <c r="H19" t="s">
        <v>264</v>
      </c>
      <c r="I19" t="s">
        <v>264</v>
      </c>
      <c r="J19" t="s">
        <v>264</v>
      </c>
      <c r="K19" t="s">
        <v>264</v>
      </c>
      <c r="L19" t="s">
        <v>264</v>
      </c>
      <c r="M19" t="s">
        <v>264</v>
      </c>
      <c r="N19" t="s">
        <v>264</v>
      </c>
      <c r="O19" t="s">
        <v>264</v>
      </c>
      <c r="P19" t="s">
        <v>264</v>
      </c>
      <c r="Q19" t="s">
        <v>264</v>
      </c>
      <c r="R19" t="s">
        <v>264</v>
      </c>
      <c r="S19" t="s">
        <v>264</v>
      </c>
      <c r="T19" t="s">
        <v>264</v>
      </c>
      <c r="U19" t="s">
        <v>264</v>
      </c>
      <c r="V19" t="s">
        <v>264</v>
      </c>
      <c r="W19" t="s">
        <v>264</v>
      </c>
      <c r="X19" t="s">
        <v>264</v>
      </c>
      <c r="Y19" t="s">
        <v>264</v>
      </c>
      <c r="Z19" t="s">
        <v>264</v>
      </c>
      <c r="AA19" t="s">
        <v>264</v>
      </c>
      <c r="AB19" t="s">
        <v>264</v>
      </c>
      <c r="AC19" t="s">
        <v>264</v>
      </c>
      <c r="AD19" t="s">
        <v>264</v>
      </c>
      <c r="AE19" t="s">
        <v>264</v>
      </c>
      <c r="AF19" t="s">
        <v>264</v>
      </c>
      <c r="AG19" t="s">
        <v>264</v>
      </c>
      <c r="AH19" t="s">
        <v>264</v>
      </c>
      <c r="AI19" t="s">
        <v>264</v>
      </c>
      <c r="AJ19" t="s">
        <v>264</v>
      </c>
      <c r="AK19" t="s">
        <v>264</v>
      </c>
      <c r="AL19" t="s">
        <v>264</v>
      </c>
      <c r="AM19" t="s">
        <v>264</v>
      </c>
      <c r="AN19" t="s">
        <v>264</v>
      </c>
      <c r="AO19" t="s">
        <v>264</v>
      </c>
      <c r="AP19" t="s">
        <v>264</v>
      </c>
      <c r="AQ19" t="s">
        <v>264</v>
      </c>
      <c r="AR19" t="s">
        <v>264</v>
      </c>
      <c r="AS19" t="s">
        <v>264</v>
      </c>
      <c r="AT19" t="s">
        <v>264</v>
      </c>
      <c r="AU19" t="s">
        <v>264</v>
      </c>
      <c r="AV19" t="s">
        <v>264</v>
      </c>
      <c r="AW19" t="s">
        <v>264</v>
      </c>
      <c r="AX19" t="s">
        <v>264</v>
      </c>
      <c r="AY19" t="s">
        <v>264</v>
      </c>
      <c r="AZ19" t="s">
        <v>264</v>
      </c>
    </row>
    <row r="20">
      <c r="A20" s="447" t="str">
        <f t="array" ref="A20:AZ20">TRANSPOSE(indirect(Exploits!B22&amp;"!A:A"))</f>
        <v>Fast Learner</v>
      </c>
      <c r="B20" t="s">
        <v>264</v>
      </c>
      <c r="C20" t="s">
        <v>264</v>
      </c>
      <c r="D20" t="s">
        <v>264</v>
      </c>
      <c r="E20" t="s">
        <v>264</v>
      </c>
      <c r="F20" t="s">
        <v>264</v>
      </c>
      <c r="G20" t="s">
        <v>264</v>
      </c>
      <c r="H20" t="s">
        <v>264</v>
      </c>
      <c r="I20" t="s">
        <v>264</v>
      </c>
      <c r="J20" t="s">
        <v>264</v>
      </c>
      <c r="K20" t="s">
        <v>264</v>
      </c>
      <c r="L20" t="s">
        <v>264</v>
      </c>
      <c r="M20" t="s">
        <v>264</v>
      </c>
      <c r="N20" t="s">
        <v>264</v>
      </c>
      <c r="O20" t="s">
        <v>264</v>
      </c>
      <c r="P20" t="s">
        <v>264</v>
      </c>
      <c r="Q20" t="s">
        <v>264</v>
      </c>
      <c r="R20" t="s">
        <v>264</v>
      </c>
      <c r="S20" t="s">
        <v>264</v>
      </c>
      <c r="T20" t="s">
        <v>264</v>
      </c>
      <c r="U20" t="s">
        <v>264</v>
      </c>
      <c r="V20" t="s">
        <v>264</v>
      </c>
      <c r="W20" t="s">
        <v>264</v>
      </c>
      <c r="X20" t="s">
        <v>264</v>
      </c>
      <c r="Y20" t="s">
        <v>264</v>
      </c>
      <c r="Z20" t="s">
        <v>264</v>
      </c>
      <c r="AA20" t="s">
        <v>264</v>
      </c>
      <c r="AB20" t="s">
        <v>264</v>
      </c>
      <c r="AC20" t="s">
        <v>264</v>
      </c>
      <c r="AD20" t="s">
        <v>264</v>
      </c>
      <c r="AE20" t="s">
        <v>264</v>
      </c>
      <c r="AF20" t="s">
        <v>264</v>
      </c>
      <c r="AG20" t="s">
        <v>264</v>
      </c>
      <c r="AH20" t="s">
        <v>264</v>
      </c>
      <c r="AI20" t="s">
        <v>264</v>
      </c>
      <c r="AJ20" t="s">
        <v>264</v>
      </c>
      <c r="AK20" t="s">
        <v>264</v>
      </c>
      <c r="AL20" t="s">
        <v>264</v>
      </c>
      <c r="AM20" t="s">
        <v>264</v>
      </c>
      <c r="AN20" t="s">
        <v>264</v>
      </c>
      <c r="AO20" t="s">
        <v>264</v>
      </c>
      <c r="AP20" t="s">
        <v>264</v>
      </c>
      <c r="AQ20" t="s">
        <v>264</v>
      </c>
      <c r="AR20" t="s">
        <v>264</v>
      </c>
      <c r="AS20" t="s">
        <v>264</v>
      </c>
      <c r="AT20" t="s">
        <v>264</v>
      </c>
      <c r="AU20" t="s">
        <v>264</v>
      </c>
      <c r="AV20" t="s">
        <v>264</v>
      </c>
      <c r="AW20" t="s">
        <v>264</v>
      </c>
      <c r="AX20" t="s">
        <v>264</v>
      </c>
      <c r="AY20" t="s">
        <v>264</v>
      </c>
      <c r="AZ20" t="s">
        <v>264</v>
      </c>
    </row>
    <row r="21">
      <c r="A21" s="447" t="str">
        <f t="array" ref="A21:AZ21">TRANSPOSE(indirect(Exploits!B23&amp;"!A:A"))</f>
        <v>Fast Learner</v>
      </c>
      <c r="B21" t="s">
        <v>264</v>
      </c>
      <c r="C21" t="s">
        <v>264</v>
      </c>
      <c r="D21" t="s">
        <v>264</v>
      </c>
      <c r="E21" t="s">
        <v>264</v>
      </c>
      <c r="F21" t="s">
        <v>264</v>
      </c>
      <c r="G21" t="s">
        <v>264</v>
      </c>
      <c r="H21" t="s">
        <v>264</v>
      </c>
      <c r="I21" t="s">
        <v>264</v>
      </c>
      <c r="J21" t="s">
        <v>264</v>
      </c>
      <c r="K21" t="s">
        <v>264</v>
      </c>
      <c r="L21" t="s">
        <v>264</v>
      </c>
      <c r="M21" t="s">
        <v>264</v>
      </c>
      <c r="N21" t="s">
        <v>264</v>
      </c>
      <c r="O21" t="s">
        <v>264</v>
      </c>
      <c r="P21" t="s">
        <v>264</v>
      </c>
      <c r="Q21" t="s">
        <v>264</v>
      </c>
      <c r="R21" t="s">
        <v>264</v>
      </c>
      <c r="S21" t="s">
        <v>264</v>
      </c>
      <c r="T21" t="s">
        <v>264</v>
      </c>
      <c r="U21" t="s">
        <v>264</v>
      </c>
      <c r="V21" t="s">
        <v>264</v>
      </c>
      <c r="W21" t="s">
        <v>264</v>
      </c>
      <c r="X21" t="s">
        <v>264</v>
      </c>
      <c r="Y21" t="s">
        <v>264</v>
      </c>
      <c r="Z21" t="s">
        <v>264</v>
      </c>
      <c r="AA21" t="s">
        <v>264</v>
      </c>
      <c r="AB21" t="s">
        <v>264</v>
      </c>
      <c r="AC21" t="s">
        <v>264</v>
      </c>
      <c r="AD21" t="s">
        <v>264</v>
      </c>
      <c r="AE21" t="s">
        <v>264</v>
      </c>
      <c r="AF21" t="s">
        <v>264</v>
      </c>
      <c r="AG21" t="s">
        <v>264</v>
      </c>
      <c r="AH21" t="s">
        <v>264</v>
      </c>
      <c r="AI21" t="s">
        <v>264</v>
      </c>
      <c r="AJ21" t="s">
        <v>264</v>
      </c>
      <c r="AK21" t="s">
        <v>264</v>
      </c>
      <c r="AL21" t="s">
        <v>264</v>
      </c>
      <c r="AM21" t="s">
        <v>264</v>
      </c>
      <c r="AN21" t="s">
        <v>264</v>
      </c>
      <c r="AO21" t="s">
        <v>264</v>
      </c>
      <c r="AP21" t="s">
        <v>264</v>
      </c>
      <c r="AQ21" t="s">
        <v>264</v>
      </c>
      <c r="AR21" t="s">
        <v>264</v>
      </c>
      <c r="AS21" t="s">
        <v>264</v>
      </c>
      <c r="AT21" t="s">
        <v>264</v>
      </c>
      <c r="AU21" t="s">
        <v>264</v>
      </c>
      <c r="AV21" t="s">
        <v>264</v>
      </c>
      <c r="AW21" t="s">
        <v>264</v>
      </c>
      <c r="AX21" t="s">
        <v>264</v>
      </c>
      <c r="AY21" t="s">
        <v>264</v>
      </c>
      <c r="AZ21" t="s">
        <v>264</v>
      </c>
    </row>
    <row r="22">
      <c r="A22" s="447" t="str">
        <f t="array" ref="A22:AZ22">TRANSPOSE(indirect(Exploits!B24&amp;"!A:A"))</f>
        <v>Fast Learner</v>
      </c>
      <c r="B22" t="s">
        <v>264</v>
      </c>
      <c r="C22" t="s">
        <v>264</v>
      </c>
      <c r="D22" t="s">
        <v>264</v>
      </c>
      <c r="E22" t="s">
        <v>264</v>
      </c>
      <c r="F22" t="s">
        <v>264</v>
      </c>
      <c r="G22" t="s">
        <v>264</v>
      </c>
      <c r="H22" t="s">
        <v>264</v>
      </c>
      <c r="I22" t="s">
        <v>264</v>
      </c>
      <c r="J22" t="s">
        <v>264</v>
      </c>
      <c r="K22" t="s">
        <v>264</v>
      </c>
      <c r="L22" t="s">
        <v>264</v>
      </c>
      <c r="M22" t="s">
        <v>264</v>
      </c>
      <c r="N22" t="s">
        <v>264</v>
      </c>
      <c r="O22" t="s">
        <v>264</v>
      </c>
      <c r="P22" t="s">
        <v>264</v>
      </c>
      <c r="Q22" t="s">
        <v>264</v>
      </c>
      <c r="R22" t="s">
        <v>264</v>
      </c>
      <c r="S22" t="s">
        <v>264</v>
      </c>
      <c r="T22" t="s">
        <v>264</v>
      </c>
      <c r="U22" t="s">
        <v>264</v>
      </c>
      <c r="V22" t="s">
        <v>264</v>
      </c>
      <c r="W22" t="s">
        <v>264</v>
      </c>
      <c r="X22" t="s">
        <v>264</v>
      </c>
      <c r="Y22" t="s">
        <v>264</v>
      </c>
      <c r="Z22" t="s">
        <v>264</v>
      </c>
      <c r="AA22" t="s">
        <v>264</v>
      </c>
      <c r="AB22" t="s">
        <v>264</v>
      </c>
      <c r="AC22" t="s">
        <v>264</v>
      </c>
      <c r="AD22" t="s">
        <v>264</v>
      </c>
      <c r="AE22" t="s">
        <v>264</v>
      </c>
      <c r="AF22" t="s">
        <v>264</v>
      </c>
      <c r="AG22" t="s">
        <v>264</v>
      </c>
      <c r="AH22" t="s">
        <v>264</v>
      </c>
      <c r="AI22" t="s">
        <v>264</v>
      </c>
      <c r="AJ22" t="s">
        <v>264</v>
      </c>
      <c r="AK22" t="s">
        <v>264</v>
      </c>
      <c r="AL22" t="s">
        <v>264</v>
      </c>
      <c r="AM22" t="s">
        <v>264</v>
      </c>
      <c r="AN22" t="s">
        <v>264</v>
      </c>
      <c r="AO22" t="s">
        <v>264</v>
      </c>
      <c r="AP22" t="s">
        <v>264</v>
      </c>
      <c r="AQ22" t="s">
        <v>264</v>
      </c>
      <c r="AR22" t="s">
        <v>264</v>
      </c>
      <c r="AS22" t="s">
        <v>264</v>
      </c>
      <c r="AT22" t="s">
        <v>264</v>
      </c>
      <c r="AU22" t="s">
        <v>264</v>
      </c>
      <c r="AV22" t="s">
        <v>264</v>
      </c>
      <c r="AW22" t="s">
        <v>264</v>
      </c>
      <c r="AX22" t="s">
        <v>264</v>
      </c>
      <c r="AY22" t="s">
        <v>264</v>
      </c>
      <c r="AZ22" t="s">
        <v>264</v>
      </c>
    </row>
    <row r="23">
      <c r="A23" s="447" t="str">
        <f t="array" ref="A23:AZ23">TRANSPOSE(indirect(Exploits!B25&amp;"!A:A"))</f>
        <v>Fast Learner</v>
      </c>
      <c r="B23" t="s">
        <v>264</v>
      </c>
      <c r="C23" t="s">
        <v>264</v>
      </c>
      <c r="D23" t="s">
        <v>264</v>
      </c>
      <c r="E23" t="s">
        <v>264</v>
      </c>
      <c r="F23" t="s">
        <v>264</v>
      </c>
      <c r="G23" t="s">
        <v>264</v>
      </c>
      <c r="H23" t="s">
        <v>264</v>
      </c>
      <c r="I23" t="s">
        <v>264</v>
      </c>
      <c r="J23" t="s">
        <v>264</v>
      </c>
      <c r="K23" t="s">
        <v>264</v>
      </c>
      <c r="L23" t="s">
        <v>264</v>
      </c>
      <c r="M23" t="s">
        <v>264</v>
      </c>
      <c r="N23" t="s">
        <v>264</v>
      </c>
      <c r="O23" t="s">
        <v>264</v>
      </c>
      <c r="P23" t="s">
        <v>264</v>
      </c>
      <c r="Q23" t="s">
        <v>264</v>
      </c>
      <c r="R23" t="s">
        <v>264</v>
      </c>
      <c r="S23" t="s">
        <v>264</v>
      </c>
      <c r="T23" t="s">
        <v>264</v>
      </c>
      <c r="U23" t="s">
        <v>264</v>
      </c>
      <c r="V23" t="s">
        <v>264</v>
      </c>
      <c r="W23" t="s">
        <v>264</v>
      </c>
      <c r="X23" t="s">
        <v>264</v>
      </c>
      <c r="Y23" t="s">
        <v>264</v>
      </c>
      <c r="Z23" t="s">
        <v>264</v>
      </c>
      <c r="AA23" t="s">
        <v>264</v>
      </c>
      <c r="AB23" t="s">
        <v>264</v>
      </c>
      <c r="AC23" t="s">
        <v>264</v>
      </c>
      <c r="AD23" t="s">
        <v>264</v>
      </c>
      <c r="AE23" t="s">
        <v>264</v>
      </c>
      <c r="AF23" t="s">
        <v>264</v>
      </c>
      <c r="AG23" t="s">
        <v>264</v>
      </c>
      <c r="AH23" t="s">
        <v>264</v>
      </c>
      <c r="AI23" t="s">
        <v>264</v>
      </c>
      <c r="AJ23" t="s">
        <v>264</v>
      </c>
      <c r="AK23" t="s">
        <v>264</v>
      </c>
      <c r="AL23" t="s">
        <v>264</v>
      </c>
      <c r="AM23" t="s">
        <v>264</v>
      </c>
      <c r="AN23" t="s">
        <v>264</v>
      </c>
      <c r="AO23" t="s">
        <v>264</v>
      </c>
      <c r="AP23" t="s">
        <v>264</v>
      </c>
      <c r="AQ23" t="s">
        <v>264</v>
      </c>
      <c r="AR23" t="s">
        <v>264</v>
      </c>
      <c r="AS23" t="s">
        <v>264</v>
      </c>
      <c r="AT23" t="s">
        <v>264</v>
      </c>
      <c r="AU23" t="s">
        <v>264</v>
      </c>
      <c r="AV23" t="s">
        <v>264</v>
      </c>
      <c r="AW23" t="s">
        <v>264</v>
      </c>
      <c r="AX23" t="s">
        <v>264</v>
      </c>
      <c r="AY23" t="s">
        <v>264</v>
      </c>
      <c r="AZ23" t="s">
        <v>264</v>
      </c>
    </row>
    <row r="24">
      <c r="A24" s="447" t="str">
        <f t="array" ref="A24:AZ24">TRANSPOSE(indirect(Exploits!B26&amp;"!A:A"))</f>
        <v>Fast Learner</v>
      </c>
      <c r="B24" t="s">
        <v>264</v>
      </c>
      <c r="C24" t="s">
        <v>264</v>
      </c>
      <c r="D24" t="s">
        <v>264</v>
      </c>
      <c r="E24" t="s">
        <v>264</v>
      </c>
      <c r="F24" t="s">
        <v>264</v>
      </c>
      <c r="G24" t="s">
        <v>264</v>
      </c>
      <c r="H24" t="s">
        <v>264</v>
      </c>
      <c r="I24" t="s">
        <v>264</v>
      </c>
      <c r="J24" t="s">
        <v>264</v>
      </c>
      <c r="K24" t="s">
        <v>264</v>
      </c>
      <c r="L24" t="s">
        <v>264</v>
      </c>
      <c r="M24" t="s">
        <v>264</v>
      </c>
      <c r="N24" t="s">
        <v>264</v>
      </c>
      <c r="O24" t="s">
        <v>264</v>
      </c>
      <c r="P24" t="s">
        <v>264</v>
      </c>
      <c r="Q24" t="s">
        <v>264</v>
      </c>
      <c r="R24" t="s">
        <v>264</v>
      </c>
      <c r="S24" t="s">
        <v>264</v>
      </c>
      <c r="T24" t="s">
        <v>264</v>
      </c>
      <c r="U24" t="s">
        <v>264</v>
      </c>
      <c r="V24" t="s">
        <v>264</v>
      </c>
      <c r="W24" t="s">
        <v>264</v>
      </c>
      <c r="X24" t="s">
        <v>264</v>
      </c>
      <c r="Y24" t="s">
        <v>264</v>
      </c>
      <c r="Z24" t="s">
        <v>264</v>
      </c>
      <c r="AA24" t="s">
        <v>264</v>
      </c>
      <c r="AB24" t="s">
        <v>264</v>
      </c>
      <c r="AC24" t="s">
        <v>264</v>
      </c>
      <c r="AD24" t="s">
        <v>264</v>
      </c>
      <c r="AE24" t="s">
        <v>264</v>
      </c>
      <c r="AF24" t="s">
        <v>264</v>
      </c>
      <c r="AG24" t="s">
        <v>264</v>
      </c>
      <c r="AH24" t="s">
        <v>264</v>
      </c>
      <c r="AI24" t="s">
        <v>264</v>
      </c>
      <c r="AJ24" t="s">
        <v>264</v>
      </c>
      <c r="AK24" t="s">
        <v>264</v>
      </c>
      <c r="AL24" t="s">
        <v>264</v>
      </c>
      <c r="AM24" t="s">
        <v>264</v>
      </c>
      <c r="AN24" t="s">
        <v>264</v>
      </c>
      <c r="AO24" t="s">
        <v>264</v>
      </c>
      <c r="AP24" t="s">
        <v>264</v>
      </c>
      <c r="AQ24" t="s">
        <v>264</v>
      </c>
      <c r="AR24" t="s">
        <v>264</v>
      </c>
      <c r="AS24" t="s">
        <v>264</v>
      </c>
      <c r="AT24" t="s">
        <v>264</v>
      </c>
      <c r="AU24" t="s">
        <v>264</v>
      </c>
      <c r="AV24" t="s">
        <v>264</v>
      </c>
      <c r="AW24" t="s">
        <v>264</v>
      </c>
      <c r="AX24" t="s">
        <v>264</v>
      </c>
      <c r="AY24" t="s">
        <v>264</v>
      </c>
      <c r="AZ24" t="s">
        <v>264</v>
      </c>
    </row>
    <row r="25">
      <c r="A25" s="447" t="str">
        <f t="array" ref="A25:AZ25">TRANSPOSE(indirect(Exploits!B27&amp;"!A:A"))</f>
        <v>Fast Learner</v>
      </c>
      <c r="B25" t="s">
        <v>264</v>
      </c>
      <c r="C25" t="s">
        <v>264</v>
      </c>
      <c r="D25" t="s">
        <v>264</v>
      </c>
      <c r="E25" t="s">
        <v>264</v>
      </c>
      <c r="F25" t="s">
        <v>264</v>
      </c>
      <c r="G25" t="s">
        <v>264</v>
      </c>
      <c r="H25" t="s">
        <v>264</v>
      </c>
      <c r="I25" t="s">
        <v>264</v>
      </c>
      <c r="J25" t="s">
        <v>264</v>
      </c>
      <c r="K25" t="s">
        <v>264</v>
      </c>
      <c r="L25" t="s">
        <v>264</v>
      </c>
      <c r="M25" t="s">
        <v>264</v>
      </c>
      <c r="N25" t="s">
        <v>264</v>
      </c>
      <c r="O25" t="s">
        <v>264</v>
      </c>
      <c r="P25" t="s">
        <v>264</v>
      </c>
      <c r="Q25" t="s">
        <v>264</v>
      </c>
      <c r="R25" t="s">
        <v>264</v>
      </c>
      <c r="S25" t="s">
        <v>264</v>
      </c>
      <c r="T25" t="s">
        <v>264</v>
      </c>
      <c r="U25" t="s">
        <v>264</v>
      </c>
      <c r="V25" t="s">
        <v>264</v>
      </c>
      <c r="W25" t="s">
        <v>264</v>
      </c>
      <c r="X25" t="s">
        <v>264</v>
      </c>
      <c r="Y25" t="s">
        <v>264</v>
      </c>
      <c r="Z25" t="s">
        <v>264</v>
      </c>
      <c r="AA25" t="s">
        <v>264</v>
      </c>
      <c r="AB25" t="s">
        <v>264</v>
      </c>
      <c r="AC25" t="s">
        <v>264</v>
      </c>
      <c r="AD25" t="s">
        <v>264</v>
      </c>
      <c r="AE25" t="s">
        <v>264</v>
      </c>
      <c r="AF25" t="s">
        <v>264</v>
      </c>
      <c r="AG25" t="s">
        <v>264</v>
      </c>
      <c r="AH25" t="s">
        <v>264</v>
      </c>
      <c r="AI25" t="s">
        <v>264</v>
      </c>
      <c r="AJ25" t="s">
        <v>264</v>
      </c>
      <c r="AK25" t="s">
        <v>264</v>
      </c>
      <c r="AL25" t="s">
        <v>264</v>
      </c>
      <c r="AM25" t="s">
        <v>264</v>
      </c>
      <c r="AN25" t="s">
        <v>264</v>
      </c>
      <c r="AO25" t="s">
        <v>264</v>
      </c>
      <c r="AP25" t="s">
        <v>264</v>
      </c>
      <c r="AQ25" t="s">
        <v>264</v>
      </c>
      <c r="AR25" t="s">
        <v>264</v>
      </c>
      <c r="AS25" t="s">
        <v>264</v>
      </c>
      <c r="AT25" t="s">
        <v>264</v>
      </c>
      <c r="AU25" t="s">
        <v>264</v>
      </c>
      <c r="AV25" t="s">
        <v>264</v>
      </c>
      <c r="AW25" t="s">
        <v>264</v>
      </c>
      <c r="AX25" t="s">
        <v>264</v>
      </c>
      <c r="AY25" t="s">
        <v>264</v>
      </c>
      <c r="AZ25" t="s">
        <v>264</v>
      </c>
    </row>
    <row r="26">
      <c r="A26" s="447" t="str">
        <f t="array" ref="A26:AZ26">TRANSPOSE(indirect(Exploits!B28&amp;"!A:A"))</f>
        <v>Fast Learner</v>
      </c>
      <c r="B26" t="s">
        <v>264</v>
      </c>
      <c r="C26" t="s">
        <v>264</v>
      </c>
      <c r="D26" t="s">
        <v>264</v>
      </c>
      <c r="E26" t="s">
        <v>264</v>
      </c>
      <c r="F26" t="s">
        <v>264</v>
      </c>
      <c r="G26" t="s">
        <v>264</v>
      </c>
      <c r="H26" t="s">
        <v>264</v>
      </c>
      <c r="I26" t="s">
        <v>264</v>
      </c>
      <c r="J26" t="s">
        <v>264</v>
      </c>
      <c r="K26" t="s">
        <v>264</v>
      </c>
      <c r="L26" t="s">
        <v>264</v>
      </c>
      <c r="M26" t="s">
        <v>264</v>
      </c>
      <c r="N26" t="s">
        <v>264</v>
      </c>
      <c r="O26" t="s">
        <v>264</v>
      </c>
      <c r="P26" t="s">
        <v>264</v>
      </c>
      <c r="Q26" t="s">
        <v>264</v>
      </c>
      <c r="R26" t="s">
        <v>264</v>
      </c>
      <c r="S26" t="s">
        <v>264</v>
      </c>
      <c r="T26" t="s">
        <v>264</v>
      </c>
      <c r="U26" t="s">
        <v>264</v>
      </c>
      <c r="V26" t="s">
        <v>264</v>
      </c>
      <c r="W26" t="s">
        <v>264</v>
      </c>
      <c r="X26" t="s">
        <v>264</v>
      </c>
      <c r="Y26" t="s">
        <v>264</v>
      </c>
      <c r="Z26" t="s">
        <v>264</v>
      </c>
      <c r="AA26" t="s">
        <v>264</v>
      </c>
      <c r="AB26" t="s">
        <v>264</v>
      </c>
      <c r="AC26" t="s">
        <v>264</v>
      </c>
      <c r="AD26" t="s">
        <v>264</v>
      </c>
      <c r="AE26" t="s">
        <v>264</v>
      </c>
      <c r="AF26" t="s">
        <v>264</v>
      </c>
      <c r="AG26" t="s">
        <v>264</v>
      </c>
      <c r="AH26" t="s">
        <v>264</v>
      </c>
      <c r="AI26" t="s">
        <v>264</v>
      </c>
      <c r="AJ26" t="s">
        <v>264</v>
      </c>
      <c r="AK26" t="s">
        <v>264</v>
      </c>
      <c r="AL26" t="s">
        <v>264</v>
      </c>
      <c r="AM26" t="s">
        <v>264</v>
      </c>
      <c r="AN26" t="s">
        <v>264</v>
      </c>
      <c r="AO26" t="s">
        <v>264</v>
      </c>
      <c r="AP26" t="s">
        <v>264</v>
      </c>
      <c r="AQ26" t="s">
        <v>264</v>
      </c>
      <c r="AR26" t="s">
        <v>264</v>
      </c>
      <c r="AS26" t="s">
        <v>264</v>
      </c>
      <c r="AT26" t="s">
        <v>264</v>
      </c>
      <c r="AU26" t="s">
        <v>264</v>
      </c>
      <c r="AV26" t="s">
        <v>264</v>
      </c>
      <c r="AW26" t="s">
        <v>264</v>
      </c>
      <c r="AX26" t="s">
        <v>264</v>
      </c>
      <c r="AY26" t="s">
        <v>264</v>
      </c>
      <c r="AZ26" t="s">
        <v>264</v>
      </c>
    </row>
    <row r="27">
      <c r="A27" s="447" t="str">
        <f t="array" ref="A27:AZ27">TRANSPOSE(indirect(Exploits!B29&amp;"!A:A"))</f>
        <v>Fast Learner</v>
      </c>
      <c r="B27" t="s">
        <v>264</v>
      </c>
      <c r="C27" t="s">
        <v>264</v>
      </c>
      <c r="D27" t="s">
        <v>264</v>
      </c>
      <c r="E27" t="s">
        <v>264</v>
      </c>
      <c r="F27" t="s">
        <v>264</v>
      </c>
      <c r="G27" t="s">
        <v>264</v>
      </c>
      <c r="H27" t="s">
        <v>264</v>
      </c>
      <c r="I27" t="s">
        <v>264</v>
      </c>
      <c r="J27" t="s">
        <v>264</v>
      </c>
      <c r="K27" t="s">
        <v>264</v>
      </c>
      <c r="L27" t="s">
        <v>264</v>
      </c>
      <c r="M27" t="s">
        <v>264</v>
      </c>
      <c r="N27" t="s">
        <v>264</v>
      </c>
      <c r="O27" t="s">
        <v>264</v>
      </c>
      <c r="P27" t="s">
        <v>264</v>
      </c>
      <c r="Q27" t="s">
        <v>264</v>
      </c>
      <c r="R27" t="s">
        <v>264</v>
      </c>
      <c r="S27" t="s">
        <v>264</v>
      </c>
      <c r="T27" t="s">
        <v>264</v>
      </c>
      <c r="U27" t="s">
        <v>264</v>
      </c>
      <c r="V27" t="s">
        <v>264</v>
      </c>
      <c r="W27" t="s">
        <v>264</v>
      </c>
      <c r="X27" t="s">
        <v>264</v>
      </c>
      <c r="Y27" t="s">
        <v>264</v>
      </c>
      <c r="Z27" t="s">
        <v>264</v>
      </c>
      <c r="AA27" t="s">
        <v>264</v>
      </c>
      <c r="AB27" t="s">
        <v>264</v>
      </c>
      <c r="AC27" t="s">
        <v>264</v>
      </c>
      <c r="AD27" t="s">
        <v>264</v>
      </c>
      <c r="AE27" t="s">
        <v>264</v>
      </c>
      <c r="AF27" t="s">
        <v>264</v>
      </c>
      <c r="AG27" t="s">
        <v>264</v>
      </c>
      <c r="AH27" t="s">
        <v>264</v>
      </c>
      <c r="AI27" t="s">
        <v>264</v>
      </c>
      <c r="AJ27" t="s">
        <v>264</v>
      </c>
      <c r="AK27" t="s">
        <v>264</v>
      </c>
      <c r="AL27" t="s">
        <v>264</v>
      </c>
      <c r="AM27" t="s">
        <v>264</v>
      </c>
      <c r="AN27" t="s">
        <v>264</v>
      </c>
      <c r="AO27" t="s">
        <v>264</v>
      </c>
      <c r="AP27" t="s">
        <v>264</v>
      </c>
      <c r="AQ27" t="s">
        <v>264</v>
      </c>
      <c r="AR27" t="s">
        <v>264</v>
      </c>
      <c r="AS27" t="s">
        <v>264</v>
      </c>
      <c r="AT27" t="s">
        <v>264</v>
      </c>
      <c r="AU27" t="s">
        <v>264</v>
      </c>
      <c r="AV27" t="s">
        <v>264</v>
      </c>
      <c r="AW27" t="s">
        <v>264</v>
      </c>
      <c r="AX27" t="s">
        <v>264</v>
      </c>
      <c r="AY27" t="s">
        <v>264</v>
      </c>
      <c r="AZ27" t="s">
        <v>264</v>
      </c>
    </row>
    <row r="28">
      <c r="A28" s="447" t="str">
        <f t="array" ref="A28:AZ28">TRANSPOSE(indirect(Exploits!B30&amp;"!A:A"))</f>
        <v>Fast Learner</v>
      </c>
      <c r="B28" t="s">
        <v>264</v>
      </c>
      <c r="C28" t="s">
        <v>264</v>
      </c>
      <c r="D28" t="s">
        <v>264</v>
      </c>
      <c r="E28" t="s">
        <v>264</v>
      </c>
      <c r="F28" t="s">
        <v>264</v>
      </c>
      <c r="G28" t="s">
        <v>264</v>
      </c>
      <c r="H28" t="s">
        <v>264</v>
      </c>
      <c r="I28" t="s">
        <v>264</v>
      </c>
      <c r="J28" t="s">
        <v>264</v>
      </c>
      <c r="K28" t="s">
        <v>264</v>
      </c>
      <c r="L28" t="s">
        <v>264</v>
      </c>
      <c r="M28" t="s">
        <v>264</v>
      </c>
      <c r="N28" t="s">
        <v>264</v>
      </c>
      <c r="O28" t="s">
        <v>264</v>
      </c>
      <c r="P28" t="s">
        <v>264</v>
      </c>
      <c r="Q28" t="s">
        <v>264</v>
      </c>
      <c r="R28" t="s">
        <v>264</v>
      </c>
      <c r="S28" t="s">
        <v>264</v>
      </c>
      <c r="T28" t="s">
        <v>264</v>
      </c>
      <c r="U28" t="s">
        <v>264</v>
      </c>
      <c r="V28" t="s">
        <v>264</v>
      </c>
      <c r="W28" t="s">
        <v>264</v>
      </c>
      <c r="X28" t="s">
        <v>264</v>
      </c>
      <c r="Y28" t="s">
        <v>264</v>
      </c>
      <c r="Z28" t="s">
        <v>264</v>
      </c>
      <c r="AA28" t="s">
        <v>264</v>
      </c>
      <c r="AB28" t="s">
        <v>264</v>
      </c>
      <c r="AC28" t="s">
        <v>264</v>
      </c>
      <c r="AD28" t="s">
        <v>264</v>
      </c>
      <c r="AE28" t="s">
        <v>264</v>
      </c>
      <c r="AF28" t="s">
        <v>264</v>
      </c>
      <c r="AG28" t="s">
        <v>264</v>
      </c>
      <c r="AH28" t="s">
        <v>264</v>
      </c>
      <c r="AI28" t="s">
        <v>264</v>
      </c>
      <c r="AJ28" t="s">
        <v>264</v>
      </c>
      <c r="AK28" t="s">
        <v>264</v>
      </c>
      <c r="AL28" t="s">
        <v>264</v>
      </c>
      <c r="AM28" t="s">
        <v>264</v>
      </c>
      <c r="AN28" t="s">
        <v>264</v>
      </c>
      <c r="AO28" t="s">
        <v>264</v>
      </c>
      <c r="AP28" t="s">
        <v>264</v>
      </c>
      <c r="AQ28" t="s">
        <v>264</v>
      </c>
      <c r="AR28" t="s">
        <v>264</v>
      </c>
      <c r="AS28" t="s">
        <v>264</v>
      </c>
      <c r="AT28" t="s">
        <v>264</v>
      </c>
      <c r="AU28" t="s">
        <v>264</v>
      </c>
      <c r="AV28" t="s">
        <v>264</v>
      </c>
      <c r="AW28" t="s">
        <v>264</v>
      </c>
      <c r="AX28" t="s">
        <v>264</v>
      </c>
      <c r="AY28" t="s">
        <v>264</v>
      </c>
      <c r="AZ28" t="s">
        <v>264</v>
      </c>
    </row>
    <row r="29">
      <c r="A29" s="447" t="str">
        <f t="array" ref="A29:AZ29">TRANSPOSE(indirect(Exploits!B31&amp;"!A:A"))</f>
        <v>Fast Learner</v>
      </c>
      <c r="B29" t="s">
        <v>264</v>
      </c>
      <c r="C29" t="s">
        <v>264</v>
      </c>
      <c r="D29" t="s">
        <v>264</v>
      </c>
      <c r="E29" t="s">
        <v>264</v>
      </c>
      <c r="F29" t="s">
        <v>264</v>
      </c>
      <c r="G29" t="s">
        <v>264</v>
      </c>
      <c r="H29" t="s">
        <v>264</v>
      </c>
      <c r="I29" t="s">
        <v>264</v>
      </c>
      <c r="J29" t="s">
        <v>264</v>
      </c>
      <c r="K29" t="s">
        <v>264</v>
      </c>
      <c r="L29" t="s">
        <v>264</v>
      </c>
      <c r="M29" t="s">
        <v>264</v>
      </c>
      <c r="N29" t="s">
        <v>264</v>
      </c>
      <c r="O29" t="s">
        <v>264</v>
      </c>
      <c r="P29" t="s">
        <v>264</v>
      </c>
      <c r="Q29" t="s">
        <v>264</v>
      </c>
      <c r="R29" t="s">
        <v>264</v>
      </c>
      <c r="S29" t="s">
        <v>264</v>
      </c>
      <c r="T29" t="s">
        <v>264</v>
      </c>
      <c r="U29" t="s">
        <v>264</v>
      </c>
      <c r="V29" t="s">
        <v>264</v>
      </c>
      <c r="W29" t="s">
        <v>264</v>
      </c>
      <c r="X29" t="s">
        <v>264</v>
      </c>
      <c r="Y29" t="s">
        <v>264</v>
      </c>
      <c r="Z29" t="s">
        <v>264</v>
      </c>
      <c r="AA29" t="s">
        <v>264</v>
      </c>
      <c r="AB29" t="s">
        <v>264</v>
      </c>
      <c r="AC29" t="s">
        <v>264</v>
      </c>
      <c r="AD29" t="s">
        <v>264</v>
      </c>
      <c r="AE29" t="s">
        <v>264</v>
      </c>
      <c r="AF29" t="s">
        <v>264</v>
      </c>
      <c r="AG29" t="s">
        <v>264</v>
      </c>
      <c r="AH29" t="s">
        <v>264</v>
      </c>
      <c r="AI29" t="s">
        <v>264</v>
      </c>
      <c r="AJ29" t="s">
        <v>264</v>
      </c>
      <c r="AK29" t="s">
        <v>264</v>
      </c>
      <c r="AL29" t="s">
        <v>264</v>
      </c>
      <c r="AM29" t="s">
        <v>264</v>
      </c>
      <c r="AN29" t="s">
        <v>264</v>
      </c>
      <c r="AO29" t="s">
        <v>264</v>
      </c>
      <c r="AP29" t="s">
        <v>264</v>
      </c>
      <c r="AQ29" t="s">
        <v>264</v>
      </c>
      <c r="AR29" t="s">
        <v>264</v>
      </c>
      <c r="AS29" t="s">
        <v>264</v>
      </c>
      <c r="AT29" t="s">
        <v>264</v>
      </c>
      <c r="AU29" t="s">
        <v>264</v>
      </c>
      <c r="AV29" t="s">
        <v>264</v>
      </c>
      <c r="AW29" t="s">
        <v>264</v>
      </c>
      <c r="AX29" t="s">
        <v>264</v>
      </c>
      <c r="AY29" t="s">
        <v>264</v>
      </c>
      <c r="AZ29" t="s">
        <v>264</v>
      </c>
    </row>
    <row r="30">
      <c r="A30" s="447" t="str">
        <f t="array" ref="A30:AZ30">TRANSPOSE(indirect(Exploits!B32&amp;"!A:A"))</f>
        <v>Fast Learner</v>
      </c>
      <c r="B30" t="s">
        <v>264</v>
      </c>
      <c r="C30" t="s">
        <v>264</v>
      </c>
      <c r="D30" t="s">
        <v>264</v>
      </c>
      <c r="E30" t="s">
        <v>264</v>
      </c>
      <c r="F30" t="s">
        <v>264</v>
      </c>
      <c r="G30" t="s">
        <v>264</v>
      </c>
      <c r="H30" t="s">
        <v>264</v>
      </c>
      <c r="I30" t="s">
        <v>264</v>
      </c>
      <c r="J30" t="s">
        <v>264</v>
      </c>
      <c r="K30" t="s">
        <v>264</v>
      </c>
      <c r="L30" t="s">
        <v>264</v>
      </c>
      <c r="M30" t="s">
        <v>264</v>
      </c>
      <c r="N30" t="s">
        <v>264</v>
      </c>
      <c r="O30" t="s">
        <v>264</v>
      </c>
      <c r="P30" t="s">
        <v>264</v>
      </c>
      <c r="Q30" t="s">
        <v>264</v>
      </c>
      <c r="R30" t="s">
        <v>264</v>
      </c>
      <c r="S30" t="s">
        <v>264</v>
      </c>
      <c r="T30" t="s">
        <v>264</v>
      </c>
      <c r="U30" t="s">
        <v>264</v>
      </c>
      <c r="V30" t="s">
        <v>264</v>
      </c>
      <c r="W30" t="s">
        <v>264</v>
      </c>
      <c r="X30" t="s">
        <v>264</v>
      </c>
      <c r="Y30" t="s">
        <v>264</v>
      </c>
      <c r="Z30" t="s">
        <v>264</v>
      </c>
      <c r="AA30" t="s">
        <v>264</v>
      </c>
      <c r="AB30" t="s">
        <v>264</v>
      </c>
      <c r="AC30" t="s">
        <v>264</v>
      </c>
      <c r="AD30" t="s">
        <v>264</v>
      </c>
      <c r="AE30" t="s">
        <v>264</v>
      </c>
      <c r="AF30" t="s">
        <v>264</v>
      </c>
      <c r="AG30" t="s">
        <v>264</v>
      </c>
      <c r="AH30" t="s">
        <v>264</v>
      </c>
      <c r="AI30" t="s">
        <v>264</v>
      </c>
      <c r="AJ30" t="s">
        <v>264</v>
      </c>
      <c r="AK30" t="s">
        <v>264</v>
      </c>
      <c r="AL30" t="s">
        <v>264</v>
      </c>
      <c r="AM30" t="s">
        <v>264</v>
      </c>
      <c r="AN30" t="s">
        <v>264</v>
      </c>
      <c r="AO30" t="s">
        <v>264</v>
      </c>
      <c r="AP30" t="s">
        <v>264</v>
      </c>
      <c r="AQ30" t="s">
        <v>264</v>
      </c>
      <c r="AR30" t="s">
        <v>264</v>
      </c>
      <c r="AS30" t="s">
        <v>264</v>
      </c>
      <c r="AT30" t="s">
        <v>264</v>
      </c>
      <c r="AU30" t="s">
        <v>264</v>
      </c>
      <c r="AV30" t="s">
        <v>264</v>
      </c>
      <c r="AW30" t="s">
        <v>264</v>
      </c>
      <c r="AX30" t="s">
        <v>264</v>
      </c>
      <c r="AY30" t="s">
        <v>264</v>
      </c>
      <c r="AZ30" t="s">
        <v>264</v>
      </c>
    </row>
    <row r="31">
      <c r="A31" s="447" t="str">
        <f t="array" ref="A31:AZ31">TRANSPOSE(indirect(Exploits!B33&amp;"!A:A"))</f>
        <v>Fast Learner</v>
      </c>
      <c r="B31" t="s">
        <v>264</v>
      </c>
      <c r="C31" t="s">
        <v>264</v>
      </c>
      <c r="D31" t="s">
        <v>264</v>
      </c>
      <c r="E31" t="s">
        <v>264</v>
      </c>
      <c r="F31" t="s">
        <v>264</v>
      </c>
      <c r="G31" t="s">
        <v>264</v>
      </c>
      <c r="H31" t="s">
        <v>264</v>
      </c>
      <c r="I31" t="s">
        <v>264</v>
      </c>
      <c r="J31" t="s">
        <v>264</v>
      </c>
      <c r="K31" t="s">
        <v>264</v>
      </c>
      <c r="L31" t="s">
        <v>264</v>
      </c>
      <c r="M31" t="s">
        <v>264</v>
      </c>
      <c r="N31" t="s">
        <v>264</v>
      </c>
      <c r="O31" t="s">
        <v>264</v>
      </c>
      <c r="P31" t="s">
        <v>264</v>
      </c>
      <c r="Q31" t="s">
        <v>264</v>
      </c>
      <c r="R31" t="s">
        <v>264</v>
      </c>
      <c r="S31" t="s">
        <v>264</v>
      </c>
      <c r="T31" t="s">
        <v>264</v>
      </c>
      <c r="U31" t="s">
        <v>264</v>
      </c>
      <c r="V31" t="s">
        <v>264</v>
      </c>
      <c r="W31" t="s">
        <v>264</v>
      </c>
      <c r="X31" t="s">
        <v>264</v>
      </c>
      <c r="Y31" t="s">
        <v>264</v>
      </c>
      <c r="Z31" t="s">
        <v>264</v>
      </c>
      <c r="AA31" t="s">
        <v>264</v>
      </c>
      <c r="AB31" t="s">
        <v>264</v>
      </c>
      <c r="AC31" t="s">
        <v>264</v>
      </c>
      <c r="AD31" t="s">
        <v>264</v>
      </c>
      <c r="AE31" t="s">
        <v>264</v>
      </c>
      <c r="AF31" t="s">
        <v>264</v>
      </c>
      <c r="AG31" t="s">
        <v>264</v>
      </c>
      <c r="AH31" t="s">
        <v>264</v>
      </c>
      <c r="AI31" t="s">
        <v>264</v>
      </c>
      <c r="AJ31" t="s">
        <v>264</v>
      </c>
      <c r="AK31" t="s">
        <v>264</v>
      </c>
      <c r="AL31" t="s">
        <v>264</v>
      </c>
      <c r="AM31" t="s">
        <v>264</v>
      </c>
      <c r="AN31" t="s">
        <v>264</v>
      </c>
      <c r="AO31" t="s">
        <v>264</v>
      </c>
      <c r="AP31" t="s">
        <v>264</v>
      </c>
      <c r="AQ31" t="s">
        <v>264</v>
      </c>
      <c r="AR31" t="s">
        <v>264</v>
      </c>
      <c r="AS31" t="s">
        <v>264</v>
      </c>
      <c r="AT31" t="s">
        <v>264</v>
      </c>
      <c r="AU31" t="s">
        <v>264</v>
      </c>
      <c r="AV31" t="s">
        <v>264</v>
      </c>
      <c r="AW31" t="s">
        <v>264</v>
      </c>
      <c r="AX31" t="s">
        <v>264</v>
      </c>
      <c r="AY31" t="s">
        <v>264</v>
      </c>
      <c r="AZ31" t="s">
        <v>264</v>
      </c>
    </row>
    <row r="32">
      <c r="A32" s="447" t="str">
        <f t="array" ref="A32:AZ32">TRANSPOSE(indirect(Exploits!B34&amp;"!A:A"))</f>
        <v>Fast Learner</v>
      </c>
      <c r="B32" t="s">
        <v>264</v>
      </c>
      <c r="C32" t="s">
        <v>264</v>
      </c>
      <c r="D32" t="s">
        <v>264</v>
      </c>
      <c r="E32" t="s">
        <v>264</v>
      </c>
      <c r="F32" t="s">
        <v>264</v>
      </c>
      <c r="G32" t="s">
        <v>264</v>
      </c>
      <c r="H32" t="s">
        <v>264</v>
      </c>
      <c r="I32" t="s">
        <v>264</v>
      </c>
      <c r="J32" t="s">
        <v>264</v>
      </c>
      <c r="K32" t="s">
        <v>264</v>
      </c>
      <c r="L32" t="s">
        <v>264</v>
      </c>
      <c r="M32" t="s">
        <v>264</v>
      </c>
      <c r="N32" t="s">
        <v>264</v>
      </c>
      <c r="O32" t="s">
        <v>264</v>
      </c>
      <c r="P32" t="s">
        <v>264</v>
      </c>
      <c r="Q32" t="s">
        <v>264</v>
      </c>
      <c r="R32" t="s">
        <v>264</v>
      </c>
      <c r="S32" t="s">
        <v>264</v>
      </c>
      <c r="T32" t="s">
        <v>264</v>
      </c>
      <c r="U32" t="s">
        <v>264</v>
      </c>
      <c r="V32" t="s">
        <v>264</v>
      </c>
      <c r="W32" t="s">
        <v>264</v>
      </c>
      <c r="X32" t="s">
        <v>264</v>
      </c>
      <c r="Y32" t="s">
        <v>264</v>
      </c>
      <c r="Z32" t="s">
        <v>264</v>
      </c>
      <c r="AA32" t="s">
        <v>264</v>
      </c>
      <c r="AB32" t="s">
        <v>264</v>
      </c>
      <c r="AC32" t="s">
        <v>264</v>
      </c>
      <c r="AD32" t="s">
        <v>264</v>
      </c>
      <c r="AE32" t="s">
        <v>264</v>
      </c>
      <c r="AF32" t="s">
        <v>264</v>
      </c>
      <c r="AG32" t="s">
        <v>264</v>
      </c>
      <c r="AH32" t="s">
        <v>264</v>
      </c>
      <c r="AI32" t="s">
        <v>264</v>
      </c>
      <c r="AJ32" t="s">
        <v>264</v>
      </c>
      <c r="AK32" t="s">
        <v>264</v>
      </c>
      <c r="AL32" t="s">
        <v>264</v>
      </c>
      <c r="AM32" t="s">
        <v>264</v>
      </c>
      <c r="AN32" t="s">
        <v>264</v>
      </c>
      <c r="AO32" t="s">
        <v>264</v>
      </c>
      <c r="AP32" t="s">
        <v>264</v>
      </c>
      <c r="AQ32" t="s">
        <v>264</v>
      </c>
      <c r="AR32" t="s">
        <v>264</v>
      </c>
      <c r="AS32" t="s">
        <v>264</v>
      </c>
      <c r="AT32" t="s">
        <v>264</v>
      </c>
      <c r="AU32" t="s">
        <v>264</v>
      </c>
      <c r="AV32" t="s">
        <v>264</v>
      </c>
      <c r="AW32" t="s">
        <v>264</v>
      </c>
      <c r="AX32" t="s">
        <v>264</v>
      </c>
      <c r="AY32" t="s">
        <v>264</v>
      </c>
      <c r="AZ32" t="s">
        <v>264</v>
      </c>
    </row>
    <row r="33">
      <c r="A33" s="447" t="str">
        <f t="array" ref="A33:AZ33">TRANSPOSE(indirect(Exploits!B35&amp;"!A:A"))</f>
        <v>Fast Learner</v>
      </c>
      <c r="B33" t="s">
        <v>264</v>
      </c>
      <c r="C33" t="s">
        <v>264</v>
      </c>
      <c r="D33" t="s">
        <v>264</v>
      </c>
      <c r="E33" t="s">
        <v>264</v>
      </c>
      <c r="F33" t="s">
        <v>264</v>
      </c>
      <c r="G33" t="s">
        <v>264</v>
      </c>
      <c r="H33" t="s">
        <v>264</v>
      </c>
      <c r="I33" t="s">
        <v>264</v>
      </c>
      <c r="J33" t="s">
        <v>264</v>
      </c>
      <c r="K33" t="s">
        <v>264</v>
      </c>
      <c r="L33" t="s">
        <v>264</v>
      </c>
      <c r="M33" t="s">
        <v>264</v>
      </c>
      <c r="N33" t="s">
        <v>264</v>
      </c>
      <c r="O33" t="s">
        <v>264</v>
      </c>
      <c r="P33" t="s">
        <v>264</v>
      </c>
      <c r="Q33" t="s">
        <v>264</v>
      </c>
      <c r="R33" t="s">
        <v>264</v>
      </c>
      <c r="S33" t="s">
        <v>264</v>
      </c>
      <c r="T33" t="s">
        <v>264</v>
      </c>
      <c r="U33" t="s">
        <v>264</v>
      </c>
      <c r="V33" t="s">
        <v>264</v>
      </c>
      <c r="W33" t="s">
        <v>264</v>
      </c>
      <c r="X33" t="s">
        <v>264</v>
      </c>
      <c r="Y33" t="s">
        <v>264</v>
      </c>
      <c r="Z33" t="s">
        <v>264</v>
      </c>
      <c r="AA33" t="s">
        <v>264</v>
      </c>
      <c r="AB33" t="s">
        <v>264</v>
      </c>
      <c r="AC33" t="s">
        <v>264</v>
      </c>
      <c r="AD33" t="s">
        <v>264</v>
      </c>
      <c r="AE33" t="s">
        <v>264</v>
      </c>
      <c r="AF33" t="s">
        <v>264</v>
      </c>
      <c r="AG33" t="s">
        <v>264</v>
      </c>
      <c r="AH33" t="s">
        <v>264</v>
      </c>
      <c r="AI33" t="s">
        <v>264</v>
      </c>
      <c r="AJ33" t="s">
        <v>264</v>
      </c>
      <c r="AK33" t="s">
        <v>264</v>
      </c>
      <c r="AL33" t="s">
        <v>264</v>
      </c>
      <c r="AM33" t="s">
        <v>264</v>
      </c>
      <c r="AN33" t="s">
        <v>264</v>
      </c>
      <c r="AO33" t="s">
        <v>264</v>
      </c>
      <c r="AP33" t="s">
        <v>264</v>
      </c>
      <c r="AQ33" t="s">
        <v>264</v>
      </c>
      <c r="AR33" t="s">
        <v>264</v>
      </c>
      <c r="AS33" t="s">
        <v>264</v>
      </c>
      <c r="AT33" t="s">
        <v>264</v>
      </c>
      <c r="AU33" t="s">
        <v>264</v>
      </c>
      <c r="AV33" t="s">
        <v>264</v>
      </c>
      <c r="AW33" t="s">
        <v>264</v>
      </c>
      <c r="AX33" t="s">
        <v>264</v>
      </c>
      <c r="AY33" t="s">
        <v>264</v>
      </c>
      <c r="AZ33" t="s">
        <v>264</v>
      </c>
    </row>
    <row r="34">
      <c r="A34" s="447" t="str">
        <f t="array" ref="A34:AZ34">TRANSPOSE(indirect(Exploits!B36&amp;"!A:A"))</f>
        <v>Fast Learner</v>
      </c>
      <c r="B34" t="s">
        <v>264</v>
      </c>
      <c r="C34" t="s">
        <v>264</v>
      </c>
      <c r="D34" t="s">
        <v>264</v>
      </c>
      <c r="E34" t="s">
        <v>264</v>
      </c>
      <c r="F34" t="s">
        <v>264</v>
      </c>
      <c r="G34" t="s">
        <v>264</v>
      </c>
      <c r="H34" t="s">
        <v>264</v>
      </c>
      <c r="I34" t="s">
        <v>264</v>
      </c>
      <c r="J34" t="s">
        <v>264</v>
      </c>
      <c r="K34" t="s">
        <v>264</v>
      </c>
      <c r="L34" t="s">
        <v>264</v>
      </c>
      <c r="M34" t="s">
        <v>264</v>
      </c>
      <c r="N34" t="s">
        <v>264</v>
      </c>
      <c r="O34" t="s">
        <v>264</v>
      </c>
      <c r="P34" t="s">
        <v>264</v>
      </c>
      <c r="Q34" t="s">
        <v>264</v>
      </c>
      <c r="R34" t="s">
        <v>264</v>
      </c>
      <c r="S34" t="s">
        <v>264</v>
      </c>
      <c r="T34" t="s">
        <v>264</v>
      </c>
      <c r="U34" t="s">
        <v>264</v>
      </c>
      <c r="V34" t="s">
        <v>264</v>
      </c>
      <c r="W34" t="s">
        <v>264</v>
      </c>
      <c r="X34" t="s">
        <v>264</v>
      </c>
      <c r="Y34" t="s">
        <v>264</v>
      </c>
      <c r="Z34" t="s">
        <v>264</v>
      </c>
      <c r="AA34" t="s">
        <v>264</v>
      </c>
      <c r="AB34" t="s">
        <v>264</v>
      </c>
      <c r="AC34" t="s">
        <v>264</v>
      </c>
      <c r="AD34" t="s">
        <v>264</v>
      </c>
      <c r="AE34" t="s">
        <v>264</v>
      </c>
      <c r="AF34" t="s">
        <v>264</v>
      </c>
      <c r="AG34" t="s">
        <v>264</v>
      </c>
      <c r="AH34" t="s">
        <v>264</v>
      </c>
      <c r="AI34" t="s">
        <v>264</v>
      </c>
      <c r="AJ34" t="s">
        <v>264</v>
      </c>
      <c r="AK34" t="s">
        <v>264</v>
      </c>
      <c r="AL34" t="s">
        <v>264</v>
      </c>
      <c r="AM34" t="s">
        <v>264</v>
      </c>
      <c r="AN34" t="s">
        <v>264</v>
      </c>
      <c r="AO34" t="s">
        <v>264</v>
      </c>
      <c r="AP34" t="s">
        <v>264</v>
      </c>
      <c r="AQ34" t="s">
        <v>264</v>
      </c>
      <c r="AR34" t="s">
        <v>264</v>
      </c>
      <c r="AS34" t="s">
        <v>264</v>
      </c>
      <c r="AT34" t="s">
        <v>264</v>
      </c>
      <c r="AU34" t="s">
        <v>264</v>
      </c>
      <c r="AV34" t="s">
        <v>264</v>
      </c>
      <c r="AW34" t="s">
        <v>264</v>
      </c>
      <c r="AX34" t="s">
        <v>264</v>
      </c>
      <c r="AY34" t="s">
        <v>264</v>
      </c>
      <c r="AZ34" t="s">
        <v>264</v>
      </c>
    </row>
    <row r="35">
      <c r="A35" s="447" t="str">
        <f t="array" ref="A35:AZ35">TRANSPOSE(indirect(Exploits!B37&amp;"!A:A"))</f>
        <v>Fast Learner</v>
      </c>
      <c r="B35" t="s">
        <v>264</v>
      </c>
      <c r="C35" t="s">
        <v>264</v>
      </c>
      <c r="D35" t="s">
        <v>264</v>
      </c>
      <c r="E35" t="s">
        <v>264</v>
      </c>
      <c r="F35" t="s">
        <v>264</v>
      </c>
      <c r="G35" t="s">
        <v>264</v>
      </c>
      <c r="H35" t="s">
        <v>264</v>
      </c>
      <c r="I35" t="s">
        <v>264</v>
      </c>
      <c r="J35" t="s">
        <v>264</v>
      </c>
      <c r="K35" t="s">
        <v>264</v>
      </c>
      <c r="L35" t="s">
        <v>264</v>
      </c>
      <c r="M35" t="s">
        <v>264</v>
      </c>
      <c r="N35" t="s">
        <v>264</v>
      </c>
      <c r="O35" t="s">
        <v>264</v>
      </c>
      <c r="P35" t="s">
        <v>264</v>
      </c>
      <c r="Q35" t="s">
        <v>264</v>
      </c>
      <c r="R35" t="s">
        <v>264</v>
      </c>
      <c r="S35" t="s">
        <v>264</v>
      </c>
      <c r="T35" t="s">
        <v>264</v>
      </c>
      <c r="U35" t="s">
        <v>264</v>
      </c>
      <c r="V35" t="s">
        <v>264</v>
      </c>
      <c r="W35" t="s">
        <v>264</v>
      </c>
      <c r="X35" t="s">
        <v>264</v>
      </c>
      <c r="Y35" t="s">
        <v>264</v>
      </c>
      <c r="Z35" t="s">
        <v>264</v>
      </c>
      <c r="AA35" t="s">
        <v>264</v>
      </c>
      <c r="AB35" t="s">
        <v>264</v>
      </c>
      <c r="AC35" t="s">
        <v>264</v>
      </c>
      <c r="AD35" t="s">
        <v>264</v>
      </c>
      <c r="AE35" t="s">
        <v>264</v>
      </c>
      <c r="AF35" t="s">
        <v>264</v>
      </c>
      <c r="AG35" t="s">
        <v>264</v>
      </c>
      <c r="AH35" t="s">
        <v>264</v>
      </c>
      <c r="AI35" t="s">
        <v>264</v>
      </c>
      <c r="AJ35" t="s">
        <v>264</v>
      </c>
      <c r="AK35" t="s">
        <v>264</v>
      </c>
      <c r="AL35" t="s">
        <v>264</v>
      </c>
      <c r="AM35" t="s">
        <v>264</v>
      </c>
      <c r="AN35" t="s">
        <v>264</v>
      </c>
      <c r="AO35" t="s">
        <v>264</v>
      </c>
      <c r="AP35" t="s">
        <v>264</v>
      </c>
      <c r="AQ35" t="s">
        <v>264</v>
      </c>
      <c r="AR35" t="s">
        <v>264</v>
      </c>
      <c r="AS35" t="s">
        <v>264</v>
      </c>
      <c r="AT35" t="s">
        <v>264</v>
      </c>
      <c r="AU35" t="s">
        <v>264</v>
      </c>
      <c r="AV35" t="s">
        <v>264</v>
      </c>
      <c r="AW35" t="s">
        <v>264</v>
      </c>
      <c r="AX35" t="s">
        <v>264</v>
      </c>
      <c r="AY35" t="s">
        <v>264</v>
      </c>
      <c r="AZ35" t="s">
        <v>264</v>
      </c>
    </row>
    <row r="36">
      <c r="A36" s="447" t="str">
        <f t="array" ref="A36:AZ36">TRANSPOSE(indirect(Exploits!B38&amp;"!A:A"))</f>
        <v>Fast Learner</v>
      </c>
      <c r="B36" t="s">
        <v>264</v>
      </c>
      <c r="C36" t="s">
        <v>264</v>
      </c>
      <c r="D36" t="s">
        <v>264</v>
      </c>
      <c r="E36" t="s">
        <v>264</v>
      </c>
      <c r="F36" t="s">
        <v>264</v>
      </c>
      <c r="G36" t="s">
        <v>264</v>
      </c>
      <c r="H36" t="s">
        <v>264</v>
      </c>
      <c r="I36" t="s">
        <v>264</v>
      </c>
      <c r="J36" t="s">
        <v>264</v>
      </c>
      <c r="K36" t="s">
        <v>264</v>
      </c>
      <c r="L36" t="s">
        <v>264</v>
      </c>
      <c r="M36" t="s">
        <v>264</v>
      </c>
      <c r="N36" t="s">
        <v>264</v>
      </c>
      <c r="O36" t="s">
        <v>264</v>
      </c>
      <c r="P36" t="s">
        <v>264</v>
      </c>
      <c r="Q36" t="s">
        <v>264</v>
      </c>
      <c r="R36" t="s">
        <v>264</v>
      </c>
      <c r="S36" t="s">
        <v>264</v>
      </c>
      <c r="T36" t="s">
        <v>264</v>
      </c>
      <c r="U36" t="s">
        <v>264</v>
      </c>
      <c r="V36" t="s">
        <v>264</v>
      </c>
      <c r="W36" t="s">
        <v>264</v>
      </c>
      <c r="X36" t="s">
        <v>264</v>
      </c>
      <c r="Y36" t="s">
        <v>264</v>
      </c>
      <c r="Z36" t="s">
        <v>264</v>
      </c>
      <c r="AA36" t="s">
        <v>264</v>
      </c>
      <c r="AB36" t="s">
        <v>264</v>
      </c>
      <c r="AC36" t="s">
        <v>264</v>
      </c>
      <c r="AD36" t="s">
        <v>264</v>
      </c>
      <c r="AE36" t="s">
        <v>264</v>
      </c>
      <c r="AF36" t="s">
        <v>264</v>
      </c>
      <c r="AG36" t="s">
        <v>264</v>
      </c>
      <c r="AH36" t="s">
        <v>264</v>
      </c>
      <c r="AI36" t="s">
        <v>264</v>
      </c>
      <c r="AJ36" t="s">
        <v>264</v>
      </c>
      <c r="AK36" t="s">
        <v>264</v>
      </c>
      <c r="AL36" t="s">
        <v>264</v>
      </c>
      <c r="AM36" t="s">
        <v>264</v>
      </c>
      <c r="AN36" t="s">
        <v>264</v>
      </c>
      <c r="AO36" t="s">
        <v>264</v>
      </c>
      <c r="AP36" t="s">
        <v>264</v>
      </c>
      <c r="AQ36" t="s">
        <v>264</v>
      </c>
      <c r="AR36" t="s">
        <v>264</v>
      </c>
      <c r="AS36" t="s">
        <v>264</v>
      </c>
      <c r="AT36" t="s">
        <v>264</v>
      </c>
      <c r="AU36" t="s">
        <v>264</v>
      </c>
      <c r="AV36" t="s">
        <v>264</v>
      </c>
      <c r="AW36" t="s">
        <v>264</v>
      </c>
      <c r="AX36" t="s">
        <v>264</v>
      </c>
      <c r="AY36" t="s">
        <v>264</v>
      </c>
      <c r="AZ36" t="s">
        <v>264</v>
      </c>
    </row>
    <row r="37">
      <c r="A37" s="447" t="str">
        <f t="array" ref="A37:AZ37">TRANSPOSE(indirect(Exploits!B39&amp;"!A:A"))</f>
        <v>Fast Learner</v>
      </c>
      <c r="B37" t="s">
        <v>264</v>
      </c>
      <c r="C37" t="s">
        <v>264</v>
      </c>
      <c r="D37" t="s">
        <v>264</v>
      </c>
      <c r="E37" t="s">
        <v>264</v>
      </c>
      <c r="F37" t="s">
        <v>264</v>
      </c>
      <c r="G37" t="s">
        <v>264</v>
      </c>
      <c r="H37" t="s">
        <v>264</v>
      </c>
      <c r="I37" t="s">
        <v>264</v>
      </c>
      <c r="J37" t="s">
        <v>264</v>
      </c>
      <c r="K37" t="s">
        <v>264</v>
      </c>
      <c r="L37" t="s">
        <v>264</v>
      </c>
      <c r="M37" t="s">
        <v>264</v>
      </c>
      <c r="N37" t="s">
        <v>264</v>
      </c>
      <c r="O37" t="s">
        <v>264</v>
      </c>
      <c r="P37" t="s">
        <v>264</v>
      </c>
      <c r="Q37" t="s">
        <v>264</v>
      </c>
      <c r="R37" t="s">
        <v>264</v>
      </c>
      <c r="S37" t="s">
        <v>264</v>
      </c>
      <c r="T37" t="s">
        <v>264</v>
      </c>
      <c r="U37" t="s">
        <v>264</v>
      </c>
      <c r="V37" t="s">
        <v>264</v>
      </c>
      <c r="W37" t="s">
        <v>264</v>
      </c>
      <c r="X37" t="s">
        <v>264</v>
      </c>
      <c r="Y37" t="s">
        <v>264</v>
      </c>
      <c r="Z37" t="s">
        <v>264</v>
      </c>
      <c r="AA37" t="s">
        <v>264</v>
      </c>
      <c r="AB37" t="s">
        <v>264</v>
      </c>
      <c r="AC37" t="s">
        <v>264</v>
      </c>
      <c r="AD37" t="s">
        <v>264</v>
      </c>
      <c r="AE37" t="s">
        <v>264</v>
      </c>
      <c r="AF37" t="s">
        <v>264</v>
      </c>
      <c r="AG37" t="s">
        <v>264</v>
      </c>
      <c r="AH37" t="s">
        <v>264</v>
      </c>
      <c r="AI37" t="s">
        <v>264</v>
      </c>
      <c r="AJ37" t="s">
        <v>264</v>
      </c>
      <c r="AK37" t="s">
        <v>264</v>
      </c>
      <c r="AL37" t="s">
        <v>264</v>
      </c>
      <c r="AM37" t="s">
        <v>264</v>
      </c>
      <c r="AN37" t="s">
        <v>264</v>
      </c>
      <c r="AO37" t="s">
        <v>264</v>
      </c>
      <c r="AP37" t="s">
        <v>264</v>
      </c>
      <c r="AQ37" t="s">
        <v>264</v>
      </c>
      <c r="AR37" t="s">
        <v>264</v>
      </c>
      <c r="AS37" t="s">
        <v>264</v>
      </c>
      <c r="AT37" t="s">
        <v>264</v>
      </c>
      <c r="AU37" t="s">
        <v>264</v>
      </c>
      <c r="AV37" t="s">
        <v>264</v>
      </c>
      <c r="AW37" t="s">
        <v>264</v>
      </c>
      <c r="AX37" t="s">
        <v>264</v>
      </c>
      <c r="AY37" t="s">
        <v>264</v>
      </c>
      <c r="AZ37" t="s">
        <v>264</v>
      </c>
    </row>
    <row r="38">
      <c r="A38" s="447" t="str">
        <f t="array" ref="A38:AZ38">TRANSPOSE(indirect(Exploits!B40&amp;"!A:A"))</f>
        <v>Fast Learner</v>
      </c>
      <c r="B38" t="s">
        <v>264</v>
      </c>
      <c r="C38" t="s">
        <v>264</v>
      </c>
      <c r="D38" t="s">
        <v>264</v>
      </c>
      <c r="E38" t="s">
        <v>264</v>
      </c>
      <c r="F38" t="s">
        <v>264</v>
      </c>
      <c r="G38" t="s">
        <v>264</v>
      </c>
      <c r="H38" t="s">
        <v>264</v>
      </c>
      <c r="I38" t="s">
        <v>264</v>
      </c>
      <c r="J38" t="s">
        <v>264</v>
      </c>
      <c r="K38" t="s">
        <v>264</v>
      </c>
      <c r="L38" t="s">
        <v>264</v>
      </c>
      <c r="M38" t="s">
        <v>264</v>
      </c>
      <c r="N38" t="s">
        <v>264</v>
      </c>
      <c r="O38" t="s">
        <v>264</v>
      </c>
      <c r="P38" t="s">
        <v>264</v>
      </c>
      <c r="Q38" t="s">
        <v>264</v>
      </c>
      <c r="R38" t="s">
        <v>264</v>
      </c>
      <c r="S38" t="s">
        <v>264</v>
      </c>
      <c r="T38" t="s">
        <v>264</v>
      </c>
      <c r="U38" t="s">
        <v>264</v>
      </c>
      <c r="V38" t="s">
        <v>264</v>
      </c>
      <c r="W38" t="s">
        <v>264</v>
      </c>
      <c r="X38" t="s">
        <v>264</v>
      </c>
      <c r="Y38" t="s">
        <v>264</v>
      </c>
      <c r="Z38" t="s">
        <v>264</v>
      </c>
      <c r="AA38" t="s">
        <v>264</v>
      </c>
      <c r="AB38" t="s">
        <v>264</v>
      </c>
      <c r="AC38" t="s">
        <v>264</v>
      </c>
      <c r="AD38" t="s">
        <v>264</v>
      </c>
      <c r="AE38" t="s">
        <v>264</v>
      </c>
      <c r="AF38" t="s">
        <v>264</v>
      </c>
      <c r="AG38" t="s">
        <v>264</v>
      </c>
      <c r="AH38" t="s">
        <v>264</v>
      </c>
      <c r="AI38" t="s">
        <v>264</v>
      </c>
      <c r="AJ38" t="s">
        <v>264</v>
      </c>
      <c r="AK38" t="s">
        <v>264</v>
      </c>
      <c r="AL38" t="s">
        <v>264</v>
      </c>
      <c r="AM38" t="s">
        <v>264</v>
      </c>
      <c r="AN38" t="s">
        <v>264</v>
      </c>
      <c r="AO38" t="s">
        <v>264</v>
      </c>
      <c r="AP38" t="s">
        <v>264</v>
      </c>
      <c r="AQ38" t="s">
        <v>264</v>
      </c>
      <c r="AR38" t="s">
        <v>264</v>
      </c>
      <c r="AS38" t="s">
        <v>264</v>
      </c>
      <c r="AT38" t="s">
        <v>264</v>
      </c>
      <c r="AU38" t="s">
        <v>264</v>
      </c>
      <c r="AV38" t="s">
        <v>264</v>
      </c>
      <c r="AW38" t="s">
        <v>264</v>
      </c>
      <c r="AX38" t="s">
        <v>264</v>
      </c>
      <c r="AY38" t="s">
        <v>264</v>
      </c>
      <c r="AZ38" t="s">
        <v>264</v>
      </c>
    </row>
    <row r="39">
      <c r="A39" s="447" t="str">
        <f t="array" ref="A39:AZ39">TRANSPOSE(indirect(Exploits!B41&amp;"!A:A"))</f>
        <v>Fast Learner</v>
      </c>
      <c r="B39" t="s">
        <v>264</v>
      </c>
      <c r="C39" t="s">
        <v>264</v>
      </c>
      <c r="D39" t="s">
        <v>264</v>
      </c>
      <c r="E39" t="s">
        <v>264</v>
      </c>
      <c r="F39" t="s">
        <v>264</v>
      </c>
      <c r="G39" t="s">
        <v>264</v>
      </c>
      <c r="H39" t="s">
        <v>264</v>
      </c>
      <c r="I39" t="s">
        <v>264</v>
      </c>
      <c r="J39" t="s">
        <v>264</v>
      </c>
      <c r="K39" t="s">
        <v>264</v>
      </c>
      <c r="L39" t="s">
        <v>264</v>
      </c>
      <c r="M39" t="s">
        <v>264</v>
      </c>
      <c r="N39" t="s">
        <v>264</v>
      </c>
      <c r="O39" t="s">
        <v>264</v>
      </c>
      <c r="P39" t="s">
        <v>264</v>
      </c>
      <c r="Q39" t="s">
        <v>264</v>
      </c>
      <c r="R39" t="s">
        <v>264</v>
      </c>
      <c r="S39" t="s">
        <v>264</v>
      </c>
      <c r="T39" t="s">
        <v>264</v>
      </c>
      <c r="U39" t="s">
        <v>264</v>
      </c>
      <c r="V39" t="s">
        <v>264</v>
      </c>
      <c r="W39" t="s">
        <v>264</v>
      </c>
      <c r="X39" t="s">
        <v>264</v>
      </c>
      <c r="Y39" t="s">
        <v>264</v>
      </c>
      <c r="Z39" t="s">
        <v>264</v>
      </c>
      <c r="AA39" t="s">
        <v>264</v>
      </c>
      <c r="AB39" t="s">
        <v>264</v>
      </c>
      <c r="AC39" t="s">
        <v>264</v>
      </c>
      <c r="AD39" t="s">
        <v>264</v>
      </c>
      <c r="AE39" t="s">
        <v>264</v>
      </c>
      <c r="AF39" t="s">
        <v>264</v>
      </c>
      <c r="AG39" t="s">
        <v>264</v>
      </c>
      <c r="AH39" t="s">
        <v>264</v>
      </c>
      <c r="AI39" t="s">
        <v>264</v>
      </c>
      <c r="AJ39" t="s">
        <v>264</v>
      </c>
      <c r="AK39" t="s">
        <v>264</v>
      </c>
      <c r="AL39" t="s">
        <v>264</v>
      </c>
      <c r="AM39" t="s">
        <v>264</v>
      </c>
      <c r="AN39" t="s">
        <v>264</v>
      </c>
      <c r="AO39" t="s">
        <v>264</v>
      </c>
      <c r="AP39" t="s">
        <v>264</v>
      </c>
      <c r="AQ39" t="s">
        <v>264</v>
      </c>
      <c r="AR39" t="s">
        <v>264</v>
      </c>
      <c r="AS39" t="s">
        <v>264</v>
      </c>
      <c r="AT39" t="s">
        <v>264</v>
      </c>
      <c r="AU39" t="s">
        <v>264</v>
      </c>
      <c r="AV39" t="s">
        <v>264</v>
      </c>
      <c r="AW39" t="s">
        <v>264</v>
      </c>
      <c r="AX39" t="s">
        <v>264</v>
      </c>
      <c r="AY39" t="s">
        <v>264</v>
      </c>
      <c r="AZ39" t="s">
        <v>264</v>
      </c>
    </row>
    <row r="40">
      <c r="A40" s="447" t="str">
        <f t="array" ref="A40:AZ40">TRANSPOSE(indirect(Exploits!B42&amp;"!A:A"))</f>
        <v>Fast Learner</v>
      </c>
      <c r="B40" t="s">
        <v>264</v>
      </c>
      <c r="C40" t="s">
        <v>264</v>
      </c>
      <c r="D40" t="s">
        <v>264</v>
      </c>
      <c r="E40" t="s">
        <v>264</v>
      </c>
      <c r="F40" t="s">
        <v>264</v>
      </c>
      <c r="G40" t="s">
        <v>264</v>
      </c>
      <c r="H40" t="s">
        <v>264</v>
      </c>
      <c r="I40" t="s">
        <v>264</v>
      </c>
      <c r="J40" t="s">
        <v>264</v>
      </c>
      <c r="K40" t="s">
        <v>264</v>
      </c>
      <c r="L40" t="s">
        <v>264</v>
      </c>
      <c r="M40" t="s">
        <v>264</v>
      </c>
      <c r="N40" t="s">
        <v>264</v>
      </c>
      <c r="O40" t="s">
        <v>264</v>
      </c>
      <c r="P40" t="s">
        <v>264</v>
      </c>
      <c r="Q40" t="s">
        <v>264</v>
      </c>
      <c r="R40" t="s">
        <v>264</v>
      </c>
      <c r="S40" t="s">
        <v>264</v>
      </c>
      <c r="T40" t="s">
        <v>264</v>
      </c>
      <c r="U40" t="s">
        <v>264</v>
      </c>
      <c r="V40" t="s">
        <v>264</v>
      </c>
      <c r="W40" t="s">
        <v>264</v>
      </c>
      <c r="X40" t="s">
        <v>264</v>
      </c>
      <c r="Y40" t="s">
        <v>264</v>
      </c>
      <c r="Z40" t="s">
        <v>264</v>
      </c>
      <c r="AA40" t="s">
        <v>264</v>
      </c>
      <c r="AB40" t="s">
        <v>264</v>
      </c>
      <c r="AC40" t="s">
        <v>264</v>
      </c>
      <c r="AD40" t="s">
        <v>264</v>
      </c>
      <c r="AE40" t="s">
        <v>264</v>
      </c>
      <c r="AF40" t="s">
        <v>264</v>
      </c>
      <c r="AG40" t="s">
        <v>264</v>
      </c>
      <c r="AH40" t="s">
        <v>264</v>
      </c>
      <c r="AI40" t="s">
        <v>264</v>
      </c>
      <c r="AJ40" t="s">
        <v>264</v>
      </c>
      <c r="AK40" t="s">
        <v>264</v>
      </c>
      <c r="AL40" t="s">
        <v>264</v>
      </c>
      <c r="AM40" t="s">
        <v>264</v>
      </c>
      <c r="AN40" t="s">
        <v>264</v>
      </c>
      <c r="AO40" t="s">
        <v>264</v>
      </c>
      <c r="AP40" t="s">
        <v>264</v>
      </c>
      <c r="AQ40" t="s">
        <v>264</v>
      </c>
      <c r="AR40" t="s">
        <v>264</v>
      </c>
      <c r="AS40" t="s">
        <v>264</v>
      </c>
      <c r="AT40" t="s">
        <v>264</v>
      </c>
      <c r="AU40" t="s">
        <v>264</v>
      </c>
      <c r="AV40" t="s">
        <v>264</v>
      </c>
      <c r="AW40" t="s">
        <v>264</v>
      </c>
      <c r="AX40" t="s">
        <v>264</v>
      </c>
      <c r="AY40" t="s">
        <v>264</v>
      </c>
      <c r="AZ40" t="s">
        <v>264</v>
      </c>
    </row>
    <row r="41">
      <c r="A41" s="447" t="str">
        <f t="array" ref="A41:AZ41">TRANSPOSE(indirect(Exploits!B43&amp;"!A:A"))</f>
        <v>Fast Learner</v>
      </c>
      <c r="B41" t="s">
        <v>264</v>
      </c>
      <c r="C41" t="s">
        <v>264</v>
      </c>
      <c r="D41" t="s">
        <v>264</v>
      </c>
      <c r="E41" t="s">
        <v>264</v>
      </c>
      <c r="F41" t="s">
        <v>264</v>
      </c>
      <c r="G41" t="s">
        <v>264</v>
      </c>
      <c r="H41" t="s">
        <v>264</v>
      </c>
      <c r="I41" t="s">
        <v>264</v>
      </c>
      <c r="J41" t="s">
        <v>264</v>
      </c>
      <c r="K41" t="s">
        <v>264</v>
      </c>
      <c r="L41" t="s">
        <v>264</v>
      </c>
      <c r="M41" t="s">
        <v>264</v>
      </c>
      <c r="N41" t="s">
        <v>264</v>
      </c>
      <c r="O41" t="s">
        <v>264</v>
      </c>
      <c r="P41" t="s">
        <v>264</v>
      </c>
      <c r="Q41" t="s">
        <v>264</v>
      </c>
      <c r="R41" t="s">
        <v>264</v>
      </c>
      <c r="S41" t="s">
        <v>264</v>
      </c>
      <c r="T41" t="s">
        <v>264</v>
      </c>
      <c r="U41" t="s">
        <v>264</v>
      </c>
      <c r="V41" t="s">
        <v>264</v>
      </c>
      <c r="W41" t="s">
        <v>264</v>
      </c>
      <c r="X41" t="s">
        <v>264</v>
      </c>
      <c r="Y41" t="s">
        <v>264</v>
      </c>
      <c r="Z41" t="s">
        <v>264</v>
      </c>
      <c r="AA41" t="s">
        <v>264</v>
      </c>
      <c r="AB41" t="s">
        <v>264</v>
      </c>
      <c r="AC41" t="s">
        <v>264</v>
      </c>
      <c r="AD41" t="s">
        <v>264</v>
      </c>
      <c r="AE41" t="s">
        <v>264</v>
      </c>
      <c r="AF41" t="s">
        <v>264</v>
      </c>
      <c r="AG41" t="s">
        <v>264</v>
      </c>
      <c r="AH41" t="s">
        <v>264</v>
      </c>
      <c r="AI41" t="s">
        <v>264</v>
      </c>
      <c r="AJ41" t="s">
        <v>264</v>
      </c>
      <c r="AK41" t="s">
        <v>264</v>
      </c>
      <c r="AL41" t="s">
        <v>264</v>
      </c>
      <c r="AM41" t="s">
        <v>264</v>
      </c>
      <c r="AN41" t="s">
        <v>264</v>
      </c>
      <c r="AO41" t="s">
        <v>264</v>
      </c>
      <c r="AP41" t="s">
        <v>264</v>
      </c>
      <c r="AQ41" t="s">
        <v>264</v>
      </c>
      <c r="AR41" t="s">
        <v>264</v>
      </c>
      <c r="AS41" t="s">
        <v>264</v>
      </c>
      <c r="AT41" t="s">
        <v>264</v>
      </c>
      <c r="AU41" t="s">
        <v>264</v>
      </c>
      <c r="AV41" t="s">
        <v>264</v>
      </c>
      <c r="AW41" t="s">
        <v>264</v>
      </c>
      <c r="AX41" t="s">
        <v>264</v>
      </c>
      <c r="AY41" t="s">
        <v>264</v>
      </c>
      <c r="AZ41" t="s">
        <v>264</v>
      </c>
    </row>
    <row r="42">
      <c r="A42" s="447" t="str">
        <f t="array" ref="A42:AZ42">TRANSPOSE(indirect(Exploits!B44&amp;"!A:A"))</f>
        <v>Fast Learner</v>
      </c>
      <c r="B42" t="s">
        <v>264</v>
      </c>
      <c r="C42" t="s">
        <v>264</v>
      </c>
      <c r="D42" t="s">
        <v>264</v>
      </c>
      <c r="E42" t="s">
        <v>264</v>
      </c>
      <c r="F42" t="s">
        <v>264</v>
      </c>
      <c r="G42" t="s">
        <v>264</v>
      </c>
      <c r="H42" t="s">
        <v>264</v>
      </c>
      <c r="I42" t="s">
        <v>264</v>
      </c>
      <c r="J42" t="s">
        <v>264</v>
      </c>
      <c r="K42" t="s">
        <v>264</v>
      </c>
      <c r="L42" t="s">
        <v>264</v>
      </c>
      <c r="M42" t="s">
        <v>264</v>
      </c>
      <c r="N42" t="s">
        <v>264</v>
      </c>
      <c r="O42" t="s">
        <v>264</v>
      </c>
      <c r="P42" t="s">
        <v>264</v>
      </c>
      <c r="Q42" t="s">
        <v>264</v>
      </c>
      <c r="R42" t="s">
        <v>264</v>
      </c>
      <c r="S42" t="s">
        <v>264</v>
      </c>
      <c r="T42" t="s">
        <v>264</v>
      </c>
      <c r="U42" t="s">
        <v>264</v>
      </c>
      <c r="V42" t="s">
        <v>264</v>
      </c>
      <c r="W42" t="s">
        <v>264</v>
      </c>
      <c r="X42" t="s">
        <v>264</v>
      </c>
      <c r="Y42" t="s">
        <v>264</v>
      </c>
      <c r="Z42" t="s">
        <v>264</v>
      </c>
      <c r="AA42" t="s">
        <v>264</v>
      </c>
      <c r="AB42" t="s">
        <v>264</v>
      </c>
      <c r="AC42" t="s">
        <v>264</v>
      </c>
      <c r="AD42" t="s">
        <v>264</v>
      </c>
      <c r="AE42" t="s">
        <v>264</v>
      </c>
      <c r="AF42" t="s">
        <v>264</v>
      </c>
      <c r="AG42" t="s">
        <v>264</v>
      </c>
      <c r="AH42" t="s">
        <v>264</v>
      </c>
      <c r="AI42" t="s">
        <v>264</v>
      </c>
      <c r="AJ42" t="s">
        <v>264</v>
      </c>
      <c r="AK42" t="s">
        <v>264</v>
      </c>
      <c r="AL42" t="s">
        <v>264</v>
      </c>
      <c r="AM42" t="s">
        <v>264</v>
      </c>
      <c r="AN42" t="s">
        <v>264</v>
      </c>
      <c r="AO42" t="s">
        <v>264</v>
      </c>
      <c r="AP42" t="s">
        <v>264</v>
      </c>
      <c r="AQ42" t="s">
        <v>264</v>
      </c>
      <c r="AR42" t="s">
        <v>264</v>
      </c>
      <c r="AS42" t="s">
        <v>264</v>
      </c>
      <c r="AT42" t="s">
        <v>264</v>
      </c>
      <c r="AU42" t="s">
        <v>264</v>
      </c>
      <c r="AV42" t="s">
        <v>264</v>
      </c>
      <c r="AW42" t="s">
        <v>264</v>
      </c>
      <c r="AX42" t="s">
        <v>264</v>
      </c>
      <c r="AY42" t="s">
        <v>264</v>
      </c>
      <c r="AZ42" t="s">
        <v>264</v>
      </c>
    </row>
    <row r="43">
      <c r="A43" s="447" t="str">
        <f t="array" ref="A43:AZ43">TRANSPOSE(indirect(Exploits!B45&amp;"!A:A"))</f>
        <v>Fast Learner</v>
      </c>
      <c r="B43" t="s">
        <v>264</v>
      </c>
      <c r="C43" t="s">
        <v>264</v>
      </c>
      <c r="D43" t="s">
        <v>264</v>
      </c>
      <c r="E43" t="s">
        <v>264</v>
      </c>
      <c r="F43" t="s">
        <v>264</v>
      </c>
      <c r="G43" t="s">
        <v>264</v>
      </c>
      <c r="H43" t="s">
        <v>264</v>
      </c>
      <c r="I43" t="s">
        <v>264</v>
      </c>
      <c r="J43" t="s">
        <v>264</v>
      </c>
      <c r="K43" t="s">
        <v>264</v>
      </c>
      <c r="L43" t="s">
        <v>264</v>
      </c>
      <c r="M43" t="s">
        <v>264</v>
      </c>
      <c r="N43" t="s">
        <v>264</v>
      </c>
      <c r="O43" t="s">
        <v>264</v>
      </c>
      <c r="P43" t="s">
        <v>264</v>
      </c>
      <c r="Q43" t="s">
        <v>264</v>
      </c>
      <c r="R43" t="s">
        <v>264</v>
      </c>
      <c r="S43" t="s">
        <v>264</v>
      </c>
      <c r="T43" t="s">
        <v>264</v>
      </c>
      <c r="U43" t="s">
        <v>264</v>
      </c>
      <c r="V43" t="s">
        <v>264</v>
      </c>
      <c r="W43" t="s">
        <v>264</v>
      </c>
      <c r="X43" t="s">
        <v>264</v>
      </c>
      <c r="Y43" t="s">
        <v>264</v>
      </c>
      <c r="Z43" t="s">
        <v>264</v>
      </c>
      <c r="AA43" t="s">
        <v>264</v>
      </c>
      <c r="AB43" t="s">
        <v>264</v>
      </c>
      <c r="AC43" t="s">
        <v>264</v>
      </c>
      <c r="AD43" t="s">
        <v>264</v>
      </c>
      <c r="AE43" t="s">
        <v>264</v>
      </c>
      <c r="AF43" t="s">
        <v>264</v>
      </c>
      <c r="AG43" t="s">
        <v>264</v>
      </c>
      <c r="AH43" t="s">
        <v>264</v>
      </c>
      <c r="AI43" t="s">
        <v>264</v>
      </c>
      <c r="AJ43" t="s">
        <v>264</v>
      </c>
      <c r="AK43" t="s">
        <v>264</v>
      </c>
      <c r="AL43" t="s">
        <v>264</v>
      </c>
      <c r="AM43" t="s">
        <v>264</v>
      </c>
      <c r="AN43" t="s">
        <v>264</v>
      </c>
      <c r="AO43" t="s">
        <v>264</v>
      </c>
      <c r="AP43" t="s">
        <v>264</v>
      </c>
      <c r="AQ43" t="s">
        <v>264</v>
      </c>
      <c r="AR43" t="s">
        <v>264</v>
      </c>
      <c r="AS43" t="s">
        <v>264</v>
      </c>
      <c r="AT43" t="s">
        <v>264</v>
      </c>
      <c r="AU43" t="s">
        <v>264</v>
      </c>
      <c r="AV43" t="s">
        <v>264</v>
      </c>
      <c r="AW43" t="s">
        <v>264</v>
      </c>
      <c r="AX43" t="s">
        <v>264</v>
      </c>
      <c r="AY43" t="s">
        <v>264</v>
      </c>
      <c r="AZ43" t="s">
        <v>264</v>
      </c>
    </row>
    <row r="44">
      <c r="A44" s="447" t="str">
        <f t="array" ref="A44:AZ44">TRANSPOSE(indirect(Exploits!B46&amp;"!A:A"))</f>
        <v>Fast Learner</v>
      </c>
      <c r="B44" t="s">
        <v>264</v>
      </c>
      <c r="C44" t="s">
        <v>264</v>
      </c>
      <c r="D44" t="s">
        <v>264</v>
      </c>
      <c r="E44" t="s">
        <v>264</v>
      </c>
      <c r="F44" t="s">
        <v>264</v>
      </c>
      <c r="G44" t="s">
        <v>264</v>
      </c>
      <c r="H44" t="s">
        <v>264</v>
      </c>
      <c r="I44" t="s">
        <v>264</v>
      </c>
      <c r="J44" t="s">
        <v>264</v>
      </c>
      <c r="K44" t="s">
        <v>264</v>
      </c>
      <c r="L44" t="s">
        <v>264</v>
      </c>
      <c r="M44" t="s">
        <v>264</v>
      </c>
      <c r="N44" t="s">
        <v>264</v>
      </c>
      <c r="O44" t="s">
        <v>264</v>
      </c>
      <c r="P44" t="s">
        <v>264</v>
      </c>
      <c r="Q44" t="s">
        <v>264</v>
      </c>
      <c r="R44" t="s">
        <v>264</v>
      </c>
      <c r="S44" t="s">
        <v>264</v>
      </c>
      <c r="T44" t="s">
        <v>264</v>
      </c>
      <c r="U44" t="s">
        <v>264</v>
      </c>
      <c r="V44" t="s">
        <v>264</v>
      </c>
      <c r="W44" t="s">
        <v>264</v>
      </c>
      <c r="X44" t="s">
        <v>264</v>
      </c>
      <c r="Y44" t="s">
        <v>264</v>
      </c>
      <c r="Z44" t="s">
        <v>264</v>
      </c>
      <c r="AA44" t="s">
        <v>264</v>
      </c>
      <c r="AB44" t="s">
        <v>264</v>
      </c>
      <c r="AC44" t="s">
        <v>264</v>
      </c>
      <c r="AD44" t="s">
        <v>264</v>
      </c>
      <c r="AE44" t="s">
        <v>264</v>
      </c>
      <c r="AF44" t="s">
        <v>264</v>
      </c>
      <c r="AG44" t="s">
        <v>264</v>
      </c>
      <c r="AH44" t="s">
        <v>264</v>
      </c>
      <c r="AI44" t="s">
        <v>264</v>
      </c>
      <c r="AJ44" t="s">
        <v>264</v>
      </c>
      <c r="AK44" t="s">
        <v>264</v>
      </c>
      <c r="AL44" t="s">
        <v>264</v>
      </c>
      <c r="AM44" t="s">
        <v>264</v>
      </c>
      <c r="AN44" t="s">
        <v>264</v>
      </c>
      <c r="AO44" t="s">
        <v>264</v>
      </c>
      <c r="AP44" t="s">
        <v>264</v>
      </c>
      <c r="AQ44" t="s">
        <v>264</v>
      </c>
      <c r="AR44" t="s">
        <v>264</v>
      </c>
      <c r="AS44" t="s">
        <v>264</v>
      </c>
      <c r="AT44" t="s">
        <v>264</v>
      </c>
      <c r="AU44" t="s">
        <v>264</v>
      </c>
      <c r="AV44" t="s">
        <v>264</v>
      </c>
      <c r="AW44" t="s">
        <v>264</v>
      </c>
      <c r="AX44" t="s">
        <v>264</v>
      </c>
      <c r="AY44" t="s">
        <v>264</v>
      </c>
      <c r="AZ44" t="s">
        <v>264</v>
      </c>
    </row>
    <row r="45">
      <c r="A45" s="447" t="str">
        <f t="array" ref="A45:AZ45">TRANSPOSE(indirect(Exploits!B47&amp;"!A:A"))</f>
        <v>Fast Learner</v>
      </c>
      <c r="B45" t="s">
        <v>264</v>
      </c>
      <c r="C45" t="s">
        <v>264</v>
      </c>
      <c r="D45" t="s">
        <v>264</v>
      </c>
      <c r="E45" t="s">
        <v>264</v>
      </c>
      <c r="F45" t="s">
        <v>264</v>
      </c>
      <c r="G45" t="s">
        <v>264</v>
      </c>
      <c r="H45" t="s">
        <v>264</v>
      </c>
      <c r="I45" t="s">
        <v>264</v>
      </c>
      <c r="J45" t="s">
        <v>264</v>
      </c>
      <c r="K45" t="s">
        <v>264</v>
      </c>
      <c r="L45" t="s">
        <v>264</v>
      </c>
      <c r="M45" t="s">
        <v>264</v>
      </c>
      <c r="N45" t="s">
        <v>264</v>
      </c>
      <c r="O45" t="s">
        <v>264</v>
      </c>
      <c r="P45" t="s">
        <v>264</v>
      </c>
      <c r="Q45" t="s">
        <v>264</v>
      </c>
      <c r="R45" t="s">
        <v>264</v>
      </c>
      <c r="S45" t="s">
        <v>264</v>
      </c>
      <c r="T45" t="s">
        <v>264</v>
      </c>
      <c r="U45" t="s">
        <v>264</v>
      </c>
      <c r="V45" t="s">
        <v>264</v>
      </c>
      <c r="W45" t="s">
        <v>264</v>
      </c>
      <c r="X45" t="s">
        <v>264</v>
      </c>
      <c r="Y45" t="s">
        <v>264</v>
      </c>
      <c r="Z45" t="s">
        <v>264</v>
      </c>
      <c r="AA45" t="s">
        <v>264</v>
      </c>
      <c r="AB45" t="s">
        <v>264</v>
      </c>
      <c r="AC45" t="s">
        <v>264</v>
      </c>
      <c r="AD45" t="s">
        <v>264</v>
      </c>
      <c r="AE45" t="s">
        <v>264</v>
      </c>
      <c r="AF45" t="s">
        <v>264</v>
      </c>
      <c r="AG45" t="s">
        <v>264</v>
      </c>
      <c r="AH45" t="s">
        <v>264</v>
      </c>
      <c r="AI45" t="s">
        <v>264</v>
      </c>
      <c r="AJ45" t="s">
        <v>264</v>
      </c>
      <c r="AK45" t="s">
        <v>264</v>
      </c>
      <c r="AL45" t="s">
        <v>264</v>
      </c>
      <c r="AM45" t="s">
        <v>264</v>
      </c>
      <c r="AN45" t="s">
        <v>264</v>
      </c>
      <c r="AO45" t="s">
        <v>264</v>
      </c>
      <c r="AP45" t="s">
        <v>264</v>
      </c>
      <c r="AQ45" t="s">
        <v>264</v>
      </c>
      <c r="AR45" t="s">
        <v>264</v>
      </c>
      <c r="AS45" t="s">
        <v>264</v>
      </c>
      <c r="AT45" t="s">
        <v>264</v>
      </c>
      <c r="AU45" t="s">
        <v>264</v>
      </c>
      <c r="AV45" t="s">
        <v>264</v>
      </c>
      <c r="AW45" t="s">
        <v>264</v>
      </c>
      <c r="AX45" t="s">
        <v>264</v>
      </c>
      <c r="AY45" t="s">
        <v>264</v>
      </c>
      <c r="AZ45" t="s">
        <v>264</v>
      </c>
    </row>
    <row r="46">
      <c r="A46" s="447" t="str">
        <f t="array" ref="A46:AZ46">TRANSPOSE(indirect(Exploits!B48&amp;"!A:A"))</f>
        <v>Fast Learner</v>
      </c>
      <c r="B46" t="s">
        <v>264</v>
      </c>
      <c r="C46" t="s">
        <v>264</v>
      </c>
      <c r="D46" t="s">
        <v>264</v>
      </c>
      <c r="E46" t="s">
        <v>264</v>
      </c>
      <c r="F46" t="s">
        <v>264</v>
      </c>
      <c r="G46" t="s">
        <v>264</v>
      </c>
      <c r="H46" t="s">
        <v>264</v>
      </c>
      <c r="I46" t="s">
        <v>264</v>
      </c>
      <c r="J46" t="s">
        <v>264</v>
      </c>
      <c r="K46" t="s">
        <v>264</v>
      </c>
      <c r="L46" t="s">
        <v>264</v>
      </c>
      <c r="M46" t="s">
        <v>264</v>
      </c>
      <c r="N46" t="s">
        <v>264</v>
      </c>
      <c r="O46" t="s">
        <v>264</v>
      </c>
      <c r="P46" t="s">
        <v>264</v>
      </c>
      <c r="Q46" t="s">
        <v>264</v>
      </c>
      <c r="R46" t="s">
        <v>264</v>
      </c>
      <c r="S46" t="s">
        <v>264</v>
      </c>
      <c r="T46" t="s">
        <v>264</v>
      </c>
      <c r="U46" t="s">
        <v>264</v>
      </c>
      <c r="V46" t="s">
        <v>264</v>
      </c>
      <c r="W46" t="s">
        <v>264</v>
      </c>
      <c r="X46" t="s">
        <v>264</v>
      </c>
      <c r="Y46" t="s">
        <v>264</v>
      </c>
      <c r="Z46" t="s">
        <v>264</v>
      </c>
      <c r="AA46" t="s">
        <v>264</v>
      </c>
      <c r="AB46" t="s">
        <v>264</v>
      </c>
      <c r="AC46" t="s">
        <v>264</v>
      </c>
      <c r="AD46" t="s">
        <v>264</v>
      </c>
      <c r="AE46" t="s">
        <v>264</v>
      </c>
      <c r="AF46" t="s">
        <v>264</v>
      </c>
      <c r="AG46" t="s">
        <v>264</v>
      </c>
      <c r="AH46" t="s">
        <v>264</v>
      </c>
      <c r="AI46" t="s">
        <v>264</v>
      </c>
      <c r="AJ46" t="s">
        <v>264</v>
      </c>
      <c r="AK46" t="s">
        <v>264</v>
      </c>
      <c r="AL46" t="s">
        <v>264</v>
      </c>
      <c r="AM46" t="s">
        <v>264</v>
      </c>
      <c r="AN46" t="s">
        <v>264</v>
      </c>
      <c r="AO46" t="s">
        <v>264</v>
      </c>
      <c r="AP46" t="s">
        <v>264</v>
      </c>
      <c r="AQ46" t="s">
        <v>264</v>
      </c>
      <c r="AR46" t="s">
        <v>264</v>
      </c>
      <c r="AS46" t="s">
        <v>264</v>
      </c>
      <c r="AT46" t="s">
        <v>264</v>
      </c>
      <c r="AU46" t="s">
        <v>264</v>
      </c>
      <c r="AV46" t="s">
        <v>264</v>
      </c>
      <c r="AW46" t="s">
        <v>264</v>
      </c>
      <c r="AX46" t="s">
        <v>264</v>
      </c>
      <c r="AY46" t="s">
        <v>264</v>
      </c>
      <c r="AZ46" t="s">
        <v>264</v>
      </c>
    </row>
    <row r="47">
      <c r="A47" s="447" t="str">
        <f t="array" ref="A47:AZ47">TRANSPOSE(indirect(Exploits!B49&amp;"!A:A"))</f>
        <v>Fast Learner</v>
      </c>
      <c r="B47" t="s">
        <v>264</v>
      </c>
      <c r="C47" t="s">
        <v>264</v>
      </c>
      <c r="D47" t="s">
        <v>264</v>
      </c>
      <c r="E47" t="s">
        <v>264</v>
      </c>
      <c r="F47" t="s">
        <v>264</v>
      </c>
      <c r="G47" t="s">
        <v>264</v>
      </c>
      <c r="H47" t="s">
        <v>264</v>
      </c>
      <c r="I47" t="s">
        <v>264</v>
      </c>
      <c r="J47" t="s">
        <v>264</v>
      </c>
      <c r="K47" t="s">
        <v>264</v>
      </c>
      <c r="L47" t="s">
        <v>264</v>
      </c>
      <c r="M47" t="s">
        <v>264</v>
      </c>
      <c r="N47" t="s">
        <v>264</v>
      </c>
      <c r="O47" t="s">
        <v>264</v>
      </c>
      <c r="P47" t="s">
        <v>264</v>
      </c>
      <c r="Q47" t="s">
        <v>264</v>
      </c>
      <c r="R47" t="s">
        <v>264</v>
      </c>
      <c r="S47" t="s">
        <v>264</v>
      </c>
      <c r="T47" t="s">
        <v>264</v>
      </c>
      <c r="U47" t="s">
        <v>264</v>
      </c>
      <c r="V47" t="s">
        <v>264</v>
      </c>
      <c r="W47" t="s">
        <v>264</v>
      </c>
      <c r="X47" t="s">
        <v>264</v>
      </c>
      <c r="Y47" t="s">
        <v>264</v>
      </c>
      <c r="Z47" t="s">
        <v>264</v>
      </c>
      <c r="AA47" t="s">
        <v>264</v>
      </c>
      <c r="AB47" t="s">
        <v>264</v>
      </c>
      <c r="AC47" t="s">
        <v>264</v>
      </c>
      <c r="AD47" t="s">
        <v>264</v>
      </c>
      <c r="AE47" t="s">
        <v>264</v>
      </c>
      <c r="AF47" t="s">
        <v>264</v>
      </c>
      <c r="AG47" t="s">
        <v>264</v>
      </c>
      <c r="AH47" t="s">
        <v>264</v>
      </c>
      <c r="AI47" t="s">
        <v>264</v>
      </c>
      <c r="AJ47" t="s">
        <v>264</v>
      </c>
      <c r="AK47" t="s">
        <v>264</v>
      </c>
      <c r="AL47" t="s">
        <v>264</v>
      </c>
      <c r="AM47" t="s">
        <v>264</v>
      </c>
      <c r="AN47" t="s">
        <v>264</v>
      </c>
      <c r="AO47" t="s">
        <v>264</v>
      </c>
      <c r="AP47" t="s">
        <v>264</v>
      </c>
      <c r="AQ47" t="s">
        <v>264</v>
      </c>
      <c r="AR47" t="s">
        <v>264</v>
      </c>
      <c r="AS47" t="s">
        <v>264</v>
      </c>
      <c r="AT47" t="s">
        <v>264</v>
      </c>
      <c r="AU47" t="s">
        <v>264</v>
      </c>
      <c r="AV47" t="s">
        <v>264</v>
      </c>
      <c r="AW47" t="s">
        <v>264</v>
      </c>
      <c r="AX47" t="s">
        <v>264</v>
      </c>
      <c r="AY47" t="s">
        <v>264</v>
      </c>
      <c r="AZ47" t="s">
        <v>264</v>
      </c>
    </row>
    <row r="48">
      <c r="A48" s="447" t="str">
        <f t="array" ref="A48:AZ48">TRANSPOSE(indirect(Exploits!B50&amp;"!A:A"))</f>
        <v>Fast Learner</v>
      </c>
      <c r="B48" t="s">
        <v>264</v>
      </c>
      <c r="C48" t="s">
        <v>264</v>
      </c>
      <c r="D48" t="s">
        <v>264</v>
      </c>
      <c r="E48" t="s">
        <v>264</v>
      </c>
      <c r="F48" t="s">
        <v>264</v>
      </c>
      <c r="G48" t="s">
        <v>264</v>
      </c>
      <c r="H48" t="s">
        <v>264</v>
      </c>
      <c r="I48" t="s">
        <v>264</v>
      </c>
      <c r="J48" t="s">
        <v>264</v>
      </c>
      <c r="K48" t="s">
        <v>264</v>
      </c>
      <c r="L48" t="s">
        <v>264</v>
      </c>
      <c r="M48" t="s">
        <v>264</v>
      </c>
      <c r="N48" t="s">
        <v>264</v>
      </c>
      <c r="O48" t="s">
        <v>264</v>
      </c>
      <c r="P48" t="s">
        <v>264</v>
      </c>
      <c r="Q48" t="s">
        <v>264</v>
      </c>
      <c r="R48" t="s">
        <v>264</v>
      </c>
      <c r="S48" t="s">
        <v>264</v>
      </c>
      <c r="T48" t="s">
        <v>264</v>
      </c>
      <c r="U48" t="s">
        <v>264</v>
      </c>
      <c r="V48" t="s">
        <v>264</v>
      </c>
      <c r="W48" t="s">
        <v>264</v>
      </c>
      <c r="X48" t="s">
        <v>264</v>
      </c>
      <c r="Y48" t="s">
        <v>264</v>
      </c>
      <c r="Z48" t="s">
        <v>264</v>
      </c>
      <c r="AA48" t="s">
        <v>264</v>
      </c>
      <c r="AB48" t="s">
        <v>264</v>
      </c>
      <c r="AC48" t="s">
        <v>264</v>
      </c>
      <c r="AD48" t="s">
        <v>264</v>
      </c>
      <c r="AE48" t="s">
        <v>264</v>
      </c>
      <c r="AF48" t="s">
        <v>264</v>
      </c>
      <c r="AG48" t="s">
        <v>264</v>
      </c>
      <c r="AH48" t="s">
        <v>264</v>
      </c>
      <c r="AI48" t="s">
        <v>264</v>
      </c>
      <c r="AJ48" t="s">
        <v>264</v>
      </c>
      <c r="AK48" t="s">
        <v>264</v>
      </c>
      <c r="AL48" t="s">
        <v>264</v>
      </c>
      <c r="AM48" t="s">
        <v>264</v>
      </c>
      <c r="AN48" t="s">
        <v>264</v>
      </c>
      <c r="AO48" t="s">
        <v>264</v>
      </c>
      <c r="AP48" t="s">
        <v>264</v>
      </c>
      <c r="AQ48" t="s">
        <v>264</v>
      </c>
      <c r="AR48" t="s">
        <v>264</v>
      </c>
      <c r="AS48" t="s">
        <v>264</v>
      </c>
      <c r="AT48" t="s">
        <v>264</v>
      </c>
      <c r="AU48" t="s">
        <v>264</v>
      </c>
      <c r="AV48" t="s">
        <v>264</v>
      </c>
      <c r="AW48" t="s">
        <v>264</v>
      </c>
      <c r="AX48" t="s">
        <v>264</v>
      </c>
      <c r="AY48" t="s">
        <v>264</v>
      </c>
      <c r="AZ48" t="s">
        <v>264</v>
      </c>
    </row>
    <row r="49">
      <c r="A49" s="447" t="str">
        <f t="array" ref="A49:AZ49">TRANSPOSE(indirect(Exploits!B51&amp;"!A:A"))</f>
        <v>Fast Learner</v>
      </c>
      <c r="B49" t="s">
        <v>264</v>
      </c>
      <c r="C49" t="s">
        <v>264</v>
      </c>
      <c r="D49" t="s">
        <v>264</v>
      </c>
      <c r="E49" t="s">
        <v>264</v>
      </c>
      <c r="F49" t="s">
        <v>264</v>
      </c>
      <c r="G49" t="s">
        <v>264</v>
      </c>
      <c r="H49" t="s">
        <v>264</v>
      </c>
      <c r="I49" t="s">
        <v>264</v>
      </c>
      <c r="J49" t="s">
        <v>264</v>
      </c>
      <c r="K49" t="s">
        <v>264</v>
      </c>
      <c r="L49" t="s">
        <v>264</v>
      </c>
      <c r="M49" t="s">
        <v>264</v>
      </c>
      <c r="N49" t="s">
        <v>264</v>
      </c>
      <c r="O49" t="s">
        <v>264</v>
      </c>
      <c r="P49" t="s">
        <v>264</v>
      </c>
      <c r="Q49" t="s">
        <v>264</v>
      </c>
      <c r="R49" t="s">
        <v>264</v>
      </c>
      <c r="S49" t="s">
        <v>264</v>
      </c>
      <c r="T49" t="s">
        <v>264</v>
      </c>
      <c r="U49" t="s">
        <v>264</v>
      </c>
      <c r="V49" t="s">
        <v>264</v>
      </c>
      <c r="W49" t="s">
        <v>264</v>
      </c>
      <c r="X49" t="s">
        <v>264</v>
      </c>
      <c r="Y49" t="s">
        <v>264</v>
      </c>
      <c r="Z49" t="s">
        <v>264</v>
      </c>
      <c r="AA49" t="s">
        <v>264</v>
      </c>
      <c r="AB49" t="s">
        <v>264</v>
      </c>
      <c r="AC49" t="s">
        <v>264</v>
      </c>
      <c r="AD49" t="s">
        <v>264</v>
      </c>
      <c r="AE49" t="s">
        <v>264</v>
      </c>
      <c r="AF49" t="s">
        <v>264</v>
      </c>
      <c r="AG49" t="s">
        <v>264</v>
      </c>
      <c r="AH49" t="s">
        <v>264</v>
      </c>
      <c r="AI49" t="s">
        <v>264</v>
      </c>
      <c r="AJ49" t="s">
        <v>264</v>
      </c>
      <c r="AK49" t="s">
        <v>264</v>
      </c>
      <c r="AL49" t="s">
        <v>264</v>
      </c>
      <c r="AM49" t="s">
        <v>264</v>
      </c>
      <c r="AN49" t="s">
        <v>264</v>
      </c>
      <c r="AO49" t="s">
        <v>264</v>
      </c>
      <c r="AP49" t="s">
        <v>264</v>
      </c>
      <c r="AQ49" t="s">
        <v>264</v>
      </c>
      <c r="AR49" t="s">
        <v>264</v>
      </c>
      <c r="AS49" t="s">
        <v>264</v>
      </c>
      <c r="AT49" t="s">
        <v>264</v>
      </c>
      <c r="AU49" t="s">
        <v>264</v>
      </c>
      <c r="AV49" t="s">
        <v>264</v>
      </c>
      <c r="AW49" t="s">
        <v>264</v>
      </c>
      <c r="AX49" t="s">
        <v>264</v>
      </c>
      <c r="AY49" t="s">
        <v>264</v>
      </c>
      <c r="AZ49" t="s">
        <v>264</v>
      </c>
    </row>
    <row r="50">
      <c r="A50" s="447" t="str">
        <f t="array" ref="A50:AZ50">TRANSPOSE(indirect(Exploits!B52&amp;"!A:A"))</f>
        <v>Fast Learner</v>
      </c>
      <c r="B50" t="s">
        <v>264</v>
      </c>
      <c r="C50" t="s">
        <v>264</v>
      </c>
      <c r="D50" t="s">
        <v>264</v>
      </c>
      <c r="E50" t="s">
        <v>264</v>
      </c>
      <c r="F50" t="s">
        <v>264</v>
      </c>
      <c r="G50" t="s">
        <v>264</v>
      </c>
      <c r="H50" t="s">
        <v>264</v>
      </c>
      <c r="I50" t="s">
        <v>264</v>
      </c>
      <c r="J50" t="s">
        <v>264</v>
      </c>
      <c r="K50" t="s">
        <v>264</v>
      </c>
      <c r="L50" t="s">
        <v>264</v>
      </c>
      <c r="M50" t="s">
        <v>264</v>
      </c>
      <c r="N50" t="s">
        <v>264</v>
      </c>
      <c r="O50" t="s">
        <v>264</v>
      </c>
      <c r="P50" t="s">
        <v>264</v>
      </c>
      <c r="Q50" t="s">
        <v>264</v>
      </c>
      <c r="R50" t="s">
        <v>264</v>
      </c>
      <c r="S50" t="s">
        <v>264</v>
      </c>
      <c r="T50" t="s">
        <v>264</v>
      </c>
      <c r="U50" t="s">
        <v>264</v>
      </c>
      <c r="V50" t="s">
        <v>264</v>
      </c>
      <c r="W50" t="s">
        <v>264</v>
      </c>
      <c r="X50" t="s">
        <v>264</v>
      </c>
      <c r="Y50" t="s">
        <v>264</v>
      </c>
      <c r="Z50" t="s">
        <v>264</v>
      </c>
      <c r="AA50" t="s">
        <v>264</v>
      </c>
      <c r="AB50" t="s">
        <v>264</v>
      </c>
      <c r="AC50" t="s">
        <v>264</v>
      </c>
      <c r="AD50" t="s">
        <v>264</v>
      </c>
      <c r="AE50" t="s">
        <v>264</v>
      </c>
      <c r="AF50" t="s">
        <v>264</v>
      </c>
      <c r="AG50" t="s">
        <v>264</v>
      </c>
      <c r="AH50" t="s">
        <v>264</v>
      </c>
      <c r="AI50" t="s">
        <v>264</v>
      </c>
      <c r="AJ50" t="s">
        <v>264</v>
      </c>
      <c r="AK50" t="s">
        <v>264</v>
      </c>
      <c r="AL50" t="s">
        <v>264</v>
      </c>
      <c r="AM50" t="s">
        <v>264</v>
      </c>
      <c r="AN50" t="s">
        <v>264</v>
      </c>
      <c r="AO50" t="s">
        <v>264</v>
      </c>
      <c r="AP50" t="s">
        <v>264</v>
      </c>
      <c r="AQ50" t="s">
        <v>264</v>
      </c>
      <c r="AR50" t="s">
        <v>264</v>
      </c>
      <c r="AS50" t="s">
        <v>264</v>
      </c>
      <c r="AT50" t="s">
        <v>264</v>
      </c>
      <c r="AU50" t="s">
        <v>264</v>
      </c>
      <c r="AV50" t="s">
        <v>264</v>
      </c>
      <c r="AW50" t="s">
        <v>264</v>
      </c>
      <c r="AX50" t="s">
        <v>264</v>
      </c>
      <c r="AY50" t="s">
        <v>264</v>
      </c>
      <c r="AZ50" t="s">
        <v>264</v>
      </c>
    </row>
    <row r="51">
      <c r="A51" s="447" t="str">
        <f t="array" ref="A51:AZ51">TRANSPOSE(indirect(Exploits!B53&amp;"!A:A"))</f>
        <v>Fast Learner</v>
      </c>
      <c r="B51" t="s">
        <v>264</v>
      </c>
      <c r="C51" t="s">
        <v>264</v>
      </c>
      <c r="D51" t="s">
        <v>264</v>
      </c>
      <c r="E51" t="s">
        <v>264</v>
      </c>
      <c r="F51" t="s">
        <v>264</v>
      </c>
      <c r="G51" t="s">
        <v>264</v>
      </c>
      <c r="H51" t="s">
        <v>264</v>
      </c>
      <c r="I51" t="s">
        <v>264</v>
      </c>
      <c r="J51" t="s">
        <v>264</v>
      </c>
      <c r="K51" t="s">
        <v>264</v>
      </c>
      <c r="L51" t="s">
        <v>264</v>
      </c>
      <c r="M51" t="s">
        <v>264</v>
      </c>
      <c r="N51" t="s">
        <v>264</v>
      </c>
      <c r="O51" t="s">
        <v>264</v>
      </c>
      <c r="P51" t="s">
        <v>264</v>
      </c>
      <c r="Q51" t="s">
        <v>264</v>
      </c>
      <c r="R51" t="s">
        <v>264</v>
      </c>
      <c r="S51" t="s">
        <v>264</v>
      </c>
      <c r="T51" t="s">
        <v>264</v>
      </c>
      <c r="U51" t="s">
        <v>264</v>
      </c>
      <c r="V51" t="s">
        <v>264</v>
      </c>
      <c r="W51" t="s">
        <v>264</v>
      </c>
      <c r="X51" t="s">
        <v>264</v>
      </c>
      <c r="Y51" t="s">
        <v>264</v>
      </c>
      <c r="Z51" t="s">
        <v>264</v>
      </c>
      <c r="AA51" t="s">
        <v>264</v>
      </c>
      <c r="AB51" t="s">
        <v>264</v>
      </c>
      <c r="AC51" t="s">
        <v>264</v>
      </c>
      <c r="AD51" t="s">
        <v>264</v>
      </c>
      <c r="AE51" t="s">
        <v>264</v>
      </c>
      <c r="AF51" t="s">
        <v>264</v>
      </c>
      <c r="AG51" t="s">
        <v>264</v>
      </c>
      <c r="AH51" t="s">
        <v>264</v>
      </c>
      <c r="AI51" t="s">
        <v>264</v>
      </c>
      <c r="AJ51" t="s">
        <v>264</v>
      </c>
      <c r="AK51" t="s">
        <v>264</v>
      </c>
      <c r="AL51" t="s">
        <v>264</v>
      </c>
      <c r="AM51" t="s">
        <v>264</v>
      </c>
      <c r="AN51" t="s">
        <v>264</v>
      </c>
      <c r="AO51" t="s">
        <v>264</v>
      </c>
      <c r="AP51" t="s">
        <v>264</v>
      </c>
      <c r="AQ51" t="s">
        <v>264</v>
      </c>
      <c r="AR51" t="s">
        <v>264</v>
      </c>
      <c r="AS51" t="s">
        <v>264</v>
      </c>
      <c r="AT51" t="s">
        <v>264</v>
      </c>
      <c r="AU51" t="s">
        <v>264</v>
      </c>
      <c r="AV51" t="s">
        <v>264</v>
      </c>
      <c r="AW51" t="s">
        <v>264</v>
      </c>
      <c r="AX51" t="s">
        <v>264</v>
      </c>
      <c r="AY51" t="s">
        <v>264</v>
      </c>
      <c r="AZ51" t="s">
        <v>264</v>
      </c>
    </row>
    <row r="52">
      <c r="A52" s="447" t="str">
        <f t="array" ref="A52:AZ52">TRANSPOSE(indirect(Exploits!B54&amp;"!A:A"))</f>
        <v>Fast Learner</v>
      </c>
      <c r="B52" t="s">
        <v>264</v>
      </c>
      <c r="C52" t="s">
        <v>264</v>
      </c>
      <c r="D52" t="s">
        <v>264</v>
      </c>
      <c r="E52" t="s">
        <v>264</v>
      </c>
      <c r="F52" t="s">
        <v>264</v>
      </c>
      <c r="G52" t="s">
        <v>264</v>
      </c>
      <c r="H52" t="s">
        <v>264</v>
      </c>
      <c r="I52" t="s">
        <v>264</v>
      </c>
      <c r="J52" t="s">
        <v>264</v>
      </c>
      <c r="K52" t="s">
        <v>264</v>
      </c>
      <c r="L52" t="s">
        <v>264</v>
      </c>
      <c r="M52" t="s">
        <v>264</v>
      </c>
      <c r="N52" t="s">
        <v>264</v>
      </c>
      <c r="O52" t="s">
        <v>264</v>
      </c>
      <c r="P52" t="s">
        <v>264</v>
      </c>
      <c r="Q52" t="s">
        <v>264</v>
      </c>
      <c r="R52" t="s">
        <v>264</v>
      </c>
      <c r="S52" t="s">
        <v>264</v>
      </c>
      <c r="T52" t="s">
        <v>264</v>
      </c>
      <c r="U52" t="s">
        <v>264</v>
      </c>
      <c r="V52" t="s">
        <v>264</v>
      </c>
      <c r="W52" t="s">
        <v>264</v>
      </c>
      <c r="X52" t="s">
        <v>264</v>
      </c>
      <c r="Y52" t="s">
        <v>264</v>
      </c>
      <c r="Z52" t="s">
        <v>264</v>
      </c>
      <c r="AA52" t="s">
        <v>264</v>
      </c>
      <c r="AB52" t="s">
        <v>264</v>
      </c>
      <c r="AC52" t="s">
        <v>264</v>
      </c>
      <c r="AD52" t="s">
        <v>264</v>
      </c>
      <c r="AE52" t="s">
        <v>264</v>
      </c>
      <c r="AF52" t="s">
        <v>264</v>
      </c>
      <c r="AG52" t="s">
        <v>264</v>
      </c>
      <c r="AH52" t="s">
        <v>264</v>
      </c>
      <c r="AI52" t="s">
        <v>264</v>
      </c>
      <c r="AJ52" t="s">
        <v>264</v>
      </c>
      <c r="AK52" t="s">
        <v>264</v>
      </c>
      <c r="AL52" t="s">
        <v>264</v>
      </c>
      <c r="AM52" t="s">
        <v>264</v>
      </c>
      <c r="AN52" t="s">
        <v>264</v>
      </c>
      <c r="AO52" t="s">
        <v>264</v>
      </c>
      <c r="AP52" t="s">
        <v>264</v>
      </c>
      <c r="AQ52" t="s">
        <v>264</v>
      </c>
      <c r="AR52" t="s">
        <v>264</v>
      </c>
      <c r="AS52" t="s">
        <v>264</v>
      </c>
      <c r="AT52" t="s">
        <v>264</v>
      </c>
      <c r="AU52" t="s">
        <v>264</v>
      </c>
      <c r="AV52" t="s">
        <v>264</v>
      </c>
      <c r="AW52" t="s">
        <v>264</v>
      </c>
      <c r="AX52" t="s">
        <v>264</v>
      </c>
      <c r="AY52" t="s">
        <v>264</v>
      </c>
      <c r="AZ52" t="s">
        <v>264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