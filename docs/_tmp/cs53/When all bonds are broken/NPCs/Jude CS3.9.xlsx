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Inventory" sheetId="2" r:id="rId5"/>
  </sheets>
  <definedNames>
    <definedName name="Torso1">Main!$V$8:$AD$9</definedName>
    <definedName name="FOCUSREGEN">Main!$E$17</definedName>
    <definedName name="ARMORTYPE1">#REF!</definedName>
    <definedName name="WEIGHT">Inventory!$L$40:$M$40</definedName>
    <definedName name="Head">Main!$M$3:$O$4</definedName>
    <definedName name="CRITICAL">Main!$F$20</definedName>
    <definedName name="RightUpperLeg2">#REF!</definedName>
    <definedName name="APTMOD">Main!$C$18</definedName>
    <definedName name="RightLowerLeg">Main!$M$18</definedName>
    <definedName name="INT">Main!$D$13</definedName>
    <definedName name="FOCUS">Main!$G$14:$G$15</definedName>
    <definedName name="FIRE">Main!$Q$4</definedName>
    <definedName name="LeftUpperLeg3">#REF!</definedName>
    <definedName name="REGENMOD">Main!$I$11</definedName>
    <definedName name="AGE">Main!$C$7</definedName>
    <definedName name="LIFESPAN">Main!$E$7</definedName>
    <definedName name="ELECTRICITY3">#REF!</definedName>
    <definedName name="FIRE1">Main!$AF$4</definedName>
    <definedName name="RightLowerArm3">#REF!</definedName>
    <definedName name="DMGAMOUNT">Main!$I$20</definedName>
    <definedName name="LeftUpperArm1">Main!$AF$8</definedName>
    <definedName name="LeftLowerArm">Main!$Q$11</definedName>
    <definedName name="Torso">Main!$M$8:$O$9</definedName>
    <definedName name="LeftLowerArm1">Main!$AF$11</definedName>
    <definedName name="RightUpperLeg">Main!$M$13:$M$14</definedName>
    <definedName name="FIRE2">#REF!</definedName>
    <definedName name="RightUpperArm2">Main!$AK$8</definedName>
    <definedName name="LeftUpperArm">Main!$Q$8</definedName>
    <definedName name="LeftLowerLeg">Main!$O$18</definedName>
    <definedName name="REGEN">Main!$E$17</definedName>
    <definedName name="LeftLowerLeg1">Main!$AD$18</definedName>
    <definedName name="CON">Main!$D$12</definedName>
    <definedName name="RightLowerArm1">#REF!</definedName>
    <definedName name="ELECTRICITY">Main!$Q$5</definedName>
    <definedName name="ACID1">Main!$AF$6</definedName>
    <definedName name="LeftUpperLeg1">Main!$AD$13:$AD$14</definedName>
    <definedName name="ARMORTYPE3">#REF!</definedName>
    <definedName name="Torso2">#REF!</definedName>
    <definedName name="RightUpperLeg3">#REF!</definedName>
    <definedName name="LeftLowerLeg3">#REF!</definedName>
    <definedName name="RightLowerLeg1">Main!$V$18</definedName>
    <definedName name="CHA">Main!$D$15</definedName>
    <definedName name="LeftUpperLeg2">#REF!</definedName>
    <definedName name="ELECTRICITY2">#REF!</definedName>
    <definedName name="ACID3">#REF!</definedName>
    <definedName name="RightLowerArm2">Main!$AK$11</definedName>
    <definedName name="DMGTYPE">Main!$G$20</definedName>
    <definedName name="RightLowerLeg2">#REF!</definedName>
    <definedName name="Head3">#REF!</definedName>
    <definedName name="RightUpperArm3">#REF!</definedName>
    <definedName name="REFLEXES">Main!$C$17</definedName>
    <definedName name="FOCUSMOD">Main!$G$11</definedName>
    <definedName name="DEX">Main!$D$11</definedName>
    <definedName name="LeftLowerArm3">#REF!</definedName>
    <definedName name="Head2">#REF!</definedName>
    <definedName name="WIS">Main!$D$14</definedName>
    <definedName name="ARMORTYPE2">Main!$AK$5</definedName>
    <definedName name="LeftUpperArm2">#REF!</definedName>
    <definedName name="SPEEDMOD">Main!$C$19</definedName>
    <definedName name="RightUpperLeg1">Main!$V$13:$V$14</definedName>
    <definedName name="Head1">Main!$V$3:$AD$4</definedName>
    <definedName name="BEAUTY">Main!$H$7</definedName>
    <definedName name="Torso3">#REF!</definedName>
    <definedName name="ACID">Main!$Q$6</definedName>
    <definedName name="RightUpperArm1">#REF!</definedName>
    <definedName name="LeftUpperArm3">#REF!</definedName>
    <definedName name="STRESS">Main!$G$16:$H$16</definedName>
    <definedName name="RightUpperArm">Main!$K$8</definedName>
    <definedName name="FIRE3">#REF!</definedName>
    <definedName name="ELECTRICITY1">Main!$AF$5</definedName>
    <definedName name="ACID2">#REF!</definedName>
    <definedName name="MAXFOCUS">Main!$G$13:$H$13</definedName>
    <definedName name="RESISTMOD">Main!$H$11</definedName>
    <definedName name="STR">Main!$D$10</definedName>
    <definedName name="RightLowerLeg3">#REF!</definedName>
    <definedName name="LeftLowerArm2">#REF!</definedName>
    <definedName name="WOUNDED">Main!$I$14</definedName>
    <definedName name="WOUNDS">Main!$H$14:$H$15</definedName>
    <definedName name="LeftUpperLeg">Main!$O$13:$O$14</definedName>
    <definedName name="TARGET">Main!$H$20</definedName>
    <definedName name="LeftLowerLeg2">#REF!</definedName>
    <definedName name="RightLowerArm">Main!$K$11</definedName>
    <definedName name="STRAIN">Main!$G$16:$H$16</definedName>
  </definedNames>
  <calcPr/>
</workbook>
</file>

<file path=xl/sharedStrings.xml><?xml version="1.0" encoding="utf-8"?>
<sst xmlns="http://schemas.openxmlformats.org/spreadsheetml/2006/main" count="618" uniqueCount="332">
  <si>
    <t>Name</t>
  </si>
  <si>
    <t>Jude Miles</t>
  </si>
  <si>
    <t>Sex</t>
  </si>
  <si>
    <t>Male</t>
  </si>
  <si>
    <t>Weight</t>
  </si>
  <si>
    <t>KV</t>
  </si>
  <si>
    <t>Race</t>
  </si>
  <si>
    <t>Altered Human</t>
  </si>
  <si>
    <t>Home</t>
  </si>
  <si>
    <t>Antioch</t>
  </si>
  <si>
    <t>Height</t>
  </si>
  <si>
    <t>6'4"</t>
  </si>
  <si>
    <t>Undamaged</t>
  </si>
  <si>
    <t>Elemental Resistances</t>
  </si>
  <si>
    <t>Soft</t>
  </si>
  <si>
    <t>Hard</t>
  </si>
  <si>
    <t>Destroyed</t>
  </si>
  <si>
    <t>Value</t>
  </si>
  <si>
    <t>I will make it back home to my family.</t>
  </si>
  <si>
    <t>Hair</t>
  </si>
  <si>
    <t>Brown</t>
  </si>
  <si>
    <t>I won't give into my bloodlust, no matter how much I want to.</t>
  </si>
  <si>
    <t>Eyes</t>
  </si>
  <si>
    <t>Steel Blue</t>
  </si>
  <si>
    <t>Karma</t>
  </si>
  <si>
    <t>Maybe I am stuborn but I don't like to rely on tech.</t>
  </si>
  <si>
    <t>Birth Month</t>
  </si>
  <si>
    <t>4th</t>
  </si>
  <si>
    <t>Age</t>
  </si>
  <si>
    <t>Life Span</t>
  </si>
  <si>
    <t>Normal</t>
  </si>
  <si>
    <t>Beauty</t>
  </si>
  <si>
    <t>Missing</t>
  </si>
  <si>
    <t>H</t>
  </si>
  <si>
    <t>D0</t>
  </si>
  <si>
    <t>U3</t>
  </si>
  <si>
    <t>S</t>
  </si>
  <si>
    <t>Attributes</t>
  </si>
  <si>
    <t>Save Mod</t>
  </si>
  <si>
    <t>Save DR</t>
  </si>
  <si>
    <t>STR</t>
  </si>
  <si>
    <t>Focus Mod</t>
  </si>
  <si>
    <t>Resist Mod</t>
  </si>
  <si>
    <t>Regen Mod</t>
  </si>
  <si>
    <t xml:space="preserve"> </t>
  </si>
  <si>
    <t>DEX</t>
  </si>
  <si>
    <t>CON</t>
  </si>
  <si>
    <t>Focus</t>
  </si>
  <si>
    <t>INT</t>
  </si>
  <si>
    <t>Distressed</t>
  </si>
  <si>
    <t>WIS</t>
  </si>
  <si>
    <t>Wounded</t>
  </si>
  <si>
    <t>CHA</t>
  </si>
  <si>
    <t>Unconscious</t>
  </si>
  <si>
    <t>Dead</t>
  </si>
  <si>
    <t>Reflexes</t>
  </si>
  <si>
    <t>None</t>
  </si>
  <si>
    <t>Focus Regen</t>
  </si>
  <si>
    <t>Strain</t>
  </si>
  <si>
    <t>APT Mod</t>
  </si>
  <si>
    <t>APT</t>
  </si>
  <si>
    <t>Speed Mod</t>
  </si>
  <si>
    <t>Speed</t>
  </si>
  <si>
    <t>50ft (10)</t>
  </si>
  <si>
    <t>Unarmed Mod</t>
  </si>
  <si>
    <t>Unarmed DMG</t>
  </si>
  <si>
    <t>Weapons &amp; Tools</t>
  </si>
  <si>
    <t>Condition</t>
  </si>
  <si>
    <t>Resists</t>
  </si>
  <si>
    <t>B</t>
  </si>
  <si>
    <t>P</t>
  </si>
  <si>
    <t>F</t>
  </si>
  <si>
    <t>E</t>
  </si>
  <si>
    <t>A</t>
  </si>
  <si>
    <t>Left Hand</t>
  </si>
  <si>
    <t>Wrist Blade</t>
  </si>
  <si>
    <t>Right Hand</t>
  </si>
  <si>
    <t>Jude's Revolver</t>
  </si>
  <si>
    <t>Skills</t>
  </si>
  <si>
    <t>Skill Level</t>
  </si>
  <si>
    <t>Governing Attributes</t>
  </si>
  <si>
    <t>Expertise</t>
  </si>
  <si>
    <t>Mods</t>
  </si>
  <si>
    <t>Skill Check</t>
  </si>
  <si>
    <t>Total Mods</t>
  </si>
  <si>
    <t>Failed</t>
  </si>
  <si>
    <t>Athletics</t>
  </si>
  <si>
    <t>Balance</t>
  </si>
  <si>
    <t>DEX
CON</t>
  </si>
  <si>
    <t>NO</t>
  </si>
  <si>
    <t>Swim</t>
  </si>
  <si>
    <t>STR
CON</t>
  </si>
  <si>
    <t>Jump</t>
  </si>
  <si>
    <t>STR
DEX</t>
  </si>
  <si>
    <t>Sneak</t>
  </si>
  <si>
    <t>DEX
WIS</t>
  </si>
  <si>
    <t>Sleight of Hand</t>
  </si>
  <si>
    <t>Climb</t>
  </si>
  <si>
    <t>STR DEX
CON</t>
  </si>
  <si>
    <t>Acrobatics</t>
  </si>
  <si>
    <t>STR  DEX
WIS</t>
  </si>
  <si>
    <t>Social Skills</t>
  </si>
  <si>
    <t>Seduction</t>
  </si>
  <si>
    <t>CHA
WIS</t>
  </si>
  <si>
    <t>Intimidation</t>
  </si>
  <si>
    <t>STR
CHA</t>
  </si>
  <si>
    <t>Negotiation</t>
  </si>
  <si>
    <t>CHA
INT</t>
  </si>
  <si>
    <t>Deception</t>
  </si>
  <si>
    <t>Martial Arts</t>
  </si>
  <si>
    <t>Knives</t>
  </si>
  <si>
    <t>Polearms</t>
  </si>
  <si>
    <t>Swordsmanship</t>
  </si>
  <si>
    <t>Firearms</t>
  </si>
  <si>
    <t>Exotic Weapons</t>
  </si>
  <si>
    <t>DEX INT
WIS</t>
  </si>
  <si>
    <t>Great Weapons</t>
  </si>
  <si>
    <t>Throwing</t>
  </si>
  <si>
    <t>STR DEX
WIS</t>
  </si>
  <si>
    <t>Archery</t>
  </si>
  <si>
    <t>Unarmed Combat</t>
  </si>
  <si>
    <t>STR  DEX
CON</t>
  </si>
  <si>
    <t>Performing Arts</t>
  </si>
  <si>
    <t>Sing</t>
  </si>
  <si>
    <t>Music</t>
  </si>
  <si>
    <t>Drama</t>
  </si>
  <si>
    <t>DEX CHA
WIS</t>
  </si>
  <si>
    <t>Dance</t>
  </si>
  <si>
    <t xml:space="preserve">STR  DEX
CHA </t>
  </si>
  <si>
    <t>Visual Arts</t>
  </si>
  <si>
    <t>Sculpt</t>
  </si>
  <si>
    <t>Paint</t>
  </si>
  <si>
    <t>Draw</t>
  </si>
  <si>
    <t>Literature</t>
  </si>
  <si>
    <t>INT CHA
WIS</t>
  </si>
  <si>
    <t>Photography/ Videography</t>
  </si>
  <si>
    <t>DEX  CHA
INT</t>
  </si>
  <si>
    <t>Social Sciences</t>
  </si>
  <si>
    <t>History</t>
  </si>
  <si>
    <t>INT
WIS</t>
  </si>
  <si>
    <t>Linguistics</t>
  </si>
  <si>
    <t>Economics</t>
  </si>
  <si>
    <t>Geography</t>
  </si>
  <si>
    <t>Education</t>
  </si>
  <si>
    <t>CHA INT
WIS</t>
  </si>
  <si>
    <t>Psychology</t>
  </si>
  <si>
    <t>Politics</t>
  </si>
  <si>
    <t>Law</t>
  </si>
  <si>
    <t xml:space="preserve"> CHA
INT  WIS</t>
  </si>
  <si>
    <t>Natural Sciences</t>
  </si>
  <si>
    <t>Biology</t>
  </si>
  <si>
    <t>Geoscience</t>
  </si>
  <si>
    <t>Chemistry</t>
  </si>
  <si>
    <t>Physics</t>
  </si>
  <si>
    <t>Astronomy</t>
  </si>
  <si>
    <t>Applied Sciences</t>
  </si>
  <si>
    <t>Civil Engineering</t>
  </si>
  <si>
    <t>Animal Husbandry</t>
  </si>
  <si>
    <t>Agriculture</t>
  </si>
  <si>
    <t>Electrical Engineering</t>
  </si>
  <si>
    <t>Software Engineering</t>
  </si>
  <si>
    <t>Mechanical Engineering</t>
  </si>
  <si>
    <t>Chemical Engineering</t>
  </si>
  <si>
    <t>CON INT
WIS</t>
  </si>
  <si>
    <t>Medicine</t>
  </si>
  <si>
    <t>DEX
INT  WIS</t>
  </si>
  <si>
    <t>Use Vehicle</t>
  </si>
  <si>
    <t>Sail</t>
  </si>
  <si>
    <t>Drive</t>
  </si>
  <si>
    <t>Pilot</t>
  </si>
  <si>
    <t>Handle Animal</t>
  </si>
  <si>
    <t>DEX CON
CHA</t>
  </si>
  <si>
    <t>Perception Skills</t>
  </si>
  <si>
    <t>Social Perception</t>
  </si>
  <si>
    <t>Environmental Perception</t>
  </si>
  <si>
    <t>Paranormal Perception</t>
  </si>
  <si>
    <t>Life Skills</t>
  </si>
  <si>
    <t>Cooking</t>
  </si>
  <si>
    <t>Textiles</t>
  </si>
  <si>
    <t>DEX
INT</t>
  </si>
  <si>
    <t>Leadership</t>
  </si>
  <si>
    <t>Survival</t>
  </si>
  <si>
    <t>DEX CON
WIS</t>
  </si>
  <si>
    <t>Theory Knowledge</t>
  </si>
  <si>
    <t>Philosophy</t>
  </si>
  <si>
    <t>Arcane Knowledge</t>
  </si>
  <si>
    <t>Theology</t>
  </si>
  <si>
    <t>Attunement</t>
  </si>
  <si>
    <t>Catalyst</t>
  </si>
  <si>
    <t>Counter DR</t>
  </si>
  <si>
    <t>Cast Check</t>
  </si>
  <si>
    <t>Can Train</t>
  </si>
  <si>
    <t>Domains of Magic</t>
  </si>
  <si>
    <t>Alteration</t>
  </si>
  <si>
    <t xml:space="preserve">+
</t>
  </si>
  <si>
    <t>Fortune</t>
  </si>
  <si>
    <t>Available Mana</t>
  </si>
  <si>
    <t>Enchantment</t>
  </si>
  <si>
    <t>Container</t>
  </si>
  <si>
    <t>Mana</t>
  </si>
  <si>
    <t>Divination</t>
  </si>
  <si>
    <t xml:space="preserve">N
</t>
  </si>
  <si>
    <t>Body</t>
  </si>
  <si>
    <t>Dissolution</t>
  </si>
  <si>
    <t>Restoration</t>
  </si>
  <si>
    <t>Illusion</t>
  </si>
  <si>
    <t>Abjuration</t>
  </si>
  <si>
    <t xml:space="preserve">-
</t>
  </si>
  <si>
    <t>Force</t>
  </si>
  <si>
    <t>Conjuration</t>
  </si>
  <si>
    <t>Inventory</t>
  </si>
  <si>
    <t>Exploits</t>
  </si>
  <si>
    <t>Sort</t>
  </si>
  <si>
    <t>Class</t>
  </si>
  <si>
    <t>Range</t>
  </si>
  <si>
    <t>P/B/S : F/E/A</t>
  </si>
  <si>
    <t>Grade</t>
  </si>
  <si>
    <t>Description &amp; Mods</t>
  </si>
  <si>
    <t>Quantity/ Uses</t>
  </si>
  <si>
    <t>In Bag</t>
  </si>
  <si>
    <t>Wealth</t>
  </si>
  <si>
    <t>Federation bits</t>
  </si>
  <si>
    <t>Know Thy Mark</t>
  </si>
  <si>
    <t>Jude's EM Revolver</t>
  </si>
  <si>
    <t>Firearm</t>
  </si>
  <si>
    <t>60ft</t>
  </si>
  <si>
    <t>19/20/0 : 0/0/0</t>
  </si>
  <si>
    <t>27 Hard</t>
  </si>
  <si>
    <t>Mythical</t>
  </si>
  <si>
    <t>Electric Magnet revolver, 8 Chambers; Unbreakable, Unblockable; 3 Support Actions to fully reload (1 per 3 chambers)</t>
  </si>
  <si>
    <t>Jude's  Special EM Plasma Round</t>
  </si>
  <si>
    <t>Other</t>
  </si>
  <si>
    <t>10ft</t>
  </si>
  <si>
    <t xml:space="preserve">0/45/0 : 40/5/0
</t>
  </si>
  <si>
    <t>2 Hard</t>
  </si>
  <si>
    <t>Specialized rounds created by Nicholas Miles; Extremely volatile and will explode if thrown.</t>
  </si>
  <si>
    <t>Marked for Death</t>
  </si>
  <si>
    <t>EMP Grenade</t>
  </si>
  <si>
    <t>Throwing Weapon</t>
  </si>
  <si>
    <t>25ft</t>
  </si>
  <si>
    <t>0/0/0 : 0/10/0</t>
  </si>
  <si>
    <t>10 Hard</t>
  </si>
  <si>
    <t>Superior</t>
  </si>
  <si>
    <t>20ft radius explosion (3x3); Temporarily disables electric equipment for 1d4 minutes</t>
  </si>
  <si>
    <t>Ultrasonic Wrist Blade</t>
  </si>
  <si>
    <t>Knife</t>
  </si>
  <si>
    <t>Melee &amp; Grapple</t>
  </si>
  <si>
    <t>0/0/25 : 0/0/0
13/0/0 : 0/0/0</t>
  </si>
  <si>
    <t>30 Hard</t>
  </si>
  <si>
    <t>Noble</t>
  </si>
  <si>
    <t>Doesn't require a free hand to use; can be used in grapple</t>
  </si>
  <si>
    <t>Letting Off Steam</t>
  </si>
  <si>
    <t>Level II</t>
  </si>
  <si>
    <t>Successful intimidation skill checks reduce your strain by the score of the skill check -5 &amp; whenever you do a skill check from Martial Arts category and it’s successful, half your current strain.</t>
  </si>
  <si>
    <t>Spade of Death Cyborg Arm</t>
  </si>
  <si>
    <t>Melee</t>
  </si>
  <si>
    <t>26 Hard</t>
  </si>
  <si>
    <t>Left upper and lower arm, Unarmed Mod: +4, STR +1, STR Save Mod +1</t>
  </si>
  <si>
    <t>Jude's Hat</t>
  </si>
  <si>
    <t>Clothing</t>
  </si>
  <si>
    <t>7 Soft</t>
  </si>
  <si>
    <t>Graphene Cloth, Head, +2 mod to Intimidation</t>
  </si>
  <si>
    <t>Emotional Scars (Unstable)</t>
  </si>
  <si>
    <t>The horrors of your past are hard to let go, and you find it difficult to relieve strain through rest or meditation.  Strain reduction from rest or meditation is halved &amp; Whatever happend to you left so much damage that when vulnerable you can't help but dwelling on your past wounds. All effects of level 1 and when Distressed double all STRAIN acquired.</t>
  </si>
  <si>
    <t>Jude's Duster Coat</t>
  </si>
  <si>
    <t>14 Soft</t>
  </si>
  <si>
    <t>Graphene Cloth, Everything but lower legs, head &amp; lower arms</t>
  </si>
  <si>
    <t>Jude's Vest</t>
  </si>
  <si>
    <t>Light Armor</t>
  </si>
  <si>
    <t>24 Soft, Fire</t>
  </si>
  <si>
    <t>Aramid, Torso</t>
  </si>
  <si>
    <t>My Heart is Taken by Tara</t>
  </si>
  <si>
    <t>Strain does not reduce from sex unless it is with the person who has taken your heart. If you are away from this person for more than a month then you'll receive 2 stress every day until you see them again. If they die, replace this exploit with the Broken Heart exploit.</t>
  </si>
  <si>
    <t>Jude's Boots</t>
  </si>
  <si>
    <t>6 Soft, Fire</t>
  </si>
  <si>
    <t>Strong Leather, Lower Legs</t>
  </si>
  <si>
    <t>Jude's Gun belt</t>
  </si>
  <si>
    <t>Reduces reload action by 1; Holds 32 rounds</t>
  </si>
  <si>
    <t>Despised by The Four</t>
  </si>
  <si>
    <t>Level III</t>
  </si>
  <si>
    <t>You can't use social skills against this person or group and they will most certainly attack you on sight.</t>
  </si>
  <si>
    <t>PFG (Pressurized Field Generator)</t>
  </si>
  <si>
    <t>18 Hard</t>
  </si>
  <si>
    <t>Can survive in harsh environments like space or underwater for up to 5 minutes</t>
  </si>
  <si>
    <t>ADS (Arc Deflector Shield)</t>
  </si>
  <si>
    <t>Great Shield</t>
  </si>
  <si>
    <t>100 Hard, Fire, Electricity, Acid</t>
  </si>
  <si>
    <t>3 Block Stacks; Doesn't require a free hand to use; Unbreakable; When used, any space within 5 feet of you is the shield for the rest of the round, You can move the space but it removes a block stack</t>
  </si>
  <si>
    <t>Combat Prowess</t>
  </si>
  <si>
    <t>+1 APT, +2 DEX Save Mod, &amp; You may attack in the middle of a movement action. The offensive actions must have a greater than or equal effort to the movemen action.</t>
  </si>
  <si>
    <t>Anti-Gravity Tether Gloves</t>
  </si>
  <si>
    <t>Can grapple an object up to 195 feet away;  The objects weight is reduced by 40 and is slowly pulled towards the user if this reduces its weight to 0. If it isn't reduced to 0 then it works like attaching a rope to the object and the user.</t>
  </si>
  <si>
    <t>Nicholas's Repulsor Bracers</t>
  </si>
  <si>
    <t>20 Hard</t>
  </si>
  <si>
    <t>Can propel the user into the air 10 feet or push medium sized objects or smaller 5 feet away; can only be used once every 3 seconds (two times a combat round)</t>
  </si>
  <si>
    <t>Combat Endurance</t>
  </si>
  <si>
    <t>+2 CON Save Mod, +10 to Focus Mod, +5 to Regen Mod</t>
  </si>
  <si>
    <t>Double Tap... No, Triple Tap... Just Keep Shooting!</t>
  </si>
  <si>
    <t>You may attack up to 4 targets with a firearm as many times as you want or until the weapon needs reloading. The focus for the attack is split among each shot (max focus is still 5) The DR to hit is increased by one for every additional shot after the 8th.</t>
  </si>
  <si>
    <t>Quick Loading</t>
  </si>
  <si>
    <t>You may reload a weapon using 2 less actions than it normally takes.</t>
  </si>
  <si>
    <t xml:space="preserve">
Manufactured Body (3)</t>
  </si>
  <si>
    <t>All of your attributes become (X) Where X is equal to 1d4. You can’t receive any attributes from roots, branches, or blossoms. Attributes can still be changed by life events when creating the character.</t>
  </si>
  <si>
    <t>Total Weight</t>
  </si>
  <si>
    <t>Total Value</t>
  </si>
  <si>
    <t>Bag Weight</t>
  </si>
  <si>
    <t>Spells &amp; Extraordinary Abilities</t>
  </si>
  <si>
    <t>Domains</t>
  </si>
  <si>
    <t>DR</t>
  </si>
  <si>
    <t>Casting Speed</t>
  </si>
  <si>
    <t>Targets</t>
  </si>
  <si>
    <t>Description</t>
  </si>
  <si>
    <t>Spell Strength</t>
  </si>
  <si>
    <t>Duration</t>
  </si>
  <si>
    <t>C/D</t>
  </si>
  <si>
    <t>Crafting and Spellweaving</t>
  </si>
  <si>
    <t>Time/Karma Remaining</t>
  </si>
  <si>
    <t>Roots, Branches, Blossoms, and Life Events</t>
  </si>
  <si>
    <t>Branches</t>
  </si>
  <si>
    <t>Life Events</t>
  </si>
  <si>
    <t>Blossoms</t>
  </si>
  <si>
    <t>Root</t>
  </si>
  <si>
    <t>Adopted into Crime</t>
  </si>
  <si>
    <t>Found Soulmate</t>
  </si>
  <si>
    <t>Organized Crime (Soldier)</t>
  </si>
  <si>
    <t>Lost your Father</t>
  </si>
  <si>
    <t>Organized Crime (Enforcer)</t>
  </si>
  <si>
    <t>Lost your Mother</t>
  </si>
  <si>
    <t>Organized Crime (Hitman)</t>
  </si>
  <si>
    <t>Quest for Revenge</t>
  </si>
  <si>
    <t>Runaway</t>
  </si>
  <si>
    <t>Notes</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</si>
</sst>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font>
    <font>
      <name val="Inknut Antiqua"/>
    </font>
    <font>
      <sz val="14.0"/>
      <color rgb="FFFFFFFF"/>
      <name val="Inknut Antiqua"/>
    </font>
    <font>
      <sz val="12.0"/>
      <name val="Inknut Antiqua"/>
    </font>
    <font/>
    <font>
      <sz val="11.0"/>
      <color rgb="FFFFFFFF"/>
      <name val="Inknut Antiqua"/>
    </font>
    <font>
      <sz val="18.0"/>
      <color rgb="FFE69138"/>
      <name val="Inknut Antiqua"/>
    </font>
    <font>
      <sz val="24.0"/>
      <name val="Inknut Antiqua"/>
    </font>
    <font>
      <sz val="10.0"/>
      <color rgb="FF000000"/>
      <name val="Inknut Antiqua"/>
    </font>
    <font>
      <color rgb="FF000000"/>
    </font>
    <font>
      <sz val="9.0"/>
      <name val="Inknut Antiqua"/>
    </font>
    <font>
      <sz val="18.0"/>
      <color rgb="FFFFFFFF"/>
      <name val="Inknut Antiqua"/>
    </font>
    <font>
      <sz val="14.0"/>
      <name val="Inknut Antiqua"/>
    </font>
    <font>
      <b/>
      <sz val="18.0"/>
      <color rgb="FF000000"/>
      <name val="Inknut Antiqua"/>
    </font>
    <font>
      <b/>
      <sz val="18.0"/>
      <name val="Inknut Antiqua"/>
    </font>
    <font>
      <sz val="18.0"/>
      <name val="Inknut Antiqua"/>
    </font>
    <font>
      <sz val="12.0"/>
      <color rgb="FFFFFFFF"/>
      <name val="Inknut Antiqua"/>
    </font>
    <font>
      <sz val="18.0"/>
      <color rgb="FF000000"/>
      <name val="Inknut Antiqua"/>
    </font>
    <font>
      <sz val="10.0"/>
      <name val="Inknut Antiqua"/>
    </font>
    <font>
      <sz val="8.0"/>
      <name val="Inknut Antiqua"/>
    </font>
    <font>
      <sz val="36.0"/>
      <color rgb="FF274E13"/>
      <name val="Inknut Antiqua"/>
    </font>
    <font>
      <sz val="10.0"/>
      <color rgb="FFFFFFFF"/>
      <name val="Inknut Antiqua"/>
    </font>
    <font>
      <color rgb="FFFFFFFF"/>
      <name val="Inknut Antiqua"/>
    </font>
    <font>
      <sz val="12.0"/>
      <color rgb="FF000000"/>
      <name val="Inknut Antiqua"/>
    </font>
    <font>
      <sz val="24.0"/>
      <color rgb="FFFFFFFF"/>
      <name val="Inknut Antiqua"/>
    </font>
    <font>
      <sz val="14.0"/>
      <color rgb="FF000000"/>
      <name val="Inknut Antiqua"/>
    </font>
    <font>
      <sz val="8.0"/>
      <color rgb="FFFFFFFF"/>
      <name val="Inknut Antiqua"/>
    </font>
    <font>
      <sz val="8.0"/>
      <color rgb="FF000000"/>
      <name val="Inknut Antiqua"/>
    </font>
    <font>
      <name val="Arial"/>
    </font>
    <font>
      <b/>
      <sz val="8.0"/>
    </font>
    <font>
      <sz val="8.0"/>
      <name val="Arial"/>
    </font>
    <font>
      <b/>
      <sz val="11.0"/>
      <color rgb="FF000000"/>
      <name val="Inknut Antiqua"/>
    </font>
    <font>
      <sz val="18.0"/>
    </font>
    <font>
      <b/>
      <name val="Inknut Antiqua"/>
    </font>
    <font>
      <b/>
      <sz val="10.0"/>
      <name val="Inknut Antiqua"/>
    </font>
    <font>
      <sz val="9.0"/>
      <color rgb="FF000000"/>
      <name val="&quot;Inknut Antiqua&quot;"/>
    </font>
    <font>
      <b/>
      <sz val="12.0"/>
      <name val="Inknut Antiqua"/>
    </font>
  </fonts>
  <fills count="24">
    <fill>
      <patternFill patternType="none"/>
    </fill>
    <fill>
      <patternFill patternType="lightGray"/>
    </fill>
    <fill>
      <patternFill patternType="solid">
        <fgColor rgb="FF000000"/>
        <bgColor rgb="FF000000"/>
      </patternFill>
    </fill>
    <fill>
      <patternFill patternType="solid">
        <fgColor rgb="FFC9DAF8"/>
        <bgColor rgb="FFC9DAF8"/>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990000"/>
        <bgColor rgb="FF990000"/>
      </patternFill>
    </fill>
    <fill>
      <patternFill patternType="solid">
        <fgColor rgb="FFF6B26B"/>
        <bgColor rgb="FFF6B26B"/>
      </patternFill>
    </fill>
    <fill>
      <patternFill patternType="solid">
        <fgColor rgb="FFBF9000"/>
        <bgColor rgb="FFBF9000"/>
      </patternFill>
    </fill>
    <fill>
      <patternFill patternType="solid">
        <fgColor rgb="FF38761D"/>
        <bgColor rgb="FF38761D"/>
      </patternFill>
    </fill>
    <fill>
      <patternFill patternType="solid">
        <fgColor rgb="FFFFD966"/>
        <bgColor rgb="FFFFD966"/>
      </patternFill>
    </fill>
    <fill>
      <patternFill patternType="solid">
        <fgColor rgb="FF434343"/>
        <bgColor rgb="FF434343"/>
      </patternFill>
    </fill>
    <fill>
      <patternFill patternType="solid">
        <fgColor rgb="FFD0E0E3"/>
        <bgColor rgb="FFD0E0E3"/>
      </patternFill>
    </fill>
    <fill>
      <patternFill patternType="solid">
        <fgColor rgb="FFB7E1CD"/>
        <bgColor rgb="FFB7E1CD"/>
      </patternFill>
    </fill>
    <fill>
      <patternFill patternType="solid">
        <fgColor rgb="FFD9D2E9"/>
        <bgColor rgb="FFD9D2E9"/>
      </patternFill>
    </fill>
    <fill>
      <patternFill patternType="solid">
        <fgColor rgb="FF93C47D"/>
        <bgColor rgb="FF93C47D"/>
      </patternFill>
    </fill>
    <fill>
      <patternFill patternType="solid">
        <fgColor rgb="FFCC4125"/>
        <bgColor rgb="FFCC4125"/>
      </patternFill>
    </fill>
    <fill>
      <patternFill patternType="solid">
        <fgColor rgb="FFD9D9D9"/>
        <bgColor rgb="FFD9D9D9"/>
      </patternFill>
    </fill>
    <fill>
      <patternFill patternType="solid">
        <fgColor rgb="FF45818E"/>
        <bgColor rgb="FF45818E"/>
      </patternFill>
    </fill>
    <fill>
      <patternFill patternType="solid">
        <fgColor rgb="FFCCCCCC"/>
        <bgColor rgb="FFCCCCCC"/>
      </patternFill>
    </fill>
    <fill>
      <patternFill patternType="solid">
        <fgColor rgb="FFF4C7C3"/>
        <bgColor rgb="FFF4C7C3"/>
      </patternFill>
    </fill>
    <fill>
      <patternFill patternType="solid">
        <fgColor rgb="FF666666"/>
        <bgColor rgb="FF666666"/>
      </patternFill>
    </fill>
    <fill>
      <patternFill patternType="solid">
        <fgColor rgb="FFEFEFEF"/>
        <bgColor rgb="FFEFEFEF"/>
      </patternFill>
    </fill>
  </fills>
  <borders count="25">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000000"/>
      </left>
    </border>
    <border>
      <left style="thin">
        <color rgb="FFFFFFFF"/>
      </left>
      <right style="thin">
        <color rgb="FFFFFFFF"/>
      </right>
    </border>
    <border>
      <left style="thin">
        <color rgb="FF000000"/>
      </left>
      <bottom style="thin">
        <color rgb="FFFFFFF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FFFFFF"/>
      </left>
      <right style="thin">
        <color rgb="FF000000"/>
      </right>
    </border>
    <border>
      <left style="thin">
        <color rgb="FFFFFFFF"/>
      </left>
      <right style="thin">
        <color rgb="FF000000"/>
      </right>
      <bottom style="thin">
        <color rgb="FFFFFFFF"/>
      </bottom>
    </border>
    <border>
      <left style="thin">
        <color rgb="FF000000"/>
      </left>
      <top style="thin">
        <color rgb="FF000000"/>
      </top>
    </border>
    <border>
      <top style="thin">
        <color rgb="FF000000"/>
      </top>
    </border>
    <border>
      <right style="thin">
        <color rgb="FF000000"/>
      </right>
    </border>
  </borders>
  <cellStyleXfs count="1">
    <xf borderId="0" fillId="0" fontId="0" numFmtId="0" applyAlignment="1" applyFont="1"/>
  </cellStyleXfs>
  <cellXfs count="263">
    <xf borderId="0" fillId="0" fontId="0" numFmtId="0" xfId="0" applyAlignment="1" applyFont="1">
      <alignment readingOrder="0" shrinkToFit="0" vertical="bottom" wrapText="0"/>
    </xf>
    <xf borderId="0" fillId="2" fontId="1" numFmtId="0" xfId="0" applyAlignment="1" applyFill="1" applyFont="1">
      <alignment readingOrder="0"/>
    </xf>
    <xf borderId="1" fillId="2" fontId="2" numFmtId="0" xfId="0" applyAlignment="1" applyBorder="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2" fillId="0" fontId="4" numFmtId="0" xfId="0" applyBorder="1" applyFont="1"/>
    <xf borderId="2" fillId="2" fontId="5"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3" fillId="2" fontId="6" numFmtId="0" xfId="0" applyAlignment="1" applyBorder="1" applyFont="1">
      <alignment horizontal="center" readingOrder="0" vertical="center"/>
    </xf>
    <xf borderId="4" fillId="2" fontId="5"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5" fillId="4" fontId="7" numFmtId="0" xfId="0" applyAlignment="1" applyBorder="1" applyFill="1" applyFont="1">
      <alignment horizontal="center" readingOrder="0" shrinkToFit="0" vertical="center" wrapText="1"/>
    </xf>
    <xf borderId="0" fillId="2" fontId="4" numFmtId="0" xfId="0" applyFont="1"/>
    <xf borderId="1" fillId="5" fontId="8" numFmtId="0" xfId="0" applyAlignment="1" applyBorder="1" applyFill="1" applyFont="1">
      <alignment horizontal="center" readingOrder="0" vertical="center"/>
    </xf>
    <xf borderId="3" fillId="0" fontId="4" numFmtId="0" xfId="0" applyBorder="1" applyFont="1"/>
    <xf borderId="0" fillId="2" fontId="9" numFmtId="0" xfId="0" applyFont="1"/>
    <xf borderId="1" fillId="5" fontId="1" numFmtId="0" xfId="0" applyAlignment="1" applyBorder="1" applyFont="1">
      <alignment horizontal="center" readingOrder="0" vertical="center"/>
    </xf>
    <xf borderId="2" fillId="6" fontId="8" numFmtId="0" xfId="0" applyAlignment="1" applyBorder="1" applyFill="1" applyFont="1">
      <alignment horizontal="center" readingOrder="0" vertical="center"/>
    </xf>
    <xf borderId="1" fillId="5" fontId="1" numFmtId="0" xfId="0" applyAlignment="1" applyBorder="1" applyFont="1">
      <alignment horizontal="center" vertical="center"/>
    </xf>
    <xf borderId="0" fillId="0" fontId="10" numFmtId="0" xfId="0" applyAlignment="1" applyFont="1">
      <alignment horizontal="center" readingOrder="0" shrinkToFit="0" vertical="center" wrapText="1"/>
    </xf>
    <xf borderId="5" fillId="0" fontId="4" numFmtId="0" xfId="0" applyBorder="1" applyFont="1"/>
    <xf borderId="4" fillId="0" fontId="4" numFmtId="0" xfId="0" applyBorder="1" applyFont="1"/>
    <xf borderId="0" fillId="7" fontId="1" numFmtId="0" xfId="0" applyAlignment="1" applyFill="1" applyFont="1">
      <alignment horizontal="center" readingOrder="0" shrinkToFit="0" vertical="center" wrapText="1"/>
    </xf>
    <xf borderId="5" fillId="2" fontId="11" numFmtId="0" xfId="0" applyAlignment="1" applyBorder="1" applyFont="1">
      <alignment horizontal="center" readingOrder="0" vertical="center"/>
    </xf>
    <xf borderId="4" fillId="8" fontId="12" numFmtId="0" xfId="0" applyAlignment="1" applyBorder="1" applyFill="1" applyFont="1">
      <alignment horizontal="center" vertical="center"/>
    </xf>
    <xf borderId="0" fillId="9" fontId="1" numFmtId="0" xfId="0" applyAlignment="1" applyFill="1" applyFont="1">
      <alignment horizontal="center" readingOrder="0" shrinkToFit="0" vertical="center" wrapText="1"/>
    </xf>
    <xf borderId="4" fillId="7" fontId="4" numFmtId="0" xfId="0" applyAlignment="1" applyBorder="1" applyFont="1">
      <alignment readingOrder="0"/>
    </xf>
    <xf borderId="0" fillId="9" fontId="4" numFmtId="0" xfId="0" applyFont="1"/>
    <xf borderId="0" fillId="10" fontId="4" numFmtId="0" xfId="0" applyFill="1" applyFont="1"/>
    <xf borderId="0" fillId="6" fontId="12" numFmtId="0" xfId="0" applyAlignment="1" applyFont="1">
      <alignment horizontal="center" readingOrder="0" vertical="center"/>
    </xf>
    <xf borderId="5" fillId="11" fontId="7" numFmtId="0" xfId="0" applyAlignment="1" applyBorder="1" applyFill="1" applyFont="1">
      <alignment horizontal="center" readingOrder="0" shrinkToFit="0" vertical="center" wrapText="1"/>
    </xf>
    <xf borderId="6" fillId="0" fontId="4" numFmtId="0" xfId="0" applyBorder="1" applyFont="1"/>
    <xf borderId="7" fillId="0" fontId="4" numFmtId="0" xfId="0" applyBorder="1" applyFont="1"/>
    <xf borderId="8" fillId="0" fontId="4" numFmtId="0" xfId="0" applyBorder="1" applyFont="1"/>
    <xf borderId="0" fillId="10" fontId="1" numFmtId="0" xfId="0" applyAlignment="1" applyFont="1">
      <alignment horizontal="center" readingOrder="0" shrinkToFit="0" vertical="center" wrapText="1"/>
    </xf>
    <xf borderId="6" fillId="2" fontId="5"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7" fillId="2" fontId="5" numFmtId="0" xfId="0" applyAlignment="1" applyBorder="1" applyFont="1">
      <alignment horizontal="center" readingOrder="0" shrinkToFit="0" vertical="center" wrapText="1"/>
    </xf>
    <xf borderId="7" fillId="2" fontId="4" numFmtId="0" xfId="0" applyBorder="1" applyFont="1"/>
    <xf borderId="0" fillId="12" fontId="4" numFmtId="0" xfId="0" applyFill="1" applyFont="1"/>
    <xf borderId="4" fillId="2" fontId="4" numFmtId="0" xfId="0" applyBorder="1" applyFont="1"/>
    <xf borderId="0" fillId="2" fontId="11" numFmtId="0" xfId="0" applyAlignment="1" applyFont="1">
      <alignment horizontal="center" readingOrder="0" shrinkToFit="0" vertical="center" wrapText="1"/>
    </xf>
    <xf borderId="9" fillId="5" fontId="8" numFmtId="0" xfId="0" applyAlignment="1" applyBorder="1" applyFont="1">
      <alignment horizontal="center" readingOrder="0" vertical="center"/>
    </xf>
    <xf borderId="0" fillId="12" fontId="12" numFmtId="0" xfId="0" applyAlignment="1" applyFont="1">
      <alignment horizontal="center" readingOrder="0" vertical="center"/>
    </xf>
    <xf borderId="2" fillId="6" fontId="1" numFmtId="0" xfId="0" applyAlignment="1" applyBorder="1" applyFont="1">
      <alignment horizontal="center" readingOrder="0" vertical="center"/>
    </xf>
    <xf borderId="0" fillId="2" fontId="12" numFmtId="0" xfId="0" applyAlignment="1" applyFont="1">
      <alignment horizontal="center" readingOrder="0" vertical="center"/>
    </xf>
    <xf borderId="0" fillId="2" fontId="4" numFmtId="0" xfId="0" applyFont="1"/>
    <xf borderId="10" fillId="2" fontId="5" numFmtId="0" xfId="0" applyAlignment="1" applyBorder="1" applyFont="1">
      <alignment horizontal="center" readingOrder="0" shrinkToFit="0" vertical="bottom" wrapText="1"/>
    </xf>
    <xf borderId="11" fillId="0" fontId="4" numFmtId="0" xfId="0" applyBorder="1" applyFont="1"/>
    <xf borderId="12" fillId="0" fontId="4" numFmtId="0" xfId="0" applyBorder="1" applyFont="1"/>
    <xf borderId="12" fillId="2" fontId="5" numFmtId="0" xfId="0" applyAlignment="1" applyBorder="1" applyFont="1">
      <alignment horizontal="center" readingOrder="0" shrinkToFit="0" vertical="bottom" wrapText="1"/>
    </xf>
    <xf borderId="13" fillId="8" fontId="12" numFmtId="0" xfId="0" applyAlignment="1" applyBorder="1" applyFont="1">
      <alignment horizontal="center" vertical="center"/>
    </xf>
    <xf borderId="6" fillId="7" fontId="4" numFmtId="0" xfId="0" applyAlignment="1" applyBorder="1" applyFont="1">
      <alignment readingOrder="0"/>
    </xf>
    <xf borderId="7" fillId="9" fontId="4" numFmtId="0" xfId="0" applyAlignment="1" applyBorder="1" applyFont="1">
      <alignment readingOrder="0"/>
    </xf>
    <xf borderId="7" fillId="10" fontId="4" numFmtId="0" xfId="0" applyAlignment="1" applyBorder="1" applyFont="1">
      <alignment readingOrder="0"/>
    </xf>
    <xf borderId="8" fillId="6" fontId="1" numFmtId="0" xfId="0" applyAlignment="1" applyBorder="1" applyFont="1">
      <alignment horizontal="center" readingOrder="0" vertical="center"/>
    </xf>
    <xf borderId="4" fillId="13" fontId="13" numFmtId="0" xfId="0" applyAlignment="1" applyBorder="1" applyFill="1" applyFont="1">
      <alignment horizontal="center" readingOrder="0" vertical="center"/>
    </xf>
    <xf borderId="0" fillId="0" fontId="12" numFmtId="0" xfId="0" applyAlignment="1" applyFont="1">
      <alignment horizontal="center" readingOrder="0" vertical="center"/>
    </xf>
    <xf borderId="0" fillId="14" fontId="14" numFmtId="0" xfId="0" applyAlignment="1" applyFill="1" applyFont="1">
      <alignment horizontal="center" vertical="center"/>
    </xf>
    <xf borderId="14" fillId="0" fontId="12" numFmtId="0" xfId="0" applyAlignment="1" applyBorder="1" applyFont="1">
      <alignment horizontal="center" readingOrder="0" vertical="center"/>
    </xf>
    <xf borderId="5" fillId="14" fontId="14" numFmtId="0" xfId="0" applyAlignment="1" applyBorder="1" applyFont="1">
      <alignment horizontal="center" vertical="center"/>
    </xf>
    <xf borderId="5" fillId="2" fontId="5" numFmtId="0" xfId="0" applyAlignment="1" applyBorder="1" applyFont="1">
      <alignment horizontal="center" readingOrder="0" shrinkToFit="0" vertical="center" wrapText="1"/>
    </xf>
    <xf borderId="0" fillId="12" fontId="4" numFmtId="0" xfId="0" applyAlignment="1" applyFont="1">
      <alignment readingOrder="0"/>
    </xf>
    <xf borderId="0" fillId="0" fontId="15" numFmtId="0" xfId="0" applyAlignment="1" applyFont="1">
      <alignment horizontal="center" readingOrder="0" shrinkToFit="0" vertical="center" wrapText="1"/>
    </xf>
    <xf borderId="0" fillId="0" fontId="15" numFmtId="0" xfId="0" applyAlignment="1" applyFont="1">
      <alignment horizontal="center" readingOrder="0" vertical="bottom"/>
    </xf>
    <xf borderId="5" fillId="0" fontId="15" numFmtId="0" xfId="0" applyAlignment="1" applyBorder="1" applyFont="1">
      <alignment horizontal="center" readingOrder="0" vertical="bottom"/>
    </xf>
    <xf borderId="0" fillId="2" fontId="5" numFmtId="0" xfId="0" applyAlignment="1" applyFont="1">
      <alignment horizontal="center" readingOrder="0" vertical="bottom"/>
    </xf>
    <xf borderId="5" fillId="2" fontId="16" numFmtId="0" xfId="0" applyAlignment="1" applyBorder="1" applyFont="1">
      <alignment horizontal="center" readingOrder="0" shrinkToFit="0" vertical="center" wrapText="1"/>
    </xf>
    <xf borderId="4" fillId="15" fontId="13" numFmtId="0" xfId="0" applyAlignment="1" applyBorder="1" applyFill="1" applyFont="1">
      <alignment horizontal="center" readingOrder="0" vertical="center"/>
    </xf>
    <xf borderId="0" fillId="14" fontId="13" numFmtId="0" xfId="0" applyAlignment="1" applyFont="1">
      <alignment horizontal="center" vertical="center"/>
    </xf>
    <xf borderId="1" fillId="16" fontId="17" numFmtId="0" xfId="0" applyAlignment="1" applyBorder="1" applyFill="1" applyFont="1">
      <alignment horizontal="center" readingOrder="0" vertical="center"/>
    </xf>
    <xf borderId="3" fillId="2" fontId="1" numFmtId="0" xfId="0" applyAlignment="1" applyBorder="1" applyFont="1">
      <alignment horizontal="center" readingOrder="0" vertical="center"/>
    </xf>
    <xf borderId="9" fillId="5" fontId="18" numFmtId="0" xfId="0" applyAlignment="1" applyBorder="1" applyFont="1">
      <alignment horizontal="center" readingOrder="0" vertical="center"/>
    </xf>
    <xf borderId="0" fillId="2" fontId="19" numFmtId="0" xfId="0" applyAlignment="1" applyFont="1">
      <alignment horizontal="center" readingOrder="0" shrinkToFit="0" wrapText="1"/>
    </xf>
    <xf borderId="0" fillId="2" fontId="18" numFmtId="0" xfId="0" applyAlignment="1" applyFont="1">
      <alignment horizontal="center" readingOrder="0" vertical="center"/>
    </xf>
    <xf borderId="0" fillId="4" fontId="14" numFmtId="0" xfId="0" applyAlignment="1" applyFont="1">
      <alignment horizontal="center" vertical="center"/>
    </xf>
    <xf borderId="4" fillId="0" fontId="20" numFmtId="0" xfId="0" applyAlignment="1" applyBorder="1" applyFont="1">
      <alignment horizontal="center" readingOrder="0" vertical="center"/>
    </xf>
    <xf borderId="5" fillId="2" fontId="1" numFmtId="0" xfId="0" applyAlignment="1" applyBorder="1" applyFont="1">
      <alignment horizontal="center" readingOrder="0" vertical="center"/>
    </xf>
    <xf borderId="15" fillId="0" fontId="4" numFmtId="0" xfId="0" applyBorder="1" applyFont="1"/>
    <xf borderId="6" fillId="15" fontId="13" numFmtId="0" xfId="0" applyAlignment="1" applyBorder="1" applyFont="1">
      <alignment horizontal="center" readingOrder="0" vertical="center"/>
    </xf>
    <xf borderId="7" fillId="0" fontId="12" numFmtId="0" xfId="0" applyAlignment="1" applyBorder="1" applyFont="1">
      <alignment horizontal="center" readingOrder="0" vertical="center"/>
    </xf>
    <xf borderId="7" fillId="4" fontId="14" numFmtId="0" xfId="0" applyAlignment="1" applyBorder="1" applyFont="1">
      <alignment horizontal="center" vertical="center"/>
    </xf>
    <xf borderId="16" fillId="0" fontId="12" numFmtId="0" xfId="0" applyAlignment="1" applyBorder="1" applyFont="1">
      <alignment horizontal="center" readingOrder="0" vertical="center"/>
    </xf>
    <xf borderId="8" fillId="14" fontId="14" numFmtId="0" xfId="0" applyAlignment="1" applyBorder="1" applyFont="1">
      <alignment horizontal="center" vertical="center"/>
    </xf>
    <xf borderId="15" fillId="8" fontId="12" numFmtId="0" xfId="0" applyAlignment="1" applyBorder="1" applyFont="1">
      <alignment horizontal="center" vertical="center"/>
    </xf>
    <xf borderId="4" fillId="7" fontId="1" numFmtId="0" xfId="0" applyAlignment="1" applyBorder="1" applyFont="1">
      <alignment horizontal="center" readingOrder="0" vertical="center"/>
    </xf>
    <xf borderId="0" fillId="9" fontId="1" numFmtId="0" xfId="0" applyAlignment="1" applyFont="1">
      <alignment horizontal="center" readingOrder="0" vertical="center"/>
    </xf>
    <xf borderId="0" fillId="10" fontId="1" numFmtId="0" xfId="0" applyAlignment="1" applyFont="1">
      <alignment horizontal="center" readingOrder="0" vertical="center"/>
    </xf>
    <xf borderId="5" fillId="6" fontId="1" numFmtId="0" xfId="0" applyAlignment="1" applyBorder="1" applyFont="1">
      <alignment horizontal="center" readingOrder="0" vertical="center"/>
    </xf>
    <xf borderId="4" fillId="2" fontId="11" numFmtId="0" xfId="0" applyAlignment="1" applyBorder="1" applyFont="1">
      <alignment horizontal="center" readingOrder="0" vertical="center"/>
    </xf>
    <xf borderId="6" fillId="17" fontId="15" numFmtId="0" xfId="0" applyAlignment="1" applyBorder="1" applyFill="1" applyFont="1">
      <alignment horizontal="center" readingOrder="0" vertical="center"/>
    </xf>
    <xf borderId="8" fillId="2" fontId="1" numFmtId="0" xfId="0" applyAlignment="1" applyBorder="1" applyFont="1">
      <alignment horizontal="center" readingOrder="0" vertical="center"/>
    </xf>
    <xf borderId="13" fillId="0" fontId="4" numFmtId="0" xfId="0" applyBorder="1" applyFont="1"/>
    <xf borderId="1" fillId="2" fontId="21" numFmtId="0" xfId="0" applyAlignment="1" applyBorder="1" applyFont="1">
      <alignment horizontal="center" readingOrder="0" shrinkToFit="0" vertical="center" wrapText="1"/>
    </xf>
    <xf borderId="2" fillId="2" fontId="21" numFmtId="0" xfId="0" applyAlignment="1" applyBorder="1" applyFont="1">
      <alignment horizontal="center" readingOrder="0" shrinkToFit="0" vertical="center" wrapText="1"/>
    </xf>
    <xf borderId="3" fillId="6" fontId="3" numFmtId="0" xfId="0" applyAlignment="1" applyBorder="1" applyFont="1">
      <alignment horizontal="center" readingOrder="0" shrinkToFit="0" vertical="center" wrapText="1"/>
    </xf>
    <xf borderId="0" fillId="2" fontId="5" numFmtId="0" xfId="0" applyAlignment="1" applyFont="1">
      <alignment horizontal="center" readingOrder="0" vertical="top"/>
    </xf>
    <xf borderId="5" fillId="2" fontId="4" numFmtId="0" xfId="0" applyBorder="1" applyFont="1"/>
    <xf borderId="4" fillId="2" fontId="21" numFmtId="0" xfId="0" applyAlignment="1" applyBorder="1" applyFont="1">
      <alignment horizontal="center" readingOrder="0" shrinkToFit="0" vertical="center" wrapText="1"/>
    </xf>
    <xf borderId="0" fillId="2" fontId="21" numFmtId="0" xfId="0" applyAlignment="1" applyFont="1">
      <alignment horizontal="center" readingOrder="0" shrinkToFit="0" vertical="center" wrapText="1"/>
    </xf>
    <xf borderId="5" fillId="6" fontId="15" numFmtId="0" xfId="0" applyAlignment="1" applyBorder="1" applyFont="1">
      <alignment horizontal="center" readingOrder="0" shrinkToFit="0" vertical="center" wrapText="1"/>
    </xf>
    <xf borderId="5" fillId="6" fontId="3" numFmtId="0" xfId="0" applyAlignment="1" applyBorder="1" applyFont="1">
      <alignment horizontal="center" readingOrder="0" shrinkToFit="0" vertical="center" wrapText="1"/>
    </xf>
    <xf borderId="6" fillId="2" fontId="21" numFmtId="0" xfId="0" applyAlignment="1" applyBorder="1" applyFont="1">
      <alignment horizontal="center" readingOrder="0" shrinkToFit="0" vertical="center" wrapText="1"/>
    </xf>
    <xf borderId="7" fillId="2" fontId="21" numFmtId="0" xfId="0" applyAlignment="1" applyBorder="1" applyFont="1">
      <alignment horizontal="center" readingOrder="0" shrinkToFit="0" vertical="center" wrapText="1"/>
    </xf>
    <xf borderId="8" fillId="6" fontId="18" numFmtId="0" xfId="0" applyAlignment="1" applyBorder="1" applyFont="1">
      <alignment horizontal="center" readingOrder="0" shrinkToFit="0" vertical="center" wrapText="1"/>
    </xf>
    <xf borderId="7" fillId="2" fontId="18" numFmtId="0" xfId="0" applyAlignment="1" applyBorder="1" applyFont="1">
      <alignment horizontal="center" readingOrder="0" shrinkToFit="0" vertical="center" wrapText="1"/>
    </xf>
    <xf borderId="0" fillId="2" fontId="16" numFmtId="0" xfId="0" applyAlignment="1" applyFont="1">
      <alignment horizontal="center" readingOrder="0" shrinkToFit="0" vertical="center" wrapText="1"/>
    </xf>
    <xf borderId="0" fillId="2" fontId="16" numFmtId="0" xfId="0" applyAlignment="1" applyFont="1">
      <alignment horizontal="center" readingOrder="0" vertical="center"/>
    </xf>
    <xf borderId="1" fillId="2" fontId="22" numFmtId="0" xfId="0" applyAlignment="1" applyBorder="1" applyFont="1">
      <alignment horizontal="center" readingOrder="0" vertical="center"/>
    </xf>
    <xf borderId="2" fillId="4" fontId="8" numFmtId="0" xfId="0" applyAlignment="1" applyBorder="1" applyFont="1">
      <alignment horizontal="center" readingOrder="0" shrinkToFit="0" vertical="center" wrapText="1"/>
    </xf>
    <xf borderId="2" fillId="6" fontId="18" numFmtId="0" xfId="0" applyAlignment="1" applyBorder="1" applyFont="1">
      <alignment horizontal="center" readingOrder="0" vertical="center"/>
    </xf>
    <xf borderId="2" fillId="5" fontId="1" numFmtId="0" xfId="0" applyAlignment="1" applyBorder="1" applyFont="1">
      <alignment horizontal="center" readingOrder="0" vertical="center"/>
    </xf>
    <xf borderId="2" fillId="7" fontId="1" numFmtId="0" xfId="0" applyAlignment="1" applyBorder="1" applyFont="1">
      <alignment horizontal="center" readingOrder="0" vertical="center"/>
    </xf>
    <xf borderId="2" fillId="9" fontId="1" numFmtId="0" xfId="0" applyAlignment="1" applyBorder="1" applyFont="1">
      <alignment horizontal="center" readingOrder="0" vertical="center"/>
    </xf>
    <xf borderId="2" fillId="10" fontId="1" numFmtId="0" xfId="0" applyAlignment="1" applyBorder="1" applyFont="1">
      <alignment horizontal="center" readingOrder="0" vertical="center"/>
    </xf>
    <xf borderId="2" fillId="2" fontId="4" numFmtId="0" xfId="0" applyBorder="1" applyFont="1"/>
    <xf borderId="2" fillId="18" fontId="23" numFmtId="0" xfId="0" applyAlignment="1" applyBorder="1" applyFill="1" applyFont="1">
      <alignment horizontal="center" readingOrder="0" shrinkToFit="0" vertical="center" wrapText="1"/>
    </xf>
    <xf borderId="2" fillId="2" fontId="23" numFmtId="0" xfId="0" applyAlignment="1" applyBorder="1" applyFont="1">
      <alignment horizontal="center" readingOrder="0" shrinkToFit="0" vertical="center" wrapText="1"/>
    </xf>
    <xf borderId="2" fillId="7" fontId="23" numFmtId="0" xfId="0" applyAlignment="1" applyBorder="1" applyFont="1">
      <alignment horizontal="center" readingOrder="0" shrinkToFit="0" vertical="center" wrapText="1"/>
    </xf>
    <xf borderId="2" fillId="9" fontId="23" numFmtId="0" xfId="0" applyAlignment="1" applyBorder="1" applyFont="1">
      <alignment horizontal="center" readingOrder="0" shrinkToFit="0" vertical="center" wrapText="1"/>
    </xf>
    <xf borderId="3" fillId="10" fontId="23" numFmtId="0" xfId="0" applyAlignment="1" applyBorder="1" applyFont="1">
      <alignment horizontal="center" readingOrder="0" shrinkToFit="0" vertical="center" wrapText="1"/>
    </xf>
    <xf borderId="6" fillId="2" fontId="22" numFmtId="0" xfId="0" applyAlignment="1" applyBorder="1" applyFont="1">
      <alignment horizontal="center" readingOrder="0" vertical="center"/>
    </xf>
    <xf borderId="7" fillId="4" fontId="8" numFmtId="0" xfId="0" applyAlignment="1" applyBorder="1" applyFont="1">
      <alignment horizontal="center" readingOrder="0" shrinkToFit="0" vertical="center" wrapText="1"/>
    </xf>
    <xf borderId="7" fillId="6" fontId="18" numFmtId="0" xfId="0" applyAlignment="1" applyBorder="1" applyFont="1">
      <alignment horizontal="center" readingOrder="0" vertical="center"/>
    </xf>
    <xf borderId="7" fillId="5" fontId="1" numFmtId="0" xfId="0" applyAlignment="1" applyBorder="1" applyFont="1">
      <alignment horizontal="center" readingOrder="0" vertical="center"/>
    </xf>
    <xf borderId="7" fillId="7" fontId="1" numFmtId="0" xfId="0" applyAlignment="1" applyBorder="1" applyFont="1">
      <alignment horizontal="center" readingOrder="0" vertical="center"/>
    </xf>
    <xf borderId="7" fillId="9" fontId="1" numFmtId="0" xfId="0" applyAlignment="1" applyBorder="1" applyFont="1">
      <alignment horizontal="center" readingOrder="0" vertical="center"/>
    </xf>
    <xf borderId="7" fillId="10" fontId="1" numFmtId="0" xfId="0" applyAlignment="1" applyBorder="1" applyFont="1">
      <alignment horizontal="center" readingOrder="0" vertical="center"/>
    </xf>
    <xf borderId="7" fillId="6" fontId="1" numFmtId="0" xfId="0" applyAlignment="1" applyBorder="1" applyFont="1">
      <alignment horizontal="center" readingOrder="0" vertical="center"/>
    </xf>
    <xf borderId="7" fillId="18" fontId="23" numFmtId="0" xfId="0" applyAlignment="1" applyBorder="1" applyFont="1">
      <alignment horizontal="center" readingOrder="0" shrinkToFit="0" vertical="center" wrapText="1"/>
    </xf>
    <xf borderId="7" fillId="7" fontId="23" numFmtId="0" xfId="0" applyAlignment="1" applyBorder="1" applyFont="1">
      <alignment horizontal="center" readingOrder="0" shrinkToFit="0" vertical="center" wrapText="1"/>
    </xf>
    <xf borderId="7" fillId="9" fontId="23" numFmtId="0" xfId="0" applyAlignment="1" applyBorder="1" applyFont="1">
      <alignment horizontal="center" readingOrder="0" shrinkToFit="0" vertical="center" wrapText="1"/>
    </xf>
    <xf borderId="8" fillId="10" fontId="23" numFmtId="0" xfId="0" applyAlignment="1" applyBorder="1" applyFont="1">
      <alignment horizontal="center" readingOrder="0" shrinkToFit="0" vertical="center" wrapText="1"/>
    </xf>
    <xf borderId="4" fillId="2" fontId="11" numFmtId="0" xfId="0" applyAlignment="1" applyBorder="1" applyFont="1">
      <alignment horizontal="center" readingOrder="0" shrinkToFit="0" vertical="center" wrapText="1"/>
    </xf>
    <xf borderId="1" fillId="2" fontId="1" numFmtId="0" xfId="0" applyAlignment="1" applyBorder="1" applyFont="1">
      <alignment readingOrder="0"/>
    </xf>
    <xf borderId="2" fillId="2" fontId="24" numFmtId="0" xfId="0" applyAlignment="1" applyBorder="1" applyFont="1">
      <alignment horizontal="left" readingOrder="0" vertical="top"/>
    </xf>
    <xf borderId="3" fillId="2" fontId="1" numFmtId="0" xfId="0" applyBorder="1" applyFont="1"/>
    <xf borderId="17" fillId="19" fontId="25" numFmtId="0" xfId="0" applyAlignment="1" applyBorder="1" applyFill="1" applyFont="1">
      <alignment horizontal="center" readingOrder="0" vertical="center"/>
    </xf>
    <xf borderId="17" fillId="19" fontId="25" numFmtId="0" xfId="0" applyAlignment="1" applyBorder="1" applyFont="1">
      <alignment horizontal="center" readingOrder="0" shrinkToFit="0" vertical="center" wrapText="1"/>
    </xf>
    <xf borderId="18" fillId="19" fontId="25" numFmtId="0" xfId="0" applyAlignment="1" applyBorder="1" applyFont="1">
      <alignment horizontal="center" readingOrder="0" vertical="center"/>
    </xf>
    <xf borderId="19" fillId="0" fontId="4" numFmtId="0" xfId="0" applyBorder="1" applyFont="1"/>
    <xf borderId="17" fillId="19" fontId="12" numFmtId="0" xfId="0" applyAlignment="1" applyBorder="1" applyFont="1">
      <alignment horizontal="center" readingOrder="0" vertical="center"/>
    </xf>
    <xf borderId="17" fillId="2" fontId="12" numFmtId="0" xfId="0" applyAlignment="1" applyBorder="1" applyFont="1">
      <alignment horizontal="center" readingOrder="0" vertical="center"/>
    </xf>
    <xf borderId="17" fillId="19" fontId="12" numFmtId="0" xfId="0" applyAlignment="1" applyBorder="1" applyFont="1">
      <alignment horizontal="center" readingOrder="0" shrinkToFit="0" vertical="center" wrapText="1"/>
    </xf>
    <xf borderId="17" fillId="2" fontId="12"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1" fillId="2" fontId="26" numFmtId="0" xfId="0" applyAlignment="1" applyBorder="1" applyFont="1">
      <alignment horizontal="center" shrinkToFit="0" vertical="center" wrapText="1"/>
    </xf>
    <xf borderId="2" fillId="0" fontId="19" numFmtId="0" xfId="0" applyAlignment="1" applyBorder="1" applyFont="1">
      <alignment horizontal="center" readingOrder="0" shrinkToFit="0" vertical="center" wrapText="1"/>
    </xf>
    <xf borderId="2" fillId="2" fontId="26" numFmtId="0" xfId="0" applyAlignment="1" applyBorder="1" applyFont="1">
      <alignment horizontal="center" shrinkToFit="0" vertical="center" wrapText="1"/>
    </xf>
    <xf borderId="2" fillId="20" fontId="27" numFmtId="0" xfId="0" applyAlignment="1" applyBorder="1" applyFill="1" applyFont="1">
      <alignment horizontal="center" shrinkToFit="0" vertical="center" wrapText="1"/>
    </xf>
    <xf borderId="2" fillId="12" fontId="28" numFmtId="0" xfId="0" applyAlignment="1" applyBorder="1" applyFont="1">
      <alignment vertical="center"/>
    </xf>
    <xf borderId="2" fillId="0" fontId="1" numFmtId="0" xfId="0" applyAlignment="1" applyBorder="1" applyFont="1">
      <alignment horizontal="center" readingOrder="0" vertical="center"/>
    </xf>
    <xf borderId="2" fillId="2" fontId="28" numFmtId="0" xfId="0" applyAlignment="1" applyBorder="1" applyFont="1">
      <alignment vertical="center"/>
    </xf>
    <xf borderId="2" fillId="14" fontId="19" numFmtId="0" xfId="0" applyAlignment="1" applyBorder="1" applyFont="1">
      <alignment horizontal="center" shrinkToFit="0" vertical="center" wrapText="1"/>
    </xf>
    <xf borderId="2" fillId="2" fontId="28" numFmtId="0" xfId="0" applyAlignment="1" applyBorder="1" applyFont="1">
      <alignment vertical="center"/>
    </xf>
    <xf borderId="2" fillId="12" fontId="1" numFmtId="0" xfId="0" applyAlignment="1" applyBorder="1" applyFont="1">
      <alignment horizontal="center" vertical="center"/>
    </xf>
    <xf borderId="3" fillId="21" fontId="1" numFmtId="0" xfId="0" applyAlignment="1" applyBorder="1" applyFill="1" applyFont="1">
      <alignment horizontal="center" shrinkToFit="0" vertical="center" wrapText="1"/>
    </xf>
    <xf borderId="4" fillId="2" fontId="26" numFmtId="0" xfId="0" applyAlignment="1" applyBorder="1" applyFont="1">
      <alignment horizontal="center" shrinkToFit="0" vertical="center" wrapText="1"/>
    </xf>
    <xf borderId="0" fillId="0" fontId="19" numFmtId="0" xfId="0" applyAlignment="1" applyFont="1">
      <alignment horizontal="center" readingOrder="0" shrinkToFit="0" vertical="center" wrapText="1"/>
    </xf>
    <xf borderId="0" fillId="2" fontId="26" numFmtId="0" xfId="0" applyAlignment="1" applyFont="1">
      <alignment horizontal="center" shrinkToFit="0" vertical="center" wrapText="1"/>
    </xf>
    <xf borderId="0" fillId="20" fontId="27" numFmtId="0" xfId="0" applyAlignment="1" applyFont="1">
      <alignment horizontal="center" shrinkToFit="0" vertical="center" wrapText="1"/>
    </xf>
    <xf borderId="0" fillId="12" fontId="28" numFmtId="0" xfId="0" applyAlignment="1" applyFont="1">
      <alignment vertical="center"/>
    </xf>
    <xf borderId="0" fillId="0" fontId="1" numFmtId="0" xfId="0" applyAlignment="1" applyFont="1">
      <alignment horizontal="center" readingOrder="0" vertical="center"/>
    </xf>
    <xf borderId="0" fillId="14" fontId="19" numFmtId="0" xfId="0" applyAlignment="1" applyFont="1">
      <alignment horizontal="center" shrinkToFit="0" vertical="center" wrapText="1"/>
    </xf>
    <xf borderId="0" fillId="12" fontId="1" numFmtId="0" xfId="0" applyAlignment="1" applyFont="1">
      <alignment horizontal="center" vertical="center"/>
    </xf>
    <xf borderId="5" fillId="21" fontId="1" numFmtId="0" xfId="0" applyAlignment="1" applyBorder="1" applyFont="1">
      <alignment horizontal="center" shrinkToFit="0" vertical="center" wrapText="1"/>
    </xf>
    <xf borderId="0" fillId="0" fontId="1" numFmtId="0" xfId="0" applyAlignment="1" applyFont="1">
      <alignment horizontal="center" vertical="center"/>
    </xf>
    <xf borderId="6" fillId="2" fontId="26" numFmtId="0" xfId="0" applyAlignment="1" applyBorder="1" applyFont="1">
      <alignment horizontal="center" shrinkToFit="0" vertical="center" wrapText="1"/>
    </xf>
    <xf borderId="7" fillId="0" fontId="19" numFmtId="0" xfId="0" applyAlignment="1" applyBorder="1" applyFont="1">
      <alignment horizontal="center" readingOrder="0" shrinkToFit="0" vertical="center" wrapText="1"/>
    </xf>
    <xf borderId="7" fillId="2" fontId="26" numFmtId="0" xfId="0" applyAlignment="1" applyBorder="1" applyFont="1">
      <alignment horizontal="center" shrinkToFit="0" vertical="center" wrapText="1"/>
    </xf>
    <xf borderId="7" fillId="20" fontId="27" numFmtId="0" xfId="0" applyAlignment="1" applyBorder="1" applyFont="1">
      <alignment horizontal="center" shrinkToFit="0" vertical="center" wrapText="1"/>
    </xf>
    <xf borderId="7" fillId="0" fontId="1" numFmtId="0" xfId="0" applyAlignment="1" applyBorder="1" applyFont="1">
      <alignment horizontal="center" readingOrder="0" vertical="center"/>
    </xf>
    <xf borderId="7" fillId="14" fontId="19" numFmtId="0" xfId="0" applyAlignment="1" applyBorder="1" applyFont="1">
      <alignment horizontal="center" shrinkToFit="0" vertical="center" wrapText="1"/>
    </xf>
    <xf borderId="7" fillId="12" fontId="1" numFmtId="0" xfId="0" applyAlignment="1" applyBorder="1" applyFont="1">
      <alignment horizontal="center" vertical="center"/>
    </xf>
    <xf borderId="8" fillId="21" fontId="1" numFmtId="0" xfId="0" applyAlignment="1" applyBorder="1" applyFont="1">
      <alignment horizontal="center" shrinkToFit="0" vertical="center" wrapText="1"/>
    </xf>
    <xf borderId="0" fillId="2" fontId="2" numFmtId="0" xfId="0" applyAlignment="1" applyFont="1">
      <alignment horizontal="center" shrinkToFit="0" vertical="center" wrapText="1"/>
    </xf>
    <xf borderId="2" fillId="12" fontId="27" numFmtId="0" xfId="0" applyAlignment="1" applyBorder="1" applyFont="1">
      <alignment horizontal="center" shrinkToFit="0" vertical="center" wrapText="1"/>
    </xf>
    <xf borderId="0" fillId="12" fontId="27" numFmtId="0" xfId="0" applyAlignment="1" applyFont="1">
      <alignment horizontal="center" shrinkToFit="0" vertical="center" wrapText="1"/>
    </xf>
    <xf borderId="7" fillId="12" fontId="28" numFmtId="0" xfId="0" applyAlignment="1" applyBorder="1" applyFont="1">
      <alignment vertical="center"/>
    </xf>
    <xf borderId="7" fillId="0" fontId="1" numFmtId="0" xfId="0" applyAlignment="1" applyBorder="1" applyFont="1">
      <alignment horizontal="center" vertical="center"/>
    </xf>
    <xf borderId="0" fillId="0" fontId="19" numFmtId="0" xfId="0" applyAlignment="1" applyFont="1">
      <alignment horizontal="center" shrinkToFit="0" vertical="center" wrapText="1"/>
    </xf>
    <xf borderId="7" fillId="0" fontId="19" numFmtId="0" xfId="0" applyAlignment="1" applyBorder="1" applyFont="1">
      <alignment horizontal="center" shrinkToFit="0" vertical="center" wrapText="1"/>
    </xf>
    <xf borderId="7" fillId="12" fontId="27" numFmtId="0" xfId="0" applyAlignment="1" applyBorder="1" applyFont="1">
      <alignment horizontal="center" shrinkToFit="0" vertical="center" wrapText="1"/>
    </xf>
    <xf borderId="2" fillId="0" fontId="1" numFmtId="0" xfId="0" applyAlignment="1" applyBorder="1" applyFont="1">
      <alignment horizontal="center" vertical="center"/>
    </xf>
    <xf borderId="0" fillId="2" fontId="26" numFmtId="0" xfId="0" applyAlignment="1" applyFont="1">
      <alignment horizontal="center" readingOrder="0" shrinkToFit="0" vertical="center" wrapText="1"/>
    </xf>
    <xf borderId="2" fillId="0" fontId="19" numFmtId="0" xfId="0" applyAlignment="1" applyBorder="1" applyFont="1">
      <alignment horizontal="center" shrinkToFit="0" vertical="center" wrapText="1"/>
    </xf>
    <xf borderId="0" fillId="19" fontId="12" numFmtId="0" xfId="0" applyAlignment="1" applyFont="1">
      <alignment horizontal="center" readingOrder="0" shrinkToFit="0" vertical="center" wrapText="1"/>
    </xf>
    <xf borderId="0" fillId="2" fontId="29" numFmtId="0" xfId="0" applyAlignment="1" applyFont="1">
      <alignment shrinkToFit="0" vertical="center" wrapText="1"/>
    </xf>
    <xf borderId="0" fillId="2" fontId="19" numFmtId="0" xfId="0" applyAlignment="1" applyFont="1">
      <alignment horizontal="center" shrinkToFit="0" vertical="center" wrapText="1"/>
    </xf>
    <xf borderId="0" fillId="2" fontId="29" numFmtId="0" xfId="0" applyAlignment="1" applyFont="1">
      <alignment readingOrder="0" shrinkToFit="0" vertical="center" wrapText="1"/>
    </xf>
    <xf borderId="1" fillId="2" fontId="26" numFmtId="0" xfId="0" applyAlignment="1" applyBorder="1" applyFont="1">
      <alignment horizontal="center" readingOrder="0" shrinkToFit="0" vertical="center" wrapText="1"/>
    </xf>
    <xf quotePrefix="1" borderId="2" fillId="2" fontId="26" numFmtId="0" xfId="0" applyAlignment="1" applyBorder="1" applyFont="1">
      <alignment horizontal="center" readingOrder="0" shrinkToFit="0" vertical="center" wrapText="1"/>
    </xf>
    <xf borderId="2" fillId="4" fontId="19" numFmtId="0" xfId="0" applyAlignment="1" applyBorder="1" applyFont="1">
      <alignment horizontal="center" readingOrder="0" shrinkToFit="0" vertical="center" wrapText="1"/>
    </xf>
    <xf borderId="2" fillId="20" fontId="19" numFmtId="0" xfId="0" applyAlignment="1" applyBorder="1" applyFont="1">
      <alignment horizontal="center" vertical="center"/>
    </xf>
    <xf borderId="2" fillId="2" fontId="4" numFmtId="0" xfId="0" applyAlignment="1" applyBorder="1" applyFont="1">
      <alignment vertical="center"/>
    </xf>
    <xf borderId="2" fillId="2" fontId="29" numFmtId="0" xfId="0" applyAlignment="1" applyBorder="1" applyFont="1">
      <alignment shrinkToFit="0" vertical="center" wrapText="1"/>
    </xf>
    <xf borderId="2" fillId="22" fontId="19" numFmtId="0" xfId="0" applyAlignment="1" applyBorder="1" applyFill="1" applyFont="1">
      <alignment horizontal="center" shrinkToFit="0" vertical="center" wrapText="1"/>
    </xf>
    <xf borderId="2" fillId="2" fontId="30" numFmtId="0" xfId="0" applyAlignment="1" applyBorder="1" applyFont="1">
      <alignment vertical="center"/>
    </xf>
    <xf borderId="2" fillId="2" fontId="19" numFmtId="0" xfId="0" applyAlignment="1" applyBorder="1" applyFont="1">
      <alignment horizontal="center" shrinkToFit="0" vertical="center" wrapText="1"/>
    </xf>
    <xf borderId="2" fillId="2" fontId="29" numFmtId="0" xfId="0" applyAlignment="1" applyBorder="1" applyFont="1">
      <alignment readingOrder="0" shrinkToFit="0" vertical="center" wrapText="1"/>
    </xf>
    <xf borderId="3" fillId="0" fontId="18" numFmtId="0" xfId="0" applyAlignment="1" applyBorder="1" applyFont="1">
      <alignment horizontal="center" readingOrder="0" shrinkToFit="0" vertical="center" wrapText="1"/>
    </xf>
    <xf borderId="4" fillId="2" fontId="26" numFmtId="0" xfId="0" applyAlignment="1" applyBorder="1" applyFont="1">
      <alignment horizontal="center" readingOrder="0" shrinkToFit="0" vertical="center" wrapText="1"/>
    </xf>
    <xf quotePrefix="1" borderId="0" fillId="2" fontId="26" numFmtId="0" xfId="0" applyAlignment="1" applyFont="1">
      <alignment horizontal="center" readingOrder="0" shrinkToFit="0" vertical="center" wrapText="1"/>
    </xf>
    <xf borderId="0" fillId="4" fontId="19" numFmtId="0" xfId="0" applyAlignment="1" applyFont="1">
      <alignment horizontal="center" readingOrder="0" shrinkToFit="0" vertical="center" wrapText="1"/>
    </xf>
    <xf borderId="0" fillId="20" fontId="19" numFmtId="0" xfId="0" applyAlignment="1" applyFont="1">
      <alignment horizontal="center" vertical="center"/>
    </xf>
    <xf borderId="0" fillId="2" fontId="4" numFmtId="0" xfId="0" applyAlignment="1" applyFont="1">
      <alignment vertical="center"/>
    </xf>
    <xf borderId="0" fillId="22" fontId="19" numFmtId="0" xfId="0" applyAlignment="1" applyFont="1">
      <alignment horizontal="center" shrinkToFit="0" vertical="center" wrapText="1"/>
    </xf>
    <xf borderId="0" fillId="2" fontId="30" numFmtId="0" xfId="0" applyAlignment="1" applyFont="1">
      <alignment vertical="center"/>
    </xf>
    <xf borderId="5" fillId="0" fontId="18" numFmtId="0" xfId="0" applyAlignment="1" applyBorder="1" applyFont="1">
      <alignment horizontal="center" readingOrder="0" shrinkToFit="0" vertical="center" wrapText="1"/>
    </xf>
    <xf borderId="10" fillId="2" fontId="2" numFmtId="0" xfId="0" applyAlignment="1" applyBorder="1" applyFont="1">
      <alignment horizontal="center" readingOrder="0" shrinkToFit="0" vertical="center" wrapText="1"/>
    </xf>
    <xf borderId="20" fillId="20" fontId="8" numFmtId="0" xfId="0" applyAlignment="1" applyBorder="1" applyFont="1">
      <alignment horizontal="center" readingOrder="0" shrinkToFit="0" vertical="center" wrapText="1"/>
    </xf>
    <xf borderId="0" fillId="4" fontId="1" numFmtId="0" xfId="0" applyAlignment="1" applyFont="1">
      <alignment horizontal="center" readingOrder="0" vertical="center"/>
    </xf>
    <xf borderId="20" fillId="4" fontId="8" numFmtId="0" xfId="0" applyAlignment="1" applyBorder="1" applyFont="1">
      <alignment horizontal="center" readingOrder="0" shrinkToFit="0" vertical="center" wrapText="1"/>
    </xf>
    <xf borderId="0" fillId="4" fontId="1" numFmtId="0" xfId="0" applyAlignment="1" applyFont="1">
      <alignment horizontal="center" vertical="center"/>
    </xf>
    <xf borderId="21" fillId="4" fontId="8" numFmtId="0" xfId="0" applyAlignment="1" applyBorder="1" applyFont="1">
      <alignment horizontal="center" readingOrder="0" shrinkToFit="0" vertical="center" wrapText="1"/>
    </xf>
    <xf borderId="7" fillId="4" fontId="1" numFmtId="0" xfId="0" applyAlignment="1" applyBorder="1" applyFont="1">
      <alignment horizontal="center" vertical="center"/>
    </xf>
    <xf borderId="6" fillId="2" fontId="26" numFmtId="0" xfId="0" applyAlignment="1" applyBorder="1" applyFont="1">
      <alignment horizontal="center" readingOrder="0" shrinkToFit="0" vertical="center" wrapText="1"/>
    </xf>
    <xf quotePrefix="1" borderId="7" fillId="2" fontId="26" numFmtId="0" xfId="0" applyAlignment="1" applyBorder="1" applyFont="1">
      <alignment horizontal="center" readingOrder="0" shrinkToFit="0" vertical="center" wrapText="1"/>
    </xf>
    <xf borderId="7" fillId="4" fontId="19" numFmtId="0" xfId="0" applyAlignment="1" applyBorder="1" applyFont="1">
      <alignment horizontal="center" readingOrder="0" shrinkToFit="0" vertical="center" wrapText="1"/>
    </xf>
    <xf borderId="7" fillId="20" fontId="19" numFmtId="0" xfId="0" applyAlignment="1" applyBorder="1" applyFont="1">
      <alignment horizontal="center" vertical="center"/>
    </xf>
    <xf borderId="7" fillId="2" fontId="4" numFmtId="0" xfId="0" applyAlignment="1" applyBorder="1" applyFont="1">
      <alignment vertical="center"/>
    </xf>
    <xf borderId="7" fillId="2" fontId="29" numFmtId="0" xfId="0" applyAlignment="1" applyBorder="1" applyFont="1">
      <alignment shrinkToFit="0" vertical="center" wrapText="1"/>
    </xf>
    <xf borderId="7" fillId="22" fontId="19" numFmtId="0" xfId="0" applyAlignment="1" applyBorder="1" applyFont="1">
      <alignment horizontal="center" shrinkToFit="0" vertical="center" wrapText="1"/>
    </xf>
    <xf borderId="7" fillId="2" fontId="30" numFmtId="0" xfId="0" applyAlignment="1" applyBorder="1" applyFont="1">
      <alignment vertical="center"/>
    </xf>
    <xf borderId="7" fillId="2" fontId="19" numFmtId="0" xfId="0" applyAlignment="1" applyBorder="1" applyFont="1">
      <alignment horizontal="center" shrinkToFit="0" vertical="center" wrapText="1"/>
    </xf>
    <xf borderId="7" fillId="2" fontId="29" numFmtId="0" xfId="0" applyAlignment="1" applyBorder="1" applyFont="1">
      <alignment readingOrder="0" shrinkToFit="0" vertical="center" wrapText="1"/>
    </xf>
    <xf borderId="8" fillId="0" fontId="18" numFmtId="0" xfId="0" applyAlignment="1" applyBorder="1" applyFont="1">
      <alignment horizontal="center" readingOrder="0" shrinkToFit="0" vertical="center" wrapText="1"/>
    </xf>
    <xf borderId="22" fillId="2" fontId="24" numFmtId="0" xfId="0" applyAlignment="1" applyBorder="1" applyFont="1">
      <alignment horizontal="center" readingOrder="0" vertical="center"/>
    </xf>
    <xf borderId="23" fillId="0" fontId="4" numFmtId="0" xfId="0" applyBorder="1" applyFont="1"/>
    <xf borderId="14" fillId="0" fontId="4" numFmtId="0" xfId="0" applyBorder="1" applyFont="1"/>
    <xf borderId="0" fillId="2" fontId="24" numFmtId="0" xfId="0" applyAlignment="1" applyFont="1">
      <alignment horizontal="center" readingOrder="0" vertical="center"/>
    </xf>
    <xf borderId="0" fillId="2" fontId="22" numFmtId="0" xfId="0" applyAlignment="1" applyFont="1">
      <alignment horizontal="center" readingOrder="0" vertical="center"/>
    </xf>
    <xf borderId="0" fillId="2" fontId="21" numFmtId="0" xfId="0" applyAlignment="1" applyFont="1">
      <alignment horizontal="center" readingOrder="0" vertical="center"/>
    </xf>
    <xf borderId="0" fillId="2" fontId="21" numFmtId="49" xfId="0" applyAlignment="1" applyFont="1" applyNumberFormat="1">
      <alignment horizontal="center" readingOrder="0" vertical="center"/>
    </xf>
    <xf borderId="24" fillId="4" fontId="31" numFmtId="49" xfId="0" applyAlignment="1" applyBorder="1" applyFont="1" applyNumberFormat="1">
      <alignment horizontal="center" readingOrder="0" shrinkToFit="0" vertical="center" wrapText="1"/>
    </xf>
    <xf borderId="0" fillId="4" fontId="10" numFmtId="49" xfId="0" applyAlignment="1" applyFont="1" applyNumberFormat="1">
      <alignment horizontal="center" readingOrder="0" shrinkToFit="0" vertical="center" wrapText="1"/>
    </xf>
    <xf borderId="0" fillId="4" fontId="10" numFmtId="49" xfId="0" applyAlignment="1" applyFont="1" applyNumberFormat="1">
      <alignment horizontal="center" shrinkToFit="0" vertical="center" wrapText="1"/>
    </xf>
    <xf borderId="0" fillId="4" fontId="10" numFmtId="4" xfId="0" applyAlignment="1" applyFont="1" applyNumberFormat="1">
      <alignment horizontal="center" readingOrder="0" shrinkToFit="0" vertical="center" wrapText="1"/>
    </xf>
    <xf borderId="0" fillId="4" fontId="32" numFmtId="0" xfId="0" applyAlignment="1" applyFont="1">
      <alignment horizontal="center" readingOrder="0" vertical="center"/>
    </xf>
    <xf borderId="24" fillId="4" fontId="33" numFmtId="0" xfId="0" applyAlignment="1" applyBorder="1" applyFont="1">
      <alignment horizontal="center" readingOrder="0" shrinkToFit="0" vertical="center" wrapText="1"/>
    </xf>
    <xf borderId="0" fillId="4" fontId="34" numFmtId="0" xfId="0" applyAlignment="1" applyFont="1">
      <alignment horizontal="center" readingOrder="0" shrinkToFit="0" vertical="center" wrapText="1"/>
    </xf>
    <xf borderId="0" fillId="4" fontId="10" numFmtId="0" xfId="0" applyAlignment="1" applyFont="1">
      <alignment readingOrder="0" shrinkToFit="0" vertical="center" wrapText="1"/>
    </xf>
    <xf borderId="24" fillId="0" fontId="4" numFmtId="0" xfId="0" applyBorder="1" applyFont="1"/>
    <xf borderId="0" fillId="4" fontId="10" numFmtId="4" xfId="0" applyAlignment="1" applyFont="1" applyNumberFormat="1">
      <alignment horizontal="center" shrinkToFit="0" vertical="center" wrapText="1"/>
    </xf>
    <xf borderId="24" fillId="23" fontId="33" numFmtId="0" xfId="0" applyAlignment="1" applyBorder="1" applyFill="1" applyFont="1">
      <alignment horizontal="center" readingOrder="0" shrinkToFit="0" vertical="center" wrapText="1"/>
    </xf>
    <xf borderId="0" fillId="4" fontId="35" numFmtId="49" xfId="0" applyAlignment="1" applyFont="1" applyNumberFormat="1">
      <alignment horizontal="center" readingOrder="0" shrinkToFit="0" vertical="center" wrapText="1"/>
    </xf>
    <xf quotePrefix="1" borderId="0" fillId="4" fontId="10" numFmtId="0" xfId="0" applyAlignment="1" applyFont="1">
      <alignment readingOrder="0" shrinkToFit="0" vertical="center" wrapText="1"/>
    </xf>
    <xf borderId="24" fillId="4" fontId="28" numFmtId="0" xfId="0" applyAlignment="1" applyBorder="1" applyFont="1">
      <alignment vertical="center"/>
    </xf>
    <xf borderId="0" fillId="18" fontId="15" numFmtId="4" xfId="0" applyAlignment="1" applyFont="1" applyNumberFormat="1">
      <alignment horizontal="center" vertical="center"/>
    </xf>
    <xf borderId="0" fillId="18" fontId="10" numFmtId="4" xfId="0" applyAlignment="1" applyFont="1" applyNumberFormat="1">
      <alignment horizontal="center" vertical="center"/>
    </xf>
    <xf borderId="24" fillId="4" fontId="36" numFmtId="0" xfId="0" applyAlignment="1" applyBorder="1" applyFont="1">
      <alignment horizontal="center" readingOrder="0" shrinkToFit="0" vertical="center" wrapText="1"/>
    </xf>
    <xf borderId="0" fillId="4" fontId="18" numFmtId="0" xfId="0" applyAlignment="1" applyFont="1">
      <alignment horizontal="center" readingOrder="0" shrinkToFit="0" vertical="center" wrapText="1"/>
    </xf>
    <xf borderId="0" fillId="4" fontId="18" numFmtId="0" xfId="0" applyAlignment="1" applyFont="1">
      <alignment horizontal="center" shrinkToFit="0" vertical="center" wrapText="1"/>
    </xf>
    <xf borderId="0" fillId="2" fontId="22" numFmtId="0" xfId="0" applyAlignment="1" applyFont="1">
      <alignment horizontal="center" readingOrder="0" vertical="center"/>
    </xf>
    <xf borderId="24" fillId="4" fontId="36" numFmtId="0" xfId="0" applyAlignment="1" applyBorder="1" applyFont="1">
      <alignment horizontal="center" readingOrder="0" vertical="center"/>
    </xf>
    <xf borderId="0" fillId="2" fontId="2" numFmtId="0" xfId="0" applyAlignment="1" applyFont="1">
      <alignment horizontal="center" readingOrder="0" vertical="center"/>
    </xf>
    <xf borderId="0" fillId="4" fontId="36" numFmtId="0" xfId="0" applyAlignment="1" applyFont="1">
      <alignment horizontal="center" readingOrder="0" vertical="center"/>
    </xf>
    <xf borderId="0" fillId="2" fontId="11" numFmtId="0" xfId="0" applyAlignment="1" applyFont="1">
      <alignment horizontal="center" readingOrder="0" vertical="center"/>
    </xf>
    <xf borderId="0" fillId="4" fontId="34" numFmtId="0" xfId="0" applyAlignment="1" applyFont="1">
      <alignment horizontal="center" readingOrder="0" vertical="center"/>
    </xf>
    <xf borderId="0" fillId="4" fontId="18" numFmtId="0" xfId="0" applyAlignment="1" applyFont="1">
      <alignment horizontal="left" readingOrder="0" shrinkToFit="0" vertical="top" wrapText="1"/>
    </xf>
    <xf borderId="24" fillId="23" fontId="28" numFmtId="0" xfId="0" applyBorder="1" applyFont="1"/>
    <xf borderId="0" fillId="23" fontId="28" numFmtId="0" xfId="0" applyFont="1"/>
    <xf borderId="0" fillId="2" fontId="10" numFmtId="0" xfId="0" applyAlignment="1" applyFont="1">
      <alignment readingOrder="0" shrinkToFit="0" vertical="center" wrapText="1"/>
    </xf>
  </cellXfs>
  <cellStyles count="1">
    <cellStyle xfId="0" name="Normal" builtinId="0"/>
  </cellStyles>
  <dxfs count="25">
    <dxf>
      <font/>
      <fill>
        <patternFill patternType="solid">
          <fgColor rgb="FF000000"/>
          <bgColor rgb="FF000000"/>
        </patternFill>
      </fill>
      <border/>
    </dxf>
    <dxf>
      <font>
        <color rgb="FF0B8043"/>
      </font>
      <fill>
        <patternFill patternType="solid">
          <fgColor rgb="FFD9EAD3"/>
          <bgColor rgb="FFD9EAD3"/>
        </patternFill>
      </fill>
      <border/>
    </dxf>
    <dxf>
      <font>
        <color rgb="FFFF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FFFFF"/>
          <bgColor rgb="FFFFFFFF"/>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fill>
        <patternFill patternType="solid">
          <fgColor rgb="FFA4C2F4"/>
          <bgColor rgb="FFA4C2F4"/>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000000"/>
      </font>
      <fill>
        <patternFill patternType="solid">
          <fgColor rgb="FF000000"/>
          <bgColor rgb="FF000000"/>
        </patternFill>
      </fill>
      <border/>
    </dxf>
    <dxf>
      <font>
        <color rgb="FFFF0000"/>
      </font>
      <fill>
        <patternFill patternType="solid">
          <fgColor rgb="FF434343"/>
          <bgColor rgb="FF434343"/>
        </patternFill>
      </fill>
      <border/>
    </dxf>
    <dxf>
      <font/>
      <fill>
        <patternFill patternType="solid">
          <fgColor rgb="FF666666"/>
          <bgColor rgb="FF666666"/>
        </patternFill>
      </fill>
      <border/>
    </dxf>
    <dxf>
      <font>
        <color rgb="FFFF0000"/>
      </font>
      <fill>
        <patternFill patternType="solid">
          <fgColor rgb="FF980000"/>
          <bgColor rgb="FF980000"/>
        </patternFill>
      </fill>
      <border/>
    </dxf>
    <dxf>
      <font>
        <color rgb="FFFF0000"/>
      </font>
      <fill>
        <patternFill patternType="solid">
          <fgColor rgb="FFF4CCCC"/>
          <bgColor rgb="FFF4CCCC"/>
        </patternFill>
      </fill>
      <border/>
    </dxf>
    <dxf>
      <font/>
      <fill>
        <patternFill patternType="solid">
          <fgColor rgb="FFF1C232"/>
          <bgColor rgb="FFF1C232"/>
        </patternFill>
      </fill>
      <border/>
    </dxf>
    <dxf>
      <font>
        <color rgb="FF3C78D8"/>
      </font>
      <fill>
        <patternFill patternType="solid">
          <fgColor rgb="FFFFFFFF"/>
          <bgColor rgb="FFFFFFFF"/>
        </patternFill>
      </fill>
      <border/>
    </dxf>
    <dxf>
      <font>
        <color rgb="FFE69138"/>
      </font>
      <fill>
        <patternFill patternType="solid">
          <fgColor rgb="FFFFFFFF"/>
          <bgColor rgb="FFFFFFFF"/>
        </patternFill>
      </fill>
      <border/>
    </dxf>
    <dxf>
      <font>
        <color rgb="FFB7B7B7"/>
      </font>
      <fill>
        <patternFill patternType="solid">
          <fgColor rgb="FFFFFFFF"/>
          <bgColor rgb="FFFFFFFF"/>
        </patternFill>
      </fill>
      <border/>
    </dxf>
    <dxf>
      <font>
        <color rgb="FF666666"/>
      </font>
      <fill>
        <patternFill patternType="solid">
          <fgColor rgb="FFFFFFFF"/>
          <bgColor rgb="FFFFFFFF"/>
        </patternFill>
      </fill>
      <border/>
    </dxf>
    <dxf>
      <font>
        <color rgb="FF38761D"/>
      </font>
      <fill>
        <patternFill patternType="solid">
          <fgColor rgb="FFFFFFFF"/>
          <bgColor rgb="FFFFFFFF"/>
        </patternFill>
      </fill>
      <border/>
    </dxf>
    <dxf>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13</xdr:row>
      <xdr:rowOff>276225</xdr:rowOff>
    </xdr:from>
    <xdr:ext cx="962025" cy="276225"/>
    <xdr:sp>
      <xdr:nvSpPr>
        <xdr:cNvPr id="3" name="Shape 3"/>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-2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13</xdr:row>
      <xdr:rowOff>0</xdr:rowOff>
    </xdr:from>
    <xdr:ext cx="962025" cy="276225"/>
    <xdr:sp>
      <xdr:nvSpPr>
        <xdr:cNvPr id="4" name="Shape 4"/>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-1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14</xdr:row>
      <xdr:rowOff>171450</xdr:rowOff>
    </xdr:from>
    <xdr:ext cx="962025" cy="276225"/>
    <xdr:sp>
      <xdr:nvSpPr>
        <xdr:cNvPr id="5" name="Shape 5"/>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-3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15</xdr:row>
      <xdr:rowOff>66675</xdr:rowOff>
    </xdr:from>
    <xdr:ext cx="962025" cy="276225"/>
    <xdr:sp>
      <xdr:nvSpPr>
        <xdr:cNvPr id="6" name="Shape 6"/>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-4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15</xdr:row>
      <xdr:rowOff>342900</xdr:rowOff>
    </xdr:from>
    <xdr:ext cx="962025" cy="276225"/>
    <xdr:sp>
      <xdr:nvSpPr>
        <xdr:cNvPr id="7" name="Shape 7"/>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-5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16</xdr:row>
      <xdr:rowOff>266700</xdr:rowOff>
    </xdr:from>
    <xdr:ext cx="971550" cy="476250"/>
    <xdr:sp>
      <xdr:nvSpPr>
        <xdr:cNvPr id="8" name="Shape 8"/>
        <xdr:cNvSpPr/>
      </xdr:nvSpPr>
      <xdr:spPr>
        <a:xfrm>
          <a:off x="3486150" y="1243275"/>
          <a:ext cx="952500" cy="461700"/>
        </a:xfrm>
        <a:prstGeom prst="flowChartAlternateProcess">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New</a:t>
          </a:r>
          <a:endParaRPr sz="1200">
            <a:latin typeface="Inknut Antiqua"/>
            <a:ea typeface="Inknut Antiqua"/>
            <a:cs typeface="Inknut Antiqua"/>
            <a:sym typeface="Inknut Antiqua"/>
          </a:endParaRPr>
        </a:p>
        <a:p>
          <a:pPr indent="0" lvl="0" marL="0" rtl="0" algn="ctr">
            <a:spcBef>
              <a:spcPts val="0"/>
            </a:spcBef>
            <a:spcAft>
              <a:spcPts val="0"/>
            </a:spcAft>
            <a:buNone/>
          </a:pPr>
          <a:r>
            <a:rPr lang="en-US" sz="1200">
              <a:latin typeface="Inknut Antiqua"/>
              <a:ea typeface="Inknut Antiqua"/>
              <a:cs typeface="Inknut Antiqua"/>
              <a:sym typeface="Inknut Antiqua"/>
            </a:rPr>
            <a:t>Round</a:t>
          </a:r>
          <a:endParaRPr sz="1200">
            <a:latin typeface="Inknut Antiqua"/>
            <a:ea typeface="Inknut Antiqua"/>
            <a:cs typeface="Inknut Antiqua"/>
            <a:sym typeface="Inknut Antiqua"/>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9" width="13.88"/>
    <col customWidth="1" min="10" max="10" width="1.38"/>
    <col customWidth="1" min="11" max="11" width="13.88"/>
    <col customWidth="1" min="12" max="12" width="1.38"/>
    <col customWidth="1" min="13" max="13" width="13.88"/>
    <col customWidth="1" min="14" max="14" width="1.38"/>
    <col customWidth="1" min="15" max="15" width="13.88"/>
    <col customWidth="1" min="16" max="16" width="1.38"/>
    <col customWidth="1" min="17" max="17" width="13.88"/>
    <col customWidth="1" min="18" max="18" width="4.13"/>
    <col customWidth="1" min="19" max="22" width="3.5"/>
    <col customWidth="1" min="23" max="23" width="1.38"/>
    <col customWidth="1" min="24" max="27" width="3.5"/>
    <col customWidth="1" min="28" max="28" width="1.38"/>
    <col customWidth="1" min="29" max="32" width="3.5"/>
    <col customWidth="1" min="33" max="33" width="1.38"/>
    <col customWidth="1" min="34" max="37" width="3.5"/>
    <col customWidth="1" min="38" max="38" width="4.13"/>
    <col customWidth="1" min="39" max="42" width="3.5"/>
    <col customWidth="1" min="43" max="43" width="1.38"/>
    <col customWidth="1" min="44" max="47" width="3.5"/>
    <col customWidth="1" min="48" max="48" width="1.38"/>
    <col customWidth="1" min="49" max="52" width="3.5"/>
    <col customWidth="1" min="53" max="53" width="1.38"/>
    <col customWidth="1" min="54" max="58" width="3.5"/>
  </cols>
  <sheetData>
    <row r="1" ht="15.0" customHeight="1">
      <c r="A1" s="1"/>
      <c r="J1" s="1"/>
    </row>
    <row r="2" ht="30.0" customHeight="1">
      <c r="A2" s="1"/>
      <c r="B2" s="2" t="s">
        <v>0</v>
      </c>
      <c r="C2" s="3" t="s">
        <v>1</v>
      </c>
      <c r="D2" s="4"/>
      <c r="E2" s="5" t="s">
        <v>2</v>
      </c>
      <c r="F2" s="6" t="s">
        <v>3</v>
      </c>
      <c r="G2" s="5" t="s">
        <v>4</v>
      </c>
      <c r="H2" s="6">
        <v>210.0</v>
      </c>
      <c r="I2" s="7" t="s">
        <v>5</v>
      </c>
    </row>
    <row r="3" ht="30.0" customHeight="1">
      <c r="B3" s="8" t="s">
        <v>6</v>
      </c>
      <c r="C3" s="9" t="s">
        <v>7</v>
      </c>
      <c r="E3" s="10" t="s">
        <v>8</v>
      </c>
      <c r="F3" s="9" t="s">
        <v>9</v>
      </c>
      <c r="G3" s="10" t="s">
        <v>10</v>
      </c>
      <c r="H3" s="9" t="s">
        <v>11</v>
      </c>
      <c r="I3" s="11">
        <v>275.0</v>
      </c>
      <c r="J3" s="12"/>
      <c r="M3" s="13" t="s">
        <v>12</v>
      </c>
      <c r="N3" s="4"/>
      <c r="O3" s="14"/>
      <c r="P3" s="12"/>
      <c r="Q3" s="10" t="s">
        <v>13</v>
      </c>
      <c r="R3" s="15"/>
      <c r="X3" s="16" t="s">
        <v>14</v>
      </c>
      <c r="Y3" s="4"/>
      <c r="Z3" s="4"/>
      <c r="AA3" s="17" t="s">
        <v>12</v>
      </c>
      <c r="AB3" s="4"/>
      <c r="AC3" s="4"/>
      <c r="AD3" s="4"/>
      <c r="AE3" s="4"/>
      <c r="AF3" s="14"/>
      <c r="AG3" s="12"/>
      <c r="AR3" s="18" t="s">
        <v>15</v>
      </c>
      <c r="AS3" s="4"/>
      <c r="AT3" s="4"/>
      <c r="AU3" s="17" t="s">
        <v>16</v>
      </c>
      <c r="AV3" s="4"/>
      <c r="AW3" s="4"/>
      <c r="AX3" s="4"/>
      <c r="AY3" s="4"/>
      <c r="AZ3" s="14"/>
      <c r="BA3" s="12"/>
    </row>
    <row r="4" ht="30.0" customHeight="1">
      <c r="B4" s="8" t="s">
        <v>17</v>
      </c>
      <c r="C4" s="19" t="s">
        <v>18</v>
      </c>
      <c r="G4" s="10" t="s">
        <v>19</v>
      </c>
      <c r="H4" s="9" t="s">
        <v>20</v>
      </c>
      <c r="I4" s="20"/>
      <c r="M4" s="21"/>
      <c r="O4" s="20"/>
      <c r="Q4" s="22" t="b">
        <v>0</v>
      </c>
      <c r="X4" s="21"/>
      <c r="AF4" s="20"/>
      <c r="AR4" s="21"/>
      <c r="AZ4" s="20"/>
    </row>
    <row r="5" ht="30.0" customHeight="1">
      <c r="B5" s="8" t="s">
        <v>17</v>
      </c>
      <c r="C5" s="19" t="s">
        <v>21</v>
      </c>
      <c r="G5" s="10" t="s">
        <v>22</v>
      </c>
      <c r="H5" s="9" t="s">
        <v>23</v>
      </c>
      <c r="I5" s="23" t="s">
        <v>24</v>
      </c>
      <c r="M5" s="24">
        <f>MAX(RESISTMOD*2+CON, 1)</f>
        <v>12</v>
      </c>
      <c r="O5" s="20"/>
      <c r="Q5" s="25" t="b">
        <v>0</v>
      </c>
      <c r="X5" s="26" t="b">
        <v>0</v>
      </c>
      <c r="Y5" s="27" t="b">
        <v>0</v>
      </c>
      <c r="Z5" s="28" t="b">
        <v>0</v>
      </c>
      <c r="AA5" s="29">
        <v>7.0</v>
      </c>
      <c r="AF5" s="20"/>
      <c r="AR5" s="26" t="b">
        <v>0</v>
      </c>
      <c r="AS5" s="27" t="b">
        <v>0</v>
      </c>
      <c r="AT5" s="28" t="b">
        <v>0</v>
      </c>
      <c r="AU5" s="29">
        <v>0.0</v>
      </c>
      <c r="AZ5" s="20"/>
    </row>
    <row r="6" ht="30.0" customHeight="1">
      <c r="B6" s="8" t="s">
        <v>17</v>
      </c>
      <c r="C6" s="19" t="s">
        <v>25</v>
      </c>
      <c r="G6" s="10" t="s">
        <v>26</v>
      </c>
      <c r="H6" s="9" t="s">
        <v>27</v>
      </c>
      <c r="I6" s="30">
        <v>0.0</v>
      </c>
      <c r="M6" s="31"/>
      <c r="N6" s="32"/>
      <c r="O6" s="33"/>
      <c r="Q6" s="34" t="b">
        <v>0</v>
      </c>
      <c r="X6" s="31"/>
      <c r="Y6" s="32"/>
      <c r="Z6" s="32"/>
      <c r="AA6" s="32"/>
      <c r="AB6" s="32"/>
      <c r="AC6" s="32"/>
      <c r="AD6" s="32"/>
      <c r="AE6" s="32"/>
      <c r="AF6" s="33"/>
      <c r="AR6" s="31"/>
      <c r="AS6" s="32"/>
      <c r="AT6" s="32"/>
      <c r="AU6" s="32"/>
      <c r="AV6" s="32"/>
      <c r="AW6" s="32"/>
      <c r="AX6" s="32"/>
      <c r="AY6" s="32"/>
      <c r="AZ6" s="33"/>
    </row>
    <row r="7" ht="30.0" customHeight="1">
      <c r="B7" s="35" t="s">
        <v>28</v>
      </c>
      <c r="C7" s="36">
        <v>38.0</v>
      </c>
      <c r="D7" s="37" t="s">
        <v>29</v>
      </c>
      <c r="E7" s="36" t="s">
        <v>30</v>
      </c>
      <c r="F7" s="38"/>
      <c r="G7" s="37" t="s">
        <v>31</v>
      </c>
      <c r="H7" s="36">
        <v>7.0</v>
      </c>
      <c r="I7" s="33"/>
      <c r="M7" s="39"/>
      <c r="Q7" s="12"/>
      <c r="X7" s="39"/>
      <c r="AR7" s="39"/>
    </row>
    <row r="8" ht="30.0" customHeight="1">
      <c r="B8" s="40"/>
      <c r="F8" s="12"/>
      <c r="G8" s="41"/>
      <c r="I8" s="20"/>
      <c r="J8" s="12"/>
      <c r="K8" s="42" t="s">
        <v>12</v>
      </c>
      <c r="L8" s="43"/>
      <c r="M8" s="13" t="s">
        <v>12</v>
      </c>
      <c r="N8" s="4"/>
      <c r="O8" s="14"/>
      <c r="P8" s="39"/>
      <c r="Q8" s="42" t="s">
        <v>32</v>
      </c>
      <c r="R8" s="15"/>
      <c r="S8" s="18" t="s">
        <v>33</v>
      </c>
      <c r="T8" s="4"/>
      <c r="U8" s="44" t="s">
        <v>34</v>
      </c>
      <c r="V8" s="14"/>
      <c r="W8" s="39"/>
      <c r="X8" s="16" t="s">
        <v>14</v>
      </c>
      <c r="Y8" s="4"/>
      <c r="Z8" s="4"/>
      <c r="AA8" s="17" t="s">
        <v>12</v>
      </c>
      <c r="AB8" s="4"/>
      <c r="AC8" s="4"/>
      <c r="AD8" s="4"/>
      <c r="AE8" s="4"/>
      <c r="AF8" s="14"/>
      <c r="AG8" s="39"/>
      <c r="AH8" s="18" t="s">
        <v>33</v>
      </c>
      <c r="AI8" s="4"/>
      <c r="AJ8" s="44" t="s">
        <v>35</v>
      </c>
      <c r="AK8" s="14"/>
      <c r="AL8" s="45"/>
      <c r="AM8" s="16" t="s">
        <v>36</v>
      </c>
      <c r="AN8" s="4"/>
      <c r="AO8" s="44" t="s">
        <v>35</v>
      </c>
      <c r="AP8" s="14"/>
      <c r="AQ8" s="39"/>
      <c r="AR8" s="16" t="s">
        <v>14</v>
      </c>
      <c r="AS8" s="4"/>
      <c r="AT8" s="4"/>
      <c r="AU8" s="17" t="s">
        <v>12</v>
      </c>
      <c r="AV8" s="4"/>
      <c r="AW8" s="4"/>
      <c r="AX8" s="4"/>
      <c r="AY8" s="4"/>
      <c r="AZ8" s="14"/>
      <c r="BA8" s="39"/>
      <c r="BB8" s="16" t="s">
        <v>36</v>
      </c>
      <c r="BC8" s="4"/>
      <c r="BD8" s="44" t="s">
        <v>35</v>
      </c>
      <c r="BE8" s="14"/>
      <c r="BF8" s="46"/>
    </row>
    <row r="9" ht="30.0" customHeight="1">
      <c r="B9" s="47" t="s">
        <v>37</v>
      </c>
      <c r="C9" s="48"/>
      <c r="D9" s="49"/>
      <c r="E9" s="47" t="s">
        <v>38</v>
      </c>
      <c r="F9" s="50" t="s">
        <v>39</v>
      </c>
      <c r="I9" s="20"/>
      <c r="K9" s="51">
        <f>MAX(RESISTMOD+CON, 1)</f>
        <v>7</v>
      </c>
      <c r="M9" s="21"/>
      <c r="O9" s="20"/>
      <c r="Q9" s="51">
        <f>MAX(RESISTMOD+CON, 1)</f>
        <v>7</v>
      </c>
      <c r="S9" s="52" t="b">
        <v>0</v>
      </c>
      <c r="T9" s="53" t="b">
        <v>0</v>
      </c>
      <c r="U9" s="54" t="b">
        <v>0</v>
      </c>
      <c r="V9" s="55">
        <v>0.0</v>
      </c>
      <c r="X9" s="21"/>
      <c r="AF9" s="20"/>
      <c r="AH9" s="52" t="b">
        <v>0</v>
      </c>
      <c r="AI9" s="53" t="b">
        <v>0</v>
      </c>
      <c r="AJ9" s="54" t="b">
        <v>0</v>
      </c>
      <c r="AK9" s="55">
        <v>26.0</v>
      </c>
      <c r="AM9" s="52" t="b">
        <v>0</v>
      </c>
      <c r="AN9" s="53" t="b">
        <v>0</v>
      </c>
      <c r="AO9" s="54" t="b">
        <v>0</v>
      </c>
      <c r="AP9" s="55">
        <v>14.0</v>
      </c>
      <c r="AR9" s="21"/>
      <c r="AZ9" s="20"/>
      <c r="BB9" s="52" t="b">
        <v>0</v>
      </c>
      <c r="BC9" s="53" t="b">
        <v>0</v>
      </c>
      <c r="BD9" s="54" t="b">
        <v>0</v>
      </c>
      <c r="BE9" s="55">
        <v>14.0</v>
      </c>
    </row>
    <row r="10" ht="30.0" customHeight="1">
      <c r="B10" s="56" t="s">
        <v>40</v>
      </c>
      <c r="C10" s="57">
        <v>11.0</v>
      </c>
      <c r="D10" s="58">
        <f>-5+C10-IF((LIFESPAN) = "Normal", IF((AGE)&lt;30,0,
IF(AGE &lt; 40,1,
IF(AGE &lt; 50,3,
IF(AGE &lt; 60,6,
IF(AGE &lt; 70,10,
IF(AGE &lt; 80,15,
IF(AGE &lt; 90,21,
IF(AGE &lt; 100,28,
IF(AGE &lt; 110,36,
IF(AGE &lt; 120,45,
IF(AGE &lt; 130,55,
IF(AGE &lt; 140,66,
IF(AGE &lt; 150,78,
IF(AGE &lt; 160,91,
IF(AGE &lt; 170,105,
IF(AGE &lt; 180,120,136)))))))))))))))),
IF((LIFESPAN) = "Extended",  IF((AGE)&lt;40,0,
IF(AGE &lt; 50,1,
IF(AGE &lt; 60,3,
IF(AGE &lt; 70,6,
IF(AGE &lt; 80,10,
IF(AGE &lt; 90,15,
IF(AGE &lt; 100,21,
IF(AGE &lt; 110,28,
IF(AGE &lt; 120,36,
IF(AGE &lt; 130,45,
IF(AGE &lt; 140,55,
IF(AGE &lt; 150,66,
IF(AGE &lt; 160,78,
IF(AGE &lt; 170,91,
IF(AGE &lt; 180,105,
IF(AGE &lt; 190,120,136)))))))))))))))),
IF((LIFESPAN) = "Long", IF((AGE)&lt;50,0,
IF(AGE &lt; 60,1,
IF(AGE &lt; 70,3,
IF(AGE &lt; 80,6,
IF(AGE &lt; 90,10,
IF(AGE &lt; 100,15,
IF(AGE &lt; 110,21,
IF(AGE &lt; 120,28,
IF(AGE &lt; 130,36,
IF(AGE &lt; 140,45,
IF(AGE &lt; 150,55,
IF(AGE &lt; 160,66,
IF(AGE &lt; 170,78,
IF(AGE &lt; 180,91,
IF(AGE &lt; 190,105,
IF(AGE &lt; 200,120,136)))))))))))))))),
IF((LIFESPAN) = "Epic", IF((AGE)&lt;80,0,
IF(AGE &lt; 90,1,
IF(AGE &lt; 100,3,
IF(AGE &lt; 110,6,
IF(AGE &lt; 120,10,
IF(AGE &lt; 130,15,
IF(AGE &lt; 140,21,
IF(AGE &lt; 150,28,
IF(AGE &lt; 160,36,
IF(AGE &lt; 170,45,
IF(AGE &lt; 180,55,
IF(AGE &lt; 190,66,
IF(AGE &lt; 200,78,
IF(AGE &lt; 210,91,
IF(AGE &lt; 220,105,
IF(AGE &lt; 230,120,136)))))))))))))))),
IF((LIFESPAN) = "Immortal", 0,0)))))</f>
        <v>5</v>
      </c>
      <c r="E10" s="59">
        <v>1.0</v>
      </c>
      <c r="F10" s="60">
        <f>(STR)+E10</f>
        <v>6</v>
      </c>
      <c r="G10" s="10" t="s">
        <v>41</v>
      </c>
      <c r="H10" s="10" t="s">
        <v>42</v>
      </c>
      <c r="I10" s="61" t="s">
        <v>43</v>
      </c>
      <c r="K10" s="39"/>
      <c r="L10" s="12"/>
      <c r="M10" s="24">
        <f>MAX(RESISTMOD+CON, 1)</f>
        <v>7</v>
      </c>
      <c r="O10" s="20"/>
      <c r="P10" s="12"/>
      <c r="Q10" s="39"/>
      <c r="S10" s="62" t="s">
        <v>44</v>
      </c>
      <c r="W10" s="12"/>
      <c r="X10" s="26" t="b">
        <v>1</v>
      </c>
      <c r="Y10" s="27" t="b">
        <v>0</v>
      </c>
      <c r="Z10" s="28" t="b">
        <v>0</v>
      </c>
      <c r="AA10" s="29">
        <v>24.0</v>
      </c>
      <c r="AF10" s="20"/>
      <c r="AG10" s="12"/>
      <c r="AH10" s="39"/>
      <c r="AM10" s="39"/>
      <c r="AQ10" s="12"/>
      <c r="AR10" s="26" t="b">
        <v>0</v>
      </c>
      <c r="AS10" s="27" t="b">
        <v>0</v>
      </c>
      <c r="AT10" s="28" t="b">
        <v>0</v>
      </c>
      <c r="AU10" s="29">
        <v>14.0</v>
      </c>
      <c r="AZ10" s="20"/>
      <c r="BA10" s="12"/>
      <c r="BB10" s="39"/>
    </row>
    <row r="11" ht="30.0" customHeight="1">
      <c r="B11" s="56" t="s">
        <v>45</v>
      </c>
      <c r="C11" s="57">
        <v>9.0</v>
      </c>
      <c r="D11" s="58">
        <f>-5+C11-IF((LIFESPAN) = "Normal", IF((AGE)&lt;40,0,
IF(AGE &lt; 50,1,
IF(AGE &lt; 60,3,
IF(AGE &lt; 70,6,
IF(AGE &lt; 80,10,
IF(AGE &lt; 90,15,
IF(AGE &lt; 100,21,
IF(AGE &lt; 110,28,
IF(AGE &lt; 120,36,
IF(AGE &lt; 130,45,
IF(AGE &lt; 140,55,
IF(AGE &lt; 150,66,
IF(AGE &lt; 160,78,
IF(AGE &lt; 170,91,
IF(AGE &lt; 180,105,120))))))))))))))),
IF((LIFESPAN) = "Extended",  IF((AGE)&lt;50,0,
IF(AGE &lt; 60,1,
IF(AGE &lt; 70,3,
IF(AGE &lt; 80,6,
IF(AGE &lt; 90,10,
IF(AGE &lt; 100,15,
IF(AGE &lt; 110,21,
IF(AGE &lt; 120,28,
IF(AGE &lt; 130,36,
IF(AGE &lt; 140,45,
IF(AGE &lt; 150,55,
IF(AGE &lt; 160,66,
IF(AGE &lt; 170,78,
IF(AGE &lt; 180,91,
IF(AGE &lt; 190,105,120))))))))))))))),
IF((LIFESPAN) = "Long", IF((AGE)&lt;60,0,
IF(AGE &lt; 70,1,
IF(AGE &lt; 80,3,
IF(AGE &lt; 90,6,
IF(AGE &lt; 100,10,
IF(AGE &lt; 110,15,
IF(AGE &lt; 120,21,
IF(AGE &lt; 130,28,
IF(AGE &lt; 140,36,
IF(AGE &lt; 150,45,
IF(AGE &lt; 160,55,
IF(AGE &lt; 170,66,
IF(AGE &lt; 180,78,
IF(AGE &lt; 190,91,
IF(AGE &lt; 200,105,120))))))))))))))),
IF((LIFESPAN) = "Epic", IF((AGE)&lt;90,0,
IF(AGE &lt; 100,1,
IF(AGE &lt; 110,3,
IF(AGE &lt; 120,6,
IF(AGE &lt; 130,10,
IF(AGE &lt; 140,15,
IF(AGE &lt; 150,21,
IF(AGE &lt; 160,28,
IF(AGE &lt; 170,36,
IF(AGE &lt; 180,45,
IF(AGE &lt; 190,55,
IF(AGE &lt; 200,66,
IF(AGE &lt; 210,78,
IF(AGE &lt; 220,91,
IF(AGE &lt; 230,105,120))))))))))))))),
IF((LIFESPAN) = "Immortal", 0,0)))))</f>
        <v>4</v>
      </c>
      <c r="E11" s="59">
        <v>2.0</v>
      </c>
      <c r="F11" s="60">
        <f>(DEX)+E11</f>
        <v>6</v>
      </c>
      <c r="G11" s="63">
        <v>50.0</v>
      </c>
      <c r="H11" s="64">
        <v>5.0</v>
      </c>
      <c r="I11" s="65">
        <v>7.0</v>
      </c>
      <c r="K11" s="42" t="s">
        <v>12</v>
      </c>
      <c r="M11" s="31"/>
      <c r="N11" s="32"/>
      <c r="O11" s="33"/>
      <c r="Q11" s="42" t="s">
        <v>12</v>
      </c>
      <c r="S11" s="18" t="s">
        <v>33</v>
      </c>
      <c r="T11" s="4"/>
      <c r="U11" s="44" t="s">
        <v>34</v>
      </c>
      <c r="V11" s="14"/>
      <c r="X11" s="31"/>
      <c r="Y11" s="32"/>
      <c r="Z11" s="32"/>
      <c r="AA11" s="32"/>
      <c r="AB11" s="32"/>
      <c r="AC11" s="32"/>
      <c r="AD11" s="32"/>
      <c r="AE11" s="32"/>
      <c r="AF11" s="33"/>
      <c r="AH11" s="18" t="s">
        <v>33</v>
      </c>
      <c r="AI11" s="4"/>
      <c r="AJ11" s="44" t="s">
        <v>35</v>
      </c>
      <c r="AK11" s="14"/>
      <c r="AM11" s="16" t="s">
        <v>33</v>
      </c>
      <c r="AN11" s="4"/>
      <c r="AO11" s="44" t="s">
        <v>35</v>
      </c>
      <c r="AP11" s="14"/>
      <c r="AR11" s="31"/>
      <c r="AS11" s="32"/>
      <c r="AT11" s="32"/>
      <c r="AU11" s="32"/>
      <c r="AV11" s="32"/>
      <c r="AW11" s="32"/>
      <c r="AX11" s="32"/>
      <c r="AY11" s="32"/>
      <c r="AZ11" s="33"/>
      <c r="BB11" s="16" t="s">
        <v>33</v>
      </c>
      <c r="BC11" s="4"/>
      <c r="BD11" s="44" t="s">
        <v>35</v>
      </c>
      <c r="BE11" s="14"/>
    </row>
    <row r="12" ht="30.0" customHeight="1">
      <c r="B12" s="56" t="s">
        <v>46</v>
      </c>
      <c r="C12" s="57">
        <v>7.0</v>
      </c>
      <c r="D12" s="58">
        <f>-5+C12-IF((LIFESPAN) = "Normal", IF((AGE)&lt;50,0,
IF(AGE &lt; 60,1,
IF(AGE &lt; 70,3,
IF(AGE &lt; 80,6,
IF(AGE &lt; 90,10,
IF(AGE &lt; 100,15,
IF(AGE &lt; 110,21,
IF(AGE &lt; 120,28,
IF(AGE &lt; 130,36,
IF(AGE &lt; 140,45,
IF(AGE &lt; 150,55,
IF(AGE &lt; 160,66,
IF(AGE &lt; 170,78,
IF(AGE &lt; 180,91,136)))))))))))))),
IF((LIFESPAN) = "Extended",  IF((AGE)&lt;60,0,
IF(AGE &lt; 70,1,
IF(AGE &lt; 80,3,
IF(AGE &lt; 90,6,
IF(AGE &lt; 100,10,
IF(AGE &lt; 110,15,
IF(AGE &lt; 120,21,
IF(AGE &lt; 130,28,
IF(AGE &lt; 140,36,
IF(AGE &lt; 150,45,
IF(AGE &lt; 160,55,
IF(AGE &lt; 170,66,
IF(AGE &lt; 180,78,
IF(AGE &lt; 190,91,136)))))))))))))),
IF((LIFESPAN) = "Long", IF((AGE)&lt;70,0,
IF(AGE &lt; 80,1,
IF(AGE &lt; 90,3,
IF(AGE &lt; 100,6,
IF(AGE &lt; 110,10,
IF(AGE &lt; 120,15,
IF(AGE &lt; 130,21,
IF(AGE &lt; 140,28,
IF(AGE &lt; 150,36,
IF(AGE &lt; 160,45,
IF(AGE &lt; 170,55,
IF(AGE &lt; 180,66,
IF(AGE &lt; 190,78,
IF(AGE &lt; 200,91,120)))))))))))))),
IF((LIFESPAN) = "Epic", IF((AGE)&lt;100,0,
IF(AGE &lt; 110,1,
IF(AGE &lt; 120,3,
IF(AGE &lt; 130,6,
IF(AGE &lt; 140,10,
IF(AGE &lt; 150,15,
IF(AGE &lt; 160,21,
IF(AGE &lt; 170,28,
IF(AGE &lt; 180,36,
IF(AGE &lt; 190,45,
IF(AGE &lt; 200,55,
IF(AGE &lt; 210,66,
IF(AGE &lt; 220,78,
IF(AGE &lt; 230,91,120)))))))))))))),
IF((LIFESPAN) = "Immortal", 0,0)))))</f>
        <v>2</v>
      </c>
      <c r="E12" s="59">
        <v>2.0</v>
      </c>
      <c r="F12" s="60">
        <f>(CON)+E12</f>
        <v>4</v>
      </c>
      <c r="G12" s="66" t="s">
        <v>47</v>
      </c>
      <c r="I12" s="67"/>
      <c r="K12" s="51">
        <f>MAX(RESISTMOD+CON, 1)</f>
        <v>7</v>
      </c>
      <c r="M12" s="43"/>
      <c r="Q12" s="51">
        <f>MAX(RESISTMOD+CON, 1)</f>
        <v>7</v>
      </c>
      <c r="S12" s="52" t="b">
        <v>0</v>
      </c>
      <c r="T12" s="53" t="b">
        <v>0</v>
      </c>
      <c r="U12" s="54" t="b">
        <v>0</v>
      </c>
      <c r="V12" s="55">
        <v>0.0</v>
      </c>
      <c r="X12" s="43"/>
      <c r="AH12" s="52" t="b">
        <v>0</v>
      </c>
      <c r="AI12" s="53" t="b">
        <v>0</v>
      </c>
      <c r="AJ12" s="54" t="b">
        <v>0</v>
      </c>
      <c r="AK12" s="55">
        <v>26.0</v>
      </c>
      <c r="AM12" s="52" t="b">
        <v>0</v>
      </c>
      <c r="AN12" s="53" t="b">
        <v>0</v>
      </c>
      <c r="AO12" s="54" t="b">
        <v>0</v>
      </c>
      <c r="AP12" s="55">
        <v>18.0</v>
      </c>
      <c r="AR12" s="43"/>
      <c r="BB12" s="52" t="b">
        <v>0</v>
      </c>
      <c r="BC12" s="53" t="b">
        <v>0</v>
      </c>
      <c r="BD12" s="54" t="b">
        <v>0</v>
      </c>
      <c r="BE12" s="55">
        <v>18.0</v>
      </c>
    </row>
    <row r="13" ht="30.0" customHeight="1">
      <c r="B13" s="68" t="s">
        <v>48</v>
      </c>
      <c r="C13" s="57">
        <v>8.0</v>
      </c>
      <c r="D13" s="69">
        <f>-5+C13-IF((LIFESPAN) = "Normal", IF((AGE)&lt;60,0,
IF(AGE &lt; 70,1,
IF(AGE &lt; 80,3,
IF(AGE &lt; 90,6,
IF(AGE &lt; 100,10,
IF(AGE &lt; 110,15,
IF(AGE &lt; 120,21,
IF(AGE &lt; 130,28,
IF(AGE &lt; 140,36,
IF(AGE &lt; 150,45,
IF(AGE &lt; 160,55,
IF(AGE &lt; 170,66,
IF(AGE &lt; 180,78,105))))))))))))),
IF((LIFESPAN) = "Extended",  IF((AGE)&lt;70,0,
IF(AGE &lt; 80,1,
IF(AGE &lt; 90,3,
IF(AGE &lt; 100,6,
IF(AGE &lt; 110,10,
IF(AGE &lt; 120,15,
IF(AGE &lt; 130,21,
IF(AGE &lt; 140,28,
IF(AGE &lt; 150,36,
IF(AGE &lt; 160,45,
IF(AGE &lt; 170,55,
IF(AGE &lt; 180,66,
IF(AGE &lt; 190,78,136))))))))))))),
IF((LIFESPAN) = "Long", IF((AGE)&lt;70,0,
IF(AGE &lt; 80,1,
IF(AGE &lt; 90,3,
IF(AGE &lt; 100,6,
IF(AGE &lt; 110,10,
IF(AGE &lt; 120,15,
IF(AGE &lt; 130,21,
IF(AGE &lt; 140,28,
IF(AGE &lt; 150,36,
IF(AGE &lt; 160,45,
IF(AGE &lt; 170,55,
IF(AGE &lt; 180,66,
IF(AGE &lt; 190,78,
IF(AGE &lt; 200,91,120)))))))))))))),
IF((LIFESPAN) = "Epic", IF((AGE)&lt;100,0,
IF(AGE &lt; 110,1,
IF(AGE &lt; 120,3,
IF(AGE &lt; 130,6,
IF(AGE &lt; 140,10,
IF(AGE &lt; 150,15,
IF(AGE &lt; 160,21,
IF(AGE &lt; 170,28,
IF(AGE &lt; 180,36,
IF(AGE &lt; 190,45,
IF(AGE &lt; 200,55,
IF(AGE &lt; 210,66,
IF(AGE &lt; 220,78,
IF(AGE &lt; 230,91,120)))))))))))))),
IF((LIFESPAN) = "Immortal", 0,0)))))</f>
        <v>3</v>
      </c>
      <c r="E13" s="59"/>
      <c r="F13" s="60">
        <f>(INT)+E13</f>
        <v>3</v>
      </c>
      <c r="G13" s="70">
        <f>(CON)*5+(CHA)*5+G11</f>
        <v>70</v>
      </c>
      <c r="H13" s="4"/>
      <c r="I13" s="71" t="s">
        <v>49</v>
      </c>
      <c r="J13" s="12"/>
      <c r="M13" s="72" t="s">
        <v>12</v>
      </c>
      <c r="N13" s="12"/>
      <c r="O13" s="72" t="s">
        <v>12</v>
      </c>
      <c r="P13" s="73"/>
      <c r="X13" s="16" t="s">
        <v>33</v>
      </c>
      <c r="Y13" s="4"/>
      <c r="Z13" s="44" t="s">
        <v>34</v>
      </c>
      <c r="AA13" s="14"/>
      <c r="AB13" s="74"/>
      <c r="AC13" s="16" t="s">
        <v>33</v>
      </c>
      <c r="AD13" s="4"/>
      <c r="AE13" s="44" t="s">
        <v>34</v>
      </c>
      <c r="AF13" s="14"/>
      <c r="AG13" s="12"/>
      <c r="AR13" s="16" t="s">
        <v>36</v>
      </c>
      <c r="AS13" s="4"/>
      <c r="AT13" s="44" t="s">
        <v>35</v>
      </c>
      <c r="AU13" s="14"/>
      <c r="AV13" s="74"/>
      <c r="AW13" s="16" t="s">
        <v>36</v>
      </c>
      <c r="AX13" s="4"/>
      <c r="AY13" s="44" t="s">
        <v>35</v>
      </c>
      <c r="AZ13" s="14"/>
      <c r="BA13" s="12"/>
    </row>
    <row r="14" ht="30.0" customHeight="1">
      <c r="B14" s="68" t="s">
        <v>50</v>
      </c>
      <c r="C14" s="57">
        <v>8.0</v>
      </c>
      <c r="D14" s="75">
        <f>-5+C14-IF((LIFESPAN) = "Normal", IF((AGE)&lt;70,0,
IF(AGE &lt; 80,1,
IF(AGE &lt; 90,3,
IF(AGE &lt; 100,6,
IF(AGE &lt; 110,10,
IF(AGE &lt; 120,15,
IF(AGE &lt; 130,21,
IF(AGE &lt; 140,28,
IF(AGE &lt; 150,36,
IF(AGE &lt; 160,45,
IF(AGE &lt; 170,55,
IF(AGE &lt; 180,66,105)))))))))))),
IF((LIFESPAN) = "Extended",  IF((AGE)&lt;80,0,
IF(AGE &lt; 90,1,
IF(AGE &lt; 100,3,
IF(AGE &lt; 110,6,
IF(AGE &lt; 120,10,
IF(AGE &lt; 130,15,
IF(AGE &lt; 140,21,
IF(AGE &lt; 150,28,
IF(AGE &lt; 160,36,
IF(AGE &lt; 170,45,
IF(AGE &lt; 180,55,
IF(AGE &lt; 190,66,136)))))))))))),
IF((LIFESPAN) = "Long", IF((AGE)&lt;80,0,
IF(AGE &lt; 90,1,
IF(AGE &lt; 100,3,
IF(AGE &lt; 110,6,
IF(AGE &lt; 120,10,
IF(AGE &lt; 130,15,
IF(AGE &lt; 140,21,
IF(AGE &lt; 150,28,
IF(AGE &lt; 160,36,
IF(AGE &lt; 170,45,
IF(AGE &lt; 180,55,
IF(AGE &lt; 190,66,
IF(AGE &lt; 200,78,120))))))))))))),
IF((LIFESPAN) = "Epic", IF((AGE)&lt;110,0,
IF(AGE &lt; 120,1,
IF(AGE &lt; 130,3,
IF(AGE &lt; 140,6,
IF(AGE &lt; 150,10,
IF(AGE &lt; 160,15,
IF(AGE &lt; 170,21,
IF(AGE &lt; 180,28,
IF(AGE &lt; 190,36,
IF(AGE &lt; 200,45,
IF(AGE &lt; 210,55,
IF(AGE &lt; 220,66,
IF(AGE &lt; 230,78,120))))))))))))),
IF((LIFESPAN) = "Immortal", 0,0)))))</f>
        <v>3</v>
      </c>
      <c r="E14" s="59"/>
      <c r="F14" s="60">
        <f>(WIS)+E14</f>
        <v>3</v>
      </c>
      <c r="G14" s="76">
        <v>70.0</v>
      </c>
      <c r="I14" s="77" t="s">
        <v>51</v>
      </c>
      <c r="M14" s="78"/>
      <c r="O14" s="78"/>
      <c r="X14" s="21"/>
      <c r="AA14" s="20"/>
      <c r="AC14" s="21"/>
      <c r="AF14" s="20"/>
      <c r="AR14" s="21"/>
      <c r="AU14" s="20"/>
      <c r="AW14" s="21"/>
      <c r="AZ14" s="20"/>
    </row>
    <row r="15" ht="30.0" customHeight="1">
      <c r="B15" s="79" t="s">
        <v>52</v>
      </c>
      <c r="C15" s="80">
        <v>7.0</v>
      </c>
      <c r="D15" s="81">
        <f>-5+C15-IF((LIFESPAN) = "Normal", IF((AGE)&lt;80,0,
IF(AGE &lt; 90,1,
IF(AGE &lt; 100,3,
IF(AGE &lt; 110,6,
IF(AGE &lt; 120,10,
IF(AGE &lt; 130,15,
IF(AGE &lt; 140,21,
IF(AGE &lt; 150,28,
IF(AGE &lt; 160,36,
IF(AGE &lt; 170,45,
IF(AGE &lt; 180,55,105))))))))))),
IF((LIFESPAN) = "Extended",  IF((AGE)&lt;90,0,
IF(AGE &lt; 100,1,
IF(AGE &lt; 110,3,
IF(AGE &lt; 120,6,
IF(AGE &lt; 130,10,
IF(AGE &lt; 140,15,
IF(AGE &lt; 150,21,
IF(AGE &lt; 160,28,
IF(AGE &lt; 170,36,
IF(AGE &lt; 180,45,
IF(AGE &lt; 190,55,136))))))))))),
IF((LIFESPAN) = "Long", IF((AGE)&lt;90,0,
IF(AGE &lt; 100,1,
IF(AGE &lt; 110,3,
IF(AGE &lt; 120,6,
IF(AGE &lt; 130,10,
IF(AGE &lt; 140,15,
IF(AGE &lt; 150,21,
IF(AGE &lt; 160,28,
IF(AGE &lt; 170,36,
IF(AGE &lt; 180,45,
IF(AGE &lt; 190,55,
IF(AGE &lt; 200,66,120)))))))))))),
IF((LIFESPAN) = "Epic", IF((AGE)&lt;120,0,
IF(AGE &lt; 130,1,
IF(AGE &lt; 140,3,
IF(AGE &lt; 150,6,
IF(AGE &lt; 160,10,
IF(AGE &lt; 170,15,
IF(AGE &lt; 180,21,
IF(AGE &lt; 190,28,
IF(AGE &lt; 200,36,
IF(AGE &lt; 210,45,
IF(AGE &lt; 220,55,
IF(AGE &lt; 230,66,120)))))))))))),
IF((LIFESPAN) = "Immortal", 0,0)))))</f>
        <v>2</v>
      </c>
      <c r="E15" s="82"/>
      <c r="F15" s="83">
        <f>(CHA)+E15</f>
        <v>2</v>
      </c>
      <c r="G15" s="21"/>
      <c r="I15" s="77" t="s">
        <v>53</v>
      </c>
      <c r="M15" s="84">
        <f>MAX(RESISTMOD*2+CON, 1)</f>
        <v>12</v>
      </c>
      <c r="O15" s="84">
        <f>MAX(RESISTMOD*2+CON, 1)</f>
        <v>12</v>
      </c>
      <c r="X15" s="85" t="b">
        <v>0</v>
      </c>
      <c r="Y15" s="86" t="b">
        <v>0</v>
      </c>
      <c r="Z15" s="87" t="b">
        <v>0</v>
      </c>
      <c r="AA15" s="88">
        <v>0.0</v>
      </c>
      <c r="AC15" s="85" t="b">
        <v>0</v>
      </c>
      <c r="AD15" s="86" t="b">
        <v>0</v>
      </c>
      <c r="AE15" s="87" t="b">
        <v>0</v>
      </c>
      <c r="AF15" s="88">
        <v>0.0</v>
      </c>
      <c r="AR15" s="85" t="b">
        <v>0</v>
      </c>
      <c r="AS15" s="86" t="b">
        <v>0</v>
      </c>
      <c r="AT15" s="87" t="b">
        <v>0</v>
      </c>
      <c r="AU15" s="88">
        <v>14.0</v>
      </c>
      <c r="AW15" s="85" t="b">
        <v>0</v>
      </c>
      <c r="AX15" s="86" t="b">
        <v>0</v>
      </c>
      <c r="AY15" s="87" t="b">
        <v>0</v>
      </c>
      <c r="AZ15" s="88">
        <v>14.0</v>
      </c>
    </row>
    <row r="16" ht="30.0" customHeight="1">
      <c r="B16" s="89"/>
      <c r="F16" s="12"/>
      <c r="G16" s="90">
        <v>13.0</v>
      </c>
      <c r="H16" s="32"/>
      <c r="I16" s="91" t="s">
        <v>54</v>
      </c>
      <c r="M16" s="92"/>
      <c r="O16" s="92"/>
      <c r="X16" s="31"/>
      <c r="Y16" s="32"/>
      <c r="Z16" s="32"/>
      <c r="AA16" s="33"/>
      <c r="AC16" s="31"/>
      <c r="AD16" s="32"/>
      <c r="AE16" s="32"/>
      <c r="AF16" s="33"/>
      <c r="AR16" s="31"/>
      <c r="AS16" s="32"/>
      <c r="AT16" s="32"/>
      <c r="AU16" s="33"/>
      <c r="AW16" s="31"/>
      <c r="AX16" s="32"/>
      <c r="AY16" s="32"/>
      <c r="AZ16" s="33"/>
    </row>
    <row r="17" ht="30.0" customHeight="1">
      <c r="B17" s="93" t="s">
        <v>55</v>
      </c>
      <c r="C17" s="6" t="s">
        <v>56</v>
      </c>
      <c r="D17" s="94" t="s">
        <v>57</v>
      </c>
      <c r="E17" s="95">
        <f>2*ROUNDDOWN(MAX(MAX(CON+CHA,0)+I11, 0)/2,0)</f>
        <v>10</v>
      </c>
      <c r="G17" s="96" t="s">
        <v>58</v>
      </c>
      <c r="I17" s="97"/>
      <c r="M17" s="43"/>
      <c r="O17" s="43"/>
      <c r="X17" s="43"/>
      <c r="AC17" s="43"/>
      <c r="AR17" s="43"/>
      <c r="AW17" s="43"/>
    </row>
    <row r="18" ht="30.0" customHeight="1">
      <c r="B18" s="98" t="s">
        <v>59</v>
      </c>
      <c r="C18" s="9">
        <v>1.0</v>
      </c>
      <c r="D18" s="99" t="s">
        <v>60</v>
      </c>
      <c r="E18" s="100">
        <f>ROUNDDOWN(1+(APTMOD)+
IF((REFLEXES) = "None", IF(MIN((STR),(WIS),(DEX)) &lt; 0, 0, MIN((STR),(WIS),(DEX))), 
IF((REFLEXES) = "Level 1", IF(AVERAGE((STR),(WIS),(DEX)) &lt; 0, 0, AVERAGE((STR),(WIS),(DEX))), 
IF(OR((REFLEXES) = "Level 2", (REFLEXES) = "Level 3"), IF(MAX((STR),(WIS),(DEX)) &lt; 0, 0, MAX((STR),(WIS),(DEX))), 0))),0)</f>
        <v>5</v>
      </c>
      <c r="G18" s="12"/>
      <c r="I18" s="20"/>
      <c r="M18" s="42" t="s">
        <v>12</v>
      </c>
      <c r="O18" s="42" t="s">
        <v>12</v>
      </c>
      <c r="X18" s="18" t="s">
        <v>33</v>
      </c>
      <c r="Y18" s="4"/>
      <c r="Z18" s="44" t="s">
        <v>34</v>
      </c>
      <c r="AA18" s="14"/>
      <c r="AC18" s="18" t="s">
        <v>33</v>
      </c>
      <c r="AD18" s="4"/>
      <c r="AE18" s="44" t="s">
        <v>34</v>
      </c>
      <c r="AF18" s="14"/>
      <c r="AR18" s="18" t="s">
        <v>33</v>
      </c>
      <c r="AS18" s="4"/>
      <c r="AT18" s="44" t="s">
        <v>35</v>
      </c>
      <c r="AU18" s="14"/>
      <c r="AW18" s="18" t="s">
        <v>33</v>
      </c>
      <c r="AX18" s="4"/>
      <c r="AY18" s="44" t="s">
        <v>35</v>
      </c>
      <c r="AZ18" s="14"/>
    </row>
    <row r="19" ht="30.0" customHeight="1">
      <c r="B19" s="98" t="s">
        <v>61</v>
      </c>
      <c r="C19" s="9">
        <v>0.0</v>
      </c>
      <c r="D19" s="99" t="s">
        <v>62</v>
      </c>
      <c r="E19" s="101" t="str">
        <f t="array" ref="E19:F19">IF((STR)*20 + 100 &gt;= (WEIGHT), (SPEEDMOD*5)+30+(DEX)*5 &amp; "ft (" &amp; 6+(DEX) &amp; ")", ROUND((SPEEDMOD*5)+30+(DEX)*5 - ((WEIGHT)-((STR)*20+100))/5*5 +1,0) &amp; "ft (" &amp; ROUND(5+(DEX)- ((WEIGHT)-((STR)*20+100))/5,0) &amp; ")*")</f>
        <v>50ft (10)</v>
      </c>
      <c r="F19" s="12" t="s">
        <v>63</v>
      </c>
      <c r="I19" s="20"/>
      <c r="M19" s="51">
        <f>MAX(RESISTMOD+CON, 1)</f>
        <v>7</v>
      </c>
      <c r="O19" s="51">
        <f>MAX(RESISTMOD+CON, 1)</f>
        <v>7</v>
      </c>
      <c r="X19" s="52" t="b">
        <v>0</v>
      </c>
      <c r="Y19" s="53" t="b">
        <v>0</v>
      </c>
      <c r="Z19" s="54" t="b">
        <v>0</v>
      </c>
      <c r="AA19" s="55">
        <v>0.0</v>
      </c>
      <c r="AC19" s="52" t="b">
        <v>0</v>
      </c>
      <c r="AD19" s="53" t="b">
        <v>0</v>
      </c>
      <c r="AE19" s="54" t="b">
        <v>0</v>
      </c>
      <c r="AF19" s="55">
        <v>0.0</v>
      </c>
      <c r="AR19" s="52" t="b">
        <v>1</v>
      </c>
      <c r="AS19" s="53" t="b">
        <v>0</v>
      </c>
      <c r="AT19" s="54" t="b">
        <v>0</v>
      </c>
      <c r="AU19" s="55">
        <v>6.0</v>
      </c>
      <c r="AW19" s="52" t="b">
        <v>1</v>
      </c>
      <c r="AX19" s="53" t="b">
        <v>0</v>
      </c>
      <c r="AY19" s="54" t="b">
        <v>0</v>
      </c>
      <c r="AZ19" s="55">
        <v>6.0</v>
      </c>
    </row>
    <row r="20" ht="30.0" customHeight="1">
      <c r="B20" s="102" t="s">
        <v>64</v>
      </c>
      <c r="C20" s="36">
        <v>4.0</v>
      </c>
      <c r="D20" s="103" t="s">
        <v>65</v>
      </c>
      <c r="E20" s="104" t="str">
        <f>STR+5+C20 &amp;"/0/0 : 0/0/0"</f>
        <v>14/0/0 : 0/0/0</v>
      </c>
      <c r="F20" s="105"/>
      <c r="G20" s="32"/>
      <c r="H20" s="32"/>
      <c r="I20" s="33"/>
      <c r="M20" s="106"/>
      <c r="X20" s="106"/>
      <c r="AG20" s="12"/>
    </row>
    <row r="21" ht="30.0" customHeight="1">
      <c r="B21" s="99"/>
      <c r="K21" s="107" t="s">
        <v>66</v>
      </c>
      <c r="N21" s="106" t="s">
        <v>67</v>
      </c>
      <c r="Q21" s="73"/>
      <c r="S21" s="106" t="s">
        <v>68</v>
      </c>
      <c r="W21" s="73"/>
      <c r="Y21" s="106" t="s">
        <v>69</v>
      </c>
      <c r="Z21" s="106" t="s">
        <v>70</v>
      </c>
      <c r="AA21" s="106" t="s">
        <v>36</v>
      </c>
      <c r="AB21" s="106"/>
      <c r="AC21" s="106" t="s">
        <v>71</v>
      </c>
      <c r="AD21" s="106" t="s">
        <v>72</v>
      </c>
      <c r="AE21" s="106" t="s">
        <v>73</v>
      </c>
      <c r="AF21" s="106"/>
    </row>
    <row r="22" ht="30.0" customHeight="1">
      <c r="K22" s="108" t="s">
        <v>74</v>
      </c>
      <c r="L22" s="14"/>
      <c r="M22" s="109" t="s">
        <v>75</v>
      </c>
      <c r="N22" s="110" t="s">
        <v>12</v>
      </c>
      <c r="O22" s="4"/>
      <c r="P22" s="4"/>
      <c r="Q22" s="111" t="s">
        <v>15</v>
      </c>
      <c r="R22" s="4"/>
      <c r="S22" s="112" t="b">
        <v>0</v>
      </c>
      <c r="T22" s="113" t="b">
        <v>0</v>
      </c>
      <c r="U22" s="114" t="b">
        <v>0</v>
      </c>
      <c r="V22" s="44">
        <v>30.0</v>
      </c>
      <c r="W22" s="115"/>
      <c r="X22" s="4"/>
      <c r="Y22" s="116">
        <v>0.0</v>
      </c>
      <c r="Z22" s="116">
        <v>0.0</v>
      </c>
      <c r="AA22" s="116">
        <v>25.0</v>
      </c>
      <c r="AB22" s="117"/>
      <c r="AC22" s="118">
        <v>0.0</v>
      </c>
      <c r="AD22" s="119">
        <v>0.0</v>
      </c>
      <c r="AE22" s="120">
        <v>0.0</v>
      </c>
    </row>
    <row r="23" ht="30.0" customHeight="1">
      <c r="K23" s="121" t="s">
        <v>76</v>
      </c>
      <c r="L23" s="33"/>
      <c r="M23" s="122" t="s">
        <v>77</v>
      </c>
      <c r="N23" s="123" t="s">
        <v>12</v>
      </c>
      <c r="O23" s="32"/>
      <c r="P23" s="32"/>
      <c r="Q23" s="124" t="s">
        <v>15</v>
      </c>
      <c r="R23" s="32"/>
      <c r="S23" s="125" t="b">
        <v>0</v>
      </c>
      <c r="T23" s="126" t="b">
        <v>0</v>
      </c>
      <c r="U23" s="127" t="b">
        <v>0</v>
      </c>
      <c r="V23" s="128">
        <v>27.0</v>
      </c>
      <c r="W23" s="32"/>
      <c r="X23" s="32"/>
      <c r="Y23" s="129">
        <v>25.0</v>
      </c>
      <c r="Z23" s="129">
        <v>22.0</v>
      </c>
      <c r="AA23" s="129">
        <v>0.0</v>
      </c>
      <c r="AB23" s="32"/>
      <c r="AC23" s="130">
        <v>40.0</v>
      </c>
      <c r="AD23" s="131">
        <v>10.0</v>
      </c>
      <c r="AE23" s="132">
        <v>0.0</v>
      </c>
    </row>
    <row r="24" ht="30.0" customHeight="1">
      <c r="A24" s="133" t="s">
        <v>78</v>
      </c>
      <c r="Q24" s="12"/>
      <c r="AM24" s="12"/>
    </row>
    <row r="25" ht="7.5" customHeight="1">
      <c r="A25" s="134"/>
      <c r="B25" s="135"/>
      <c r="C25" s="4"/>
      <c r="D25" s="4"/>
      <c r="E25" s="4"/>
      <c r="F25" s="4"/>
      <c r="G25" s="4"/>
      <c r="H25" s="4"/>
      <c r="I25" s="4"/>
      <c r="J25" s="4"/>
      <c r="K25" s="4"/>
      <c r="L25" s="4"/>
      <c r="M25" s="4"/>
      <c r="N25" s="4"/>
      <c r="O25" s="4"/>
      <c r="P25" s="136"/>
    </row>
    <row r="26" ht="30.0" customHeight="1">
      <c r="A26" s="21"/>
      <c r="B26" s="137" t="s">
        <v>78</v>
      </c>
      <c r="C26" s="138" t="s">
        <v>79</v>
      </c>
      <c r="D26" s="139" t="s">
        <v>80</v>
      </c>
      <c r="E26" s="140"/>
      <c r="F26" s="140"/>
      <c r="G26" s="140"/>
      <c r="H26" s="141" t="s">
        <v>81</v>
      </c>
      <c r="I26" s="141" t="s">
        <v>82</v>
      </c>
      <c r="J26" s="142"/>
      <c r="K26" s="143" t="s">
        <v>83</v>
      </c>
      <c r="L26" s="144"/>
      <c r="M26" s="143" t="s">
        <v>84</v>
      </c>
      <c r="N26" s="144"/>
      <c r="O26" s="143" t="s">
        <v>85</v>
      </c>
      <c r="P26" s="20"/>
    </row>
    <row r="27" ht="1.5" customHeight="1">
      <c r="A27" s="21"/>
      <c r="B27" s="145" t="s">
        <v>86</v>
      </c>
      <c r="P27" s="20"/>
    </row>
    <row r="28" ht="15.0" customHeight="1">
      <c r="A28" s="21"/>
      <c r="B28" s="146" t="s">
        <v>87</v>
      </c>
      <c r="C28" s="147">
        <v>6.0</v>
      </c>
      <c r="D28" s="148" t="s">
        <v>88</v>
      </c>
      <c r="E28" s="149">
        <f>DEX</f>
        <v>4</v>
      </c>
      <c r="F28" s="149">
        <f>CON</f>
        <v>2</v>
      </c>
      <c r="G28" s="150"/>
      <c r="H28" s="147" t="s">
        <v>56</v>
      </c>
      <c r="I28" s="151"/>
      <c r="J28" s="152"/>
      <c r="K28" s="153" t="str">
        <f t="shared" ref="K28:K34" si="1">IF(AND(C28 &lt; 4, C28 &gt; 0), IF(OR(H28 = "Expert",H28 = "Master"), IF(MAX(E28:H28)&gt;-1,"+","-"), IF(H28 = "Natural", IF(ROUNDDOWN(AVERAGE(E28:H28),0)&gt;-1,"+","-"), IF(MIN(E28:H28)&gt;-1,"+","-"))) &amp; 
ABS(IF(OR(H28 = "Expert",H28 = "Master"), MAX(E28:H28) , IF(H28 = "Natural", ROUNDDOWN(AVERAGE(E28:H28),0), MIN(E28:H28)))) +1 &amp; " Coin",
IF(AND(C28 &lt; 20, C28 &gt; 12), IF(OR(H28 = "Expert",H28 = "Master"), IF(MAX(E28:H28)&gt;-1,"+","-"), IF(H28 = "Natural", IF(ROUNDDOWN(AVERAGE(E28:H28),0)&gt;-1,"+","-"), IF(MIN(E28:H28)&gt;-1,"+","-"))) &amp; 
ABS(IF(OR(H28 = "Expert",H28 = "Master"), MAX(E28:H28) , IF(H28 = "Natural", ROUNDDOWN(AVERAGE(E28:H28),0), MIN(E28:H28)))) +1 &amp; "d12",
IF(C28 = 0, "No Skill", IF(OR(H28 = "Expert",H28 = "Master"), IF(MAX(E28:H28)&gt;-1,"+","-"), IF(H28 = "Natural", IF(ROUNDDOWN(AVERAGE(E28:H28),0)&gt;-1,"+","-"), IF(MIN(E28:H28)&gt;-1,"+","-"))) &amp; 
ABS(IF(OR(H28 = "Expert",H28 = "Master"), MAX(E28:H28) , IF(H28 = "Natural", ROUNDDOWN(AVERAGE(E28:H28),0), MIN(E28:H28)))) +1 &amp; "d" &amp; 2*ROUNDDOWN(C28/2,0))))</f>
        <v>+3d6</v>
      </c>
      <c r="L28" s="154"/>
      <c r="M28" s="155">
        <f t="shared" ref="M28:M34" si="2">IF(H28 = "Master", "+1", "") + I28</f>
        <v>0</v>
      </c>
      <c r="N28" s="152"/>
      <c r="O28" s="156" t="s">
        <v>89</v>
      </c>
      <c r="P28" s="20"/>
    </row>
    <row r="29" ht="15.0" customHeight="1">
      <c r="A29" s="21"/>
      <c r="B29" s="157" t="s">
        <v>90</v>
      </c>
      <c r="C29" s="158">
        <v>4.0</v>
      </c>
      <c r="D29" s="159" t="s">
        <v>91</v>
      </c>
      <c r="E29" s="160">
        <f>STR</f>
        <v>5</v>
      </c>
      <c r="F29" s="160">
        <f>CON</f>
        <v>2</v>
      </c>
      <c r="G29" s="161"/>
      <c r="H29" s="158" t="s">
        <v>56</v>
      </c>
      <c r="I29" s="162"/>
      <c r="K29" s="163" t="str">
        <f t="shared" si="1"/>
        <v>+3d4</v>
      </c>
      <c r="M29" s="164">
        <f t="shared" si="2"/>
        <v>0</v>
      </c>
      <c r="O29" s="165" t="s">
        <v>89</v>
      </c>
      <c r="P29" s="20"/>
    </row>
    <row r="30" ht="15.0" customHeight="1">
      <c r="A30" s="21"/>
      <c r="B30" s="157" t="s">
        <v>92</v>
      </c>
      <c r="C30" s="158">
        <v>6.0</v>
      </c>
      <c r="D30" s="159" t="s">
        <v>93</v>
      </c>
      <c r="E30" s="160">
        <f>STR</f>
        <v>5</v>
      </c>
      <c r="F30" s="160">
        <f>DEX</f>
        <v>4</v>
      </c>
      <c r="G30" s="161"/>
      <c r="H30" s="158" t="s">
        <v>56</v>
      </c>
      <c r="I30" s="166"/>
      <c r="K30" s="163" t="str">
        <f t="shared" si="1"/>
        <v>+5d6</v>
      </c>
      <c r="M30" s="164">
        <f t="shared" si="2"/>
        <v>0</v>
      </c>
      <c r="O30" s="165" t="s">
        <v>89</v>
      </c>
      <c r="P30" s="20"/>
    </row>
    <row r="31" ht="15.0" customHeight="1">
      <c r="A31" s="21"/>
      <c r="B31" s="157" t="s">
        <v>94</v>
      </c>
      <c r="C31" s="158">
        <v>8.0</v>
      </c>
      <c r="D31" s="159" t="s">
        <v>95</v>
      </c>
      <c r="E31" s="160">
        <f>DEX</f>
        <v>4</v>
      </c>
      <c r="F31" s="160">
        <f>WIS</f>
        <v>3</v>
      </c>
      <c r="G31" s="161"/>
      <c r="H31" s="158" t="s">
        <v>56</v>
      </c>
      <c r="I31" s="162"/>
      <c r="K31" s="163" t="str">
        <f t="shared" si="1"/>
        <v>+4d8</v>
      </c>
      <c r="M31" s="164">
        <f t="shared" si="2"/>
        <v>0</v>
      </c>
      <c r="O31" s="165" t="s">
        <v>89</v>
      </c>
      <c r="P31" s="20"/>
    </row>
    <row r="32" ht="15.0" customHeight="1">
      <c r="A32" s="21"/>
      <c r="B32" s="157" t="s">
        <v>96</v>
      </c>
      <c r="C32" s="158">
        <v>20.0</v>
      </c>
      <c r="D32" s="159" t="s">
        <v>95</v>
      </c>
      <c r="E32" s="160">
        <f>DEX</f>
        <v>4</v>
      </c>
      <c r="F32" s="160">
        <f>WIS</f>
        <v>3</v>
      </c>
      <c r="G32" s="161"/>
      <c r="H32" s="158" t="s">
        <v>56</v>
      </c>
      <c r="I32" s="166"/>
      <c r="K32" s="163" t="str">
        <f t="shared" si="1"/>
        <v>+4d20</v>
      </c>
      <c r="M32" s="164">
        <f t="shared" si="2"/>
        <v>0</v>
      </c>
      <c r="O32" s="165" t="s">
        <v>89</v>
      </c>
      <c r="P32" s="20"/>
    </row>
    <row r="33" ht="15.0" customHeight="1">
      <c r="A33" s="21"/>
      <c r="B33" s="157" t="s">
        <v>97</v>
      </c>
      <c r="C33" s="158">
        <v>13.0</v>
      </c>
      <c r="D33" s="159" t="s">
        <v>98</v>
      </c>
      <c r="E33" s="160">
        <f>STR</f>
        <v>5</v>
      </c>
      <c r="F33" s="160">
        <f>DEX</f>
        <v>4</v>
      </c>
      <c r="G33" s="160">
        <f>CON</f>
        <v>2</v>
      </c>
      <c r="H33" s="158" t="s">
        <v>56</v>
      </c>
      <c r="I33" s="166"/>
      <c r="K33" s="163" t="str">
        <f t="shared" si="1"/>
        <v>+3d12</v>
      </c>
      <c r="M33" s="164">
        <f t="shared" si="2"/>
        <v>0</v>
      </c>
      <c r="O33" s="165" t="s">
        <v>89</v>
      </c>
      <c r="P33" s="20"/>
    </row>
    <row r="34" ht="15.0" customHeight="1">
      <c r="A34" s="21"/>
      <c r="B34" s="167" t="s">
        <v>99</v>
      </c>
      <c r="C34" s="168">
        <v>5.0</v>
      </c>
      <c r="D34" s="169" t="s">
        <v>100</v>
      </c>
      <c r="E34" s="170">
        <f>STR</f>
        <v>5</v>
      </c>
      <c r="F34" s="170">
        <f>DEX</f>
        <v>4</v>
      </c>
      <c r="G34" s="170">
        <f>CON</f>
        <v>2</v>
      </c>
      <c r="H34" s="168" t="s">
        <v>56</v>
      </c>
      <c r="I34" s="171"/>
      <c r="J34" s="32"/>
      <c r="K34" s="172" t="str">
        <f t="shared" si="1"/>
        <v>+3d4</v>
      </c>
      <c r="L34" s="32"/>
      <c r="M34" s="173">
        <f t="shared" si="2"/>
        <v>0</v>
      </c>
      <c r="N34" s="32"/>
      <c r="O34" s="174" t="s">
        <v>89</v>
      </c>
      <c r="P34" s="20"/>
    </row>
    <row r="35" ht="1.5" customHeight="1">
      <c r="A35" s="21"/>
      <c r="B35" s="175" t="s">
        <v>101</v>
      </c>
      <c r="P35" s="20"/>
    </row>
    <row r="36" ht="15.0" customHeight="1">
      <c r="A36" s="21"/>
      <c r="B36" s="146" t="s">
        <v>102</v>
      </c>
      <c r="C36" s="147">
        <v>1.0</v>
      </c>
      <c r="D36" s="148" t="s">
        <v>103</v>
      </c>
      <c r="E36" s="149">
        <f>CHA</f>
        <v>2</v>
      </c>
      <c r="F36" s="149">
        <f>WIS</f>
        <v>3</v>
      </c>
      <c r="G36" s="150"/>
      <c r="H36" s="147" t="s">
        <v>56</v>
      </c>
      <c r="I36" s="151"/>
      <c r="J36" s="152"/>
      <c r="K36" s="153" t="str">
        <f t="shared" ref="K36:K39" si="3">IF(AND(C36 &lt; 4, C36 &gt; 0), IF(OR(H36 = "Expert",H36 = "Master"), IF(MAX(E36:H36)&gt;-1,"+","-"), IF(H36 = "Natural", IF(ROUNDDOWN(AVERAGE(E36:H36),0)&gt;-1,"+","-"), IF(MIN(E36:H36)&gt;-1,"+","-"))) &amp; 
ABS(IF(OR(H36 = "Expert",H36 = "Master"), MAX(E36:H36) , IF(H36 = "Natural", ROUNDDOWN(AVERAGE(E36:H36),0), MIN(E36:H36)))) +1 &amp; " Coin",
IF(AND(C36 &lt; 20, C36 &gt; 12), IF(OR(H36 = "Expert",H36 = "Master"), IF(MAX(E36:H36)&gt;-1,"+","-"), IF(H36 = "Natural", IF(ROUNDDOWN(AVERAGE(E36:H36),0)&gt;-1,"+","-"), IF(MIN(E36:H36)&gt;-1,"+","-"))) &amp; 
ABS(IF(OR(H36 = "Expert",H36 = "Master"), MAX(E36:H36) , IF(H36 = "Natural", ROUNDDOWN(AVERAGE(E36:H36),0), MIN(E36:H36)))) +1 &amp; "d12",
IF(C36 = 0, "No Skill", IF(OR(H36 = "Expert",H36 = "Master"), IF(MAX(E36:H36)&gt;-1,"+","-"), IF(H36 = "Natural", IF(ROUNDDOWN(AVERAGE(E36:H36),0)&gt;-1,"+","-"), IF(MIN(E36:H36)&gt;-1,"+","-"))) &amp; 
ABS(IF(OR(H36 = "Expert",H36 = "Master"), MAX(E36:H36) , IF(H36 = "Natural", ROUNDDOWN(AVERAGE(E36:H36),0), MIN(E36:H36)))) +1 &amp; "d" &amp; 2*ROUNDDOWN(C36/2,0))))</f>
        <v>+3 Coin</v>
      </c>
      <c r="L36" s="154"/>
      <c r="M36" s="176">
        <f>IF(H36 = "Master",IF(BEAUTY &lt;&gt; 5,IF(BEAUTY &gt; 4, "+", "") &amp; 1+IF(BEAUTY&lt;=1,-3,IF(BEAUTY=2,-2,IF(BEAUTY=3,-2,IF(BEAUTY=4,-1,IF(BEAUTY=5,0,IF(BEAUTY=6,1,IF(BEAUTY=7,2,IF(BEAUTY=8,2,IF(BEAUTY&gt;8,3))))))))),"+1"),
IF(BEAUTY &lt;&gt; 5,IF(BEAUTY &gt; 4, "+", "") &amp; IF(BEAUTY&lt;=1,-3,IF(BEAUTY=2,-2,IF(BEAUTY=3,-2,IF(BEAUTY=4,-1,IF(BEAUTY=5,0,IF(BEAUTY=6,1,IF(BEAUTY=7,2,IF(BEAUTY=8,2,IF(BEAUTY&gt;8,3))))))))),"")) + I36</f>
        <v>2</v>
      </c>
      <c r="N36" s="152"/>
      <c r="O36" s="156" t="s">
        <v>89</v>
      </c>
      <c r="P36" s="20"/>
    </row>
    <row r="37" ht="15.0" customHeight="1">
      <c r="A37" s="21"/>
      <c r="B37" s="157" t="s">
        <v>104</v>
      </c>
      <c r="C37" s="158">
        <v>13.0</v>
      </c>
      <c r="D37" s="159" t="s">
        <v>105</v>
      </c>
      <c r="E37" s="160">
        <f>STR</f>
        <v>5</v>
      </c>
      <c r="F37" s="160">
        <f>CHA</f>
        <v>2</v>
      </c>
      <c r="G37" s="161"/>
      <c r="H37" s="158" t="s">
        <v>56</v>
      </c>
      <c r="I37" s="162">
        <v>2.0</v>
      </c>
      <c r="K37" s="163" t="str">
        <f t="shared" si="3"/>
        <v>+3d12</v>
      </c>
      <c r="M37" s="177">
        <f>IF(H37 = "Master",IF(BEAUTY &lt;&gt; 5,IF(BEAUTY &gt; 4, "", "+") &amp; 1+IF(BEAUTY&lt;=1,3,IF(BEAUTY=2,2,IF(BEAUTY=3,2,IF(BEAUTY=4,1,IF(BEAUTY=5,0,IF(BEAUTY=6,-1,IF(BEAUTY=7,-2,IF(BEAUTY=8,-2,IF(BEAUTY&gt;8,-3))))))))),"+1"),
IF(BEAUTY &lt;&gt; 5,IF(BEAUTY &gt; 4, "", "+") &amp; IF(BEAUTY&lt;=1,3,IF(BEAUTY=2,2,IF(BEAUTY=3,2,IF(BEAUTY=4,1,IF(BEAUTY=5,0,IF(BEAUTY=6,-1,IF(BEAUTY=7,-2,IF(BEAUTY=8,-2,IF(BEAUTY&gt;8,-3))))))))),""))+I37</f>
        <v>0</v>
      </c>
      <c r="O37" s="165" t="s">
        <v>89</v>
      </c>
      <c r="P37" s="20"/>
    </row>
    <row r="38" ht="15.0" customHeight="1">
      <c r="A38" s="21"/>
      <c r="B38" s="157" t="s">
        <v>106</v>
      </c>
      <c r="C38" s="158">
        <v>3.0</v>
      </c>
      <c r="D38" s="159" t="s">
        <v>107</v>
      </c>
      <c r="E38" s="160">
        <f>CHA</f>
        <v>2</v>
      </c>
      <c r="F38" s="160">
        <f>INT</f>
        <v>3</v>
      </c>
      <c r="G38" s="161"/>
      <c r="H38" s="158" t="s">
        <v>56</v>
      </c>
      <c r="I38" s="166"/>
      <c r="K38" s="163" t="str">
        <f t="shared" si="3"/>
        <v>+3 Coin</v>
      </c>
      <c r="M38" s="177">
        <f>IF(H38 = "Master",IF(BEAUTY &lt;&gt; 5,IF(BEAUTY &gt; 4, "+", "") &amp; 1+IF(BEAUTY&lt;=1,-3,IF(BEAUTY=2,-2,IF(BEAUTY=3,-2,IF(BEAUTY=4,-1,IF(BEAUTY=5,0,IF(BEAUTY=6,1,IF(BEAUTY=7,2,IF(BEAUTY=8,2,IF(BEAUTY&gt;8,3))))))))),"+1"),
IF(BEAUTY &lt;&gt; 5,IF(BEAUTY &gt; 4, "+", "") &amp; IF(BEAUTY&lt;=1,-3,IF(BEAUTY=2,-2,IF(BEAUTY=3,-2,IF(BEAUTY=4,-1,IF(BEAUTY=5,0,IF(BEAUTY=6,1,IF(BEAUTY=7,2,IF(BEAUTY=8,2,IF(BEAUTY&gt;8,3))))))))),""))+I38</f>
        <v>2</v>
      </c>
      <c r="O38" s="165" t="s">
        <v>89</v>
      </c>
      <c r="P38" s="20"/>
    </row>
    <row r="39" ht="1.5" customHeight="1">
      <c r="A39" s="21"/>
      <c r="B39" s="167" t="s">
        <v>108</v>
      </c>
      <c r="C39" s="168">
        <v>3.0</v>
      </c>
      <c r="D39" s="169" t="s">
        <v>107</v>
      </c>
      <c r="E39" s="170">
        <f>CHA</f>
        <v>2</v>
      </c>
      <c r="F39" s="170">
        <f>INT</f>
        <v>3</v>
      </c>
      <c r="G39" s="178"/>
      <c r="H39" s="168" t="s">
        <v>56</v>
      </c>
      <c r="I39" s="179"/>
      <c r="J39" s="32"/>
      <c r="K39" s="172" t="str">
        <f t="shared" si="3"/>
        <v>+3 Coin</v>
      </c>
      <c r="L39" s="32"/>
      <c r="M39" s="173">
        <f>IF(H39 = "Master", "+1", "") + I39</f>
        <v>0</v>
      </c>
      <c r="N39" s="32"/>
      <c r="O39" s="174" t="s">
        <v>89</v>
      </c>
      <c r="P39" s="20"/>
    </row>
    <row r="40" ht="1.5" customHeight="1">
      <c r="A40" s="21"/>
      <c r="B40" s="175" t="s">
        <v>109</v>
      </c>
      <c r="P40" s="20"/>
    </row>
    <row r="41" ht="1.5" customHeight="1">
      <c r="A41" s="21"/>
      <c r="B41" s="146" t="s">
        <v>110</v>
      </c>
      <c r="C41" s="147">
        <v>6.0</v>
      </c>
      <c r="D41" s="148" t="s">
        <v>95</v>
      </c>
      <c r="E41" s="149">
        <f>DEX</f>
        <v>4</v>
      </c>
      <c r="F41" s="149">
        <f>WIS</f>
        <v>3</v>
      </c>
      <c r="G41" s="150"/>
      <c r="H41" s="147" t="s">
        <v>56</v>
      </c>
      <c r="I41" s="151"/>
      <c r="J41" s="152"/>
      <c r="K41" s="153" t="str">
        <f t="shared" ref="K41:K49" si="4">IF(AND(C41 &lt; 4, C41 &gt; 0), IF(OR(H41 = "Expert",H41 = "Master"), IF(MAX(E41:H41)&gt;-1,"+","-"), IF(H41 = "Natural", IF(ROUNDDOWN(AVERAGE(E41:H41),0)&gt;-1,"+","-"), IF(MIN(E41:H41)&gt;-1,"+","-"))) &amp; 
ABS(IF(OR(H41 = "Expert",H41 = "Master"), MAX(E41:H41) , IF(H41 = "Natural", ROUNDDOWN(AVERAGE(E41:H41),0), MIN(E41:H41)))) +1 &amp; " Coin",
IF(AND(C41 &lt; 20, C41 &gt; 12), IF(OR(H41 = "Expert",H41 = "Master"), IF(MAX(E41:H41)&gt;-1,"+","-"), IF(H41 = "Natural", IF(ROUNDDOWN(AVERAGE(E41:H41),0)&gt;-1,"+","-"), IF(MIN(E41:H41)&gt;-1,"+","-"))) &amp; 
ABS(IF(OR(H41 = "Expert",H41 = "Master"), MAX(E41:H41) , IF(H41 = "Natural", ROUNDDOWN(AVERAGE(E41:H41),0), MIN(E41:H41)))) +1 &amp; "d12",
IF(C41 = 0, "No Skill", IF(OR(H41 = "Expert",H41 = "Master"), IF(MAX(E41:H41)&gt;-1,"+","-"), IF(H41 = "Natural", IF(ROUNDDOWN(AVERAGE(E41:H41),0)&gt;-1,"+","-"), IF(MIN(E41:H41)&gt;-1,"+","-"))) &amp; 
ABS(IF(OR(H41 = "Expert",H41 = "Master"), MAX(E41:H41) , IF(H41 = "Natural", ROUNDDOWN(AVERAGE(E41:H41),0), MIN(E41:H41)))) +1 &amp; "d" &amp; 2*ROUNDDOWN(C41/2,0))))</f>
        <v>+4d6</v>
      </c>
      <c r="L41" s="154"/>
      <c r="M41" s="155">
        <f t="shared" ref="M41:M49" si="5">IF(H41 = "Master", "+1", "") + I41</f>
        <v>0</v>
      </c>
      <c r="N41" s="152"/>
      <c r="O41" s="156" t="s">
        <v>89</v>
      </c>
      <c r="P41" s="20"/>
    </row>
    <row r="42" ht="1.5" customHeight="1">
      <c r="A42" s="21"/>
      <c r="B42" s="157" t="s">
        <v>111</v>
      </c>
      <c r="C42" s="158">
        <v>0.0</v>
      </c>
      <c r="D42" s="159" t="s">
        <v>93</v>
      </c>
      <c r="E42" s="160">
        <f>STR</f>
        <v>5</v>
      </c>
      <c r="F42" s="160">
        <f>DEX</f>
        <v>4</v>
      </c>
      <c r="G42" s="161"/>
      <c r="H42" s="158" t="s">
        <v>56</v>
      </c>
      <c r="I42" s="166"/>
      <c r="K42" s="163" t="str">
        <f t="shared" si="4"/>
        <v>No Skill</v>
      </c>
      <c r="M42" s="164">
        <f t="shared" si="5"/>
        <v>0</v>
      </c>
      <c r="O42" s="165" t="s">
        <v>89</v>
      </c>
      <c r="P42" s="20"/>
    </row>
    <row r="43" ht="1.5" customHeight="1">
      <c r="A43" s="21"/>
      <c r="B43" s="157" t="s">
        <v>112</v>
      </c>
      <c r="C43" s="158">
        <v>4.0</v>
      </c>
      <c r="D43" s="159" t="s">
        <v>93</v>
      </c>
      <c r="E43" s="160">
        <f>STR</f>
        <v>5</v>
      </c>
      <c r="F43" s="160">
        <f>DEX</f>
        <v>4</v>
      </c>
      <c r="G43" s="161"/>
      <c r="H43" s="158" t="s">
        <v>56</v>
      </c>
      <c r="I43" s="166"/>
      <c r="K43" s="163" t="str">
        <f t="shared" si="4"/>
        <v>+5d4</v>
      </c>
      <c r="M43" s="164">
        <f t="shared" si="5"/>
        <v>0</v>
      </c>
      <c r="O43" s="165" t="s">
        <v>89</v>
      </c>
      <c r="P43" s="20"/>
    </row>
    <row r="44" ht="1.5" customHeight="1">
      <c r="A44" s="21"/>
      <c r="B44" s="157" t="s">
        <v>113</v>
      </c>
      <c r="C44" s="158">
        <v>20.0</v>
      </c>
      <c r="D44" s="159" t="s">
        <v>95</v>
      </c>
      <c r="E44" s="160">
        <f>DEX</f>
        <v>4</v>
      </c>
      <c r="F44" s="160">
        <f>WIS</f>
        <v>3</v>
      </c>
      <c r="G44" s="161"/>
      <c r="H44" s="158" t="s">
        <v>56</v>
      </c>
      <c r="I44" s="162"/>
      <c r="K44" s="163" t="str">
        <f t="shared" si="4"/>
        <v>+4d20</v>
      </c>
      <c r="M44" s="164">
        <f t="shared" si="5"/>
        <v>0</v>
      </c>
      <c r="O44" s="165" t="s">
        <v>89</v>
      </c>
      <c r="P44" s="20"/>
    </row>
    <row r="45" ht="1.5" customHeight="1">
      <c r="A45" s="21"/>
      <c r="B45" s="157" t="s">
        <v>114</v>
      </c>
      <c r="C45" s="180">
        <v>0.0</v>
      </c>
      <c r="D45" s="159" t="s">
        <v>115</v>
      </c>
      <c r="E45" s="160">
        <f>DEX</f>
        <v>4</v>
      </c>
      <c r="F45" s="160">
        <f>INT</f>
        <v>3</v>
      </c>
      <c r="G45" s="160">
        <f>WIS</f>
        <v>3</v>
      </c>
      <c r="H45" s="158" t="s">
        <v>56</v>
      </c>
      <c r="I45" s="162"/>
      <c r="K45" s="163" t="str">
        <f t="shared" si="4"/>
        <v>No Skill</v>
      </c>
      <c r="M45" s="164">
        <f t="shared" si="5"/>
        <v>0</v>
      </c>
      <c r="O45" s="165" t="s">
        <v>89</v>
      </c>
      <c r="P45" s="20"/>
    </row>
    <row r="46" ht="1.5" customHeight="1">
      <c r="A46" s="21"/>
      <c r="B46" s="157" t="s">
        <v>116</v>
      </c>
      <c r="C46" s="158">
        <v>0.0</v>
      </c>
      <c r="D46" s="159" t="s">
        <v>98</v>
      </c>
      <c r="E46" s="160">
        <f>STR</f>
        <v>5</v>
      </c>
      <c r="F46" s="160">
        <f>DEX</f>
        <v>4</v>
      </c>
      <c r="G46" s="160">
        <f>CON</f>
        <v>2</v>
      </c>
      <c r="H46" s="158" t="s">
        <v>56</v>
      </c>
      <c r="I46" s="166"/>
      <c r="K46" s="163" t="str">
        <f t="shared" si="4"/>
        <v>No Skill</v>
      </c>
      <c r="M46" s="164">
        <f t="shared" si="5"/>
        <v>0</v>
      </c>
      <c r="O46" s="165" t="s">
        <v>89</v>
      </c>
      <c r="P46" s="20"/>
    </row>
    <row r="47" ht="1.5" customHeight="1">
      <c r="A47" s="21"/>
      <c r="B47" s="157" t="s">
        <v>117</v>
      </c>
      <c r="C47" s="158">
        <v>2.0</v>
      </c>
      <c r="D47" s="159" t="s">
        <v>118</v>
      </c>
      <c r="E47" s="160">
        <f>STR</f>
        <v>5</v>
      </c>
      <c r="F47" s="160">
        <f>DEX</f>
        <v>4</v>
      </c>
      <c r="G47" s="160">
        <f>WIS</f>
        <v>3</v>
      </c>
      <c r="H47" s="158" t="s">
        <v>56</v>
      </c>
      <c r="I47" s="166"/>
      <c r="K47" s="163" t="str">
        <f t="shared" si="4"/>
        <v>+4 Coin</v>
      </c>
      <c r="M47" s="164">
        <f t="shared" si="5"/>
        <v>0</v>
      </c>
      <c r="O47" s="165" t="s">
        <v>89</v>
      </c>
      <c r="P47" s="20"/>
    </row>
    <row r="48" ht="1.5" customHeight="1">
      <c r="A48" s="21"/>
      <c r="B48" s="157" t="s">
        <v>119</v>
      </c>
      <c r="C48" s="158">
        <v>0.0</v>
      </c>
      <c r="D48" s="159" t="s">
        <v>100</v>
      </c>
      <c r="E48" s="160">
        <f>STR</f>
        <v>5</v>
      </c>
      <c r="F48" s="160">
        <f>DEX</f>
        <v>4</v>
      </c>
      <c r="G48" s="160">
        <f>WIS</f>
        <v>3</v>
      </c>
      <c r="H48" s="158" t="s">
        <v>56</v>
      </c>
      <c r="I48" s="166"/>
      <c r="K48" s="163" t="str">
        <f t="shared" si="4"/>
        <v>No Skill</v>
      </c>
      <c r="M48" s="164">
        <f t="shared" si="5"/>
        <v>0</v>
      </c>
      <c r="O48" s="165" t="s">
        <v>89</v>
      </c>
      <c r="P48" s="20"/>
    </row>
    <row r="49" ht="1.5" customHeight="1">
      <c r="A49" s="21"/>
      <c r="B49" s="167" t="s">
        <v>120</v>
      </c>
      <c r="C49" s="168">
        <v>6.0</v>
      </c>
      <c r="D49" s="169" t="s">
        <v>121</v>
      </c>
      <c r="E49" s="170">
        <f>STR</f>
        <v>5</v>
      </c>
      <c r="F49" s="170">
        <f>DEX</f>
        <v>4</v>
      </c>
      <c r="G49" s="170">
        <f>CON</f>
        <v>2</v>
      </c>
      <c r="H49" s="168" t="s">
        <v>56</v>
      </c>
      <c r="I49" s="179"/>
      <c r="J49" s="32"/>
      <c r="K49" s="172" t="str">
        <f t="shared" si="4"/>
        <v>+3d6</v>
      </c>
      <c r="L49" s="32"/>
      <c r="M49" s="173">
        <f t="shared" si="5"/>
        <v>0</v>
      </c>
      <c r="N49" s="32"/>
      <c r="O49" s="174" t="s">
        <v>89</v>
      </c>
      <c r="P49" s="20"/>
    </row>
    <row r="50" ht="1.5" customHeight="1">
      <c r="A50" s="21"/>
      <c r="B50" s="175" t="s">
        <v>122</v>
      </c>
      <c r="P50" s="20"/>
    </row>
    <row r="51" ht="1.5" customHeight="1">
      <c r="A51" s="21"/>
      <c r="B51" s="146" t="s">
        <v>123</v>
      </c>
      <c r="C51" s="147">
        <v>0.0</v>
      </c>
      <c r="D51" s="148" t="s">
        <v>103</v>
      </c>
      <c r="E51" s="149">
        <f>CHA</f>
        <v>2</v>
      </c>
      <c r="F51" s="149">
        <f>WIS</f>
        <v>3</v>
      </c>
      <c r="G51" s="150"/>
      <c r="H51" s="147" t="s">
        <v>56</v>
      </c>
      <c r="I51" s="151"/>
      <c r="J51" s="152"/>
      <c r="K51" s="153" t="str">
        <f t="shared" ref="K51:K54" si="6">IF(AND(C51 &lt; 4, C51 &gt; 0), IF(OR(H51 = "Expert",H51 = "Master"), IF(MAX(E51:H51)&gt;-1,"+","-"), IF(H51 = "Natural", IF(ROUNDDOWN(AVERAGE(E51:H51),0)&gt;-1,"+","-"), IF(MIN(E51:H51)&gt;-1,"+","-"))) &amp; 
ABS(IF(OR(H51 = "Expert",H51 = "Master"), MAX(E51:H51) , IF(H51 = "Natural", ROUNDDOWN(AVERAGE(E51:H51),0), MIN(E51:H51)))) +1 &amp; " Coin",
IF(AND(C51 &lt; 20, C51 &gt; 12), IF(OR(H51 = "Expert",H51 = "Master"), IF(MAX(E51:H51)&gt;-1,"+","-"), IF(H51 = "Natural", IF(ROUNDDOWN(AVERAGE(E51:H51),0)&gt;-1,"+","-"), IF(MIN(E51:H51)&gt;-1,"+","-"))) &amp; 
ABS(IF(OR(H51 = "Expert",H51 = "Master"), MAX(E51:H51) , IF(H51 = "Natural", ROUNDDOWN(AVERAGE(E51:H51),0), MIN(E51:H51)))) +1 &amp; "d12",
IF(C51 = 0, "No Skill", IF(OR(H51 = "Expert",H51 = "Master"), IF(MAX(E51:H51)&gt;-1,"+","-"), IF(H51 = "Natural", IF(ROUNDDOWN(AVERAGE(E51:H51),0)&gt;-1,"+","-"), IF(MIN(E51:H51)&gt;-1,"+","-"))) &amp; 
ABS(IF(OR(H51 = "Expert",H51 = "Master"), MAX(E51:H51) , IF(H51 = "Natural", ROUNDDOWN(AVERAGE(E51:H51),0), MIN(E51:H51)))) +1 &amp; "d" &amp; 2*ROUNDDOWN(C51/2,0))))</f>
        <v>No Skill</v>
      </c>
      <c r="L51" s="154"/>
      <c r="M51" s="176">
        <f>IF(H51 = "Master",IF(BEAUTY &lt;&gt; 5,IF(BEAUTY &gt; 4, "+", "") &amp; 1+IF(BEAUTY&lt;=1,-3,IF(BEAUTY=2,-2,IF(BEAUTY=3,-2,IF(BEAUTY=4,-1,IF(BEAUTY=5,0,IF(BEAUTY=6,1,IF(BEAUTY=7,2,IF(BEAUTY=8,2,IF(BEAUTY&gt;8,3))))))))),"+1"),
IF(BEAUTY &lt;&gt; 5,IF(BEAUTY &gt; 4, "+", "") &amp; IF(BEAUTY&lt;=1,-3,IF(BEAUTY=2,-2,IF(BEAUTY=3,-2,IF(BEAUTY=4,-1,IF(BEAUTY=5,0,IF(BEAUTY=6,1,IF(BEAUTY=7,2,IF(BEAUTY=8,2,IF(BEAUTY&gt;8,3))))))))),""))+I51</f>
        <v>2</v>
      </c>
      <c r="N51" s="152"/>
      <c r="O51" s="156" t="s">
        <v>89</v>
      </c>
      <c r="P51" s="20"/>
    </row>
    <row r="52" ht="1.5" customHeight="1">
      <c r="A52" s="21"/>
      <c r="B52" s="157" t="s">
        <v>124</v>
      </c>
      <c r="C52" s="180">
        <v>0.0</v>
      </c>
      <c r="D52" s="159" t="s">
        <v>107</v>
      </c>
      <c r="E52" s="160">
        <f>CHA</f>
        <v>2</v>
      </c>
      <c r="F52" s="160">
        <f>INT</f>
        <v>3</v>
      </c>
      <c r="G52" s="161"/>
      <c r="H52" s="158" t="s">
        <v>56</v>
      </c>
      <c r="I52" s="166"/>
      <c r="K52" s="163" t="str">
        <f t="shared" si="6"/>
        <v>No Skill</v>
      </c>
      <c r="M52" s="177">
        <f>IF(H52 = "Master",IF(BEAUTY &lt;&gt; 5,IF(BEAUTY &gt; 4, "+", "") &amp; 1+IF(BEAUTY&lt;=1,-3,IF(BEAUTY=2,-2,IF(BEAUTY=3,-2,IF(BEAUTY=4,-1,IF(BEAUTY=5,0,IF(BEAUTY=6,1,IF(BEAUTY=7,2,IF(BEAUTY=8,2,IF(BEAUTY&gt;8,3))))))))),"+1"),
IF(BEAUTY &lt;&gt; 5,IF(BEAUTY &gt; 4, "+", "") &amp; IF(BEAUTY&lt;=1,-3,IF(BEAUTY=2,-2,IF(BEAUTY=3,-2,IF(BEAUTY=4,-1,IF(BEAUTY=5,0,IF(BEAUTY=6,1,IF(BEAUTY=7,2,IF(BEAUTY=8,2,IF(BEAUTY&gt;8,3))))))))),""))+I52</f>
        <v>2</v>
      </c>
      <c r="O52" s="165" t="s">
        <v>89</v>
      </c>
      <c r="P52" s="20"/>
    </row>
    <row r="53" ht="1.5" customHeight="1">
      <c r="A53" s="21"/>
      <c r="B53" s="157" t="s">
        <v>125</v>
      </c>
      <c r="C53" s="158">
        <v>0.0</v>
      </c>
      <c r="D53" s="159" t="s">
        <v>126</v>
      </c>
      <c r="E53" s="160">
        <f>DEX</f>
        <v>4</v>
      </c>
      <c r="F53" s="160">
        <f>CHA</f>
        <v>2</v>
      </c>
      <c r="G53" s="160">
        <f>WIS</f>
        <v>3</v>
      </c>
      <c r="H53" s="158" t="s">
        <v>56</v>
      </c>
      <c r="I53" s="166"/>
      <c r="K53" s="163" t="str">
        <f t="shared" si="6"/>
        <v>No Skill</v>
      </c>
      <c r="M53" s="177">
        <f>IF(H53 = "Master",IF(BEAUTY &lt;&gt; 5,IF(BEAUTY &gt; 4, "+", "") &amp; 1+IF(BEAUTY&lt;=1,-3,IF(BEAUTY=2,-2,IF(BEAUTY=3,-2,IF(BEAUTY=4,-1,IF(BEAUTY=5,0,IF(BEAUTY=6,1,IF(BEAUTY=7,2,IF(BEAUTY=8,2,IF(BEAUTY&gt;8,3))))))))),"+1"),
IF(BEAUTY &lt;&gt; 5,IF(BEAUTY &gt; 4, "+", "") &amp; IF(BEAUTY&lt;=1,-3,IF(BEAUTY=2,-2,IF(BEAUTY=3,-2,IF(BEAUTY=4,-1,IF(BEAUTY=5,0,IF(BEAUTY=6,1,IF(BEAUTY=7,2,IF(BEAUTY=8,2,IF(BEAUTY&gt;8,3))))))))),""))+I53</f>
        <v>2</v>
      </c>
      <c r="O53" s="165" t="s">
        <v>89</v>
      </c>
      <c r="P53" s="20"/>
    </row>
    <row r="54" ht="1.5" customHeight="1">
      <c r="A54" s="21"/>
      <c r="B54" s="167" t="s">
        <v>127</v>
      </c>
      <c r="C54" s="181">
        <v>0.0</v>
      </c>
      <c r="D54" s="169" t="s">
        <v>128</v>
      </c>
      <c r="E54" s="170">
        <f>STR</f>
        <v>5</v>
      </c>
      <c r="F54" s="170">
        <f>DEX</f>
        <v>4</v>
      </c>
      <c r="G54" s="170">
        <f>CHA</f>
        <v>2</v>
      </c>
      <c r="H54" s="168" t="s">
        <v>56</v>
      </c>
      <c r="I54" s="179"/>
      <c r="J54" s="32"/>
      <c r="K54" s="172" t="str">
        <f t="shared" si="6"/>
        <v>No Skill</v>
      </c>
      <c r="L54" s="32"/>
      <c r="M54" s="182">
        <f>IF(H54 = "Master",IF(BEAUTY &lt;&gt; 5,IF(BEAUTY &gt; 4, "+", "") &amp; 1+IF(BEAUTY&lt;=1,-3,IF(BEAUTY=2,-2,IF(BEAUTY=3,-2,IF(BEAUTY=4,-1,IF(BEAUTY=5,0,IF(BEAUTY=6,1,IF(BEAUTY=7,2,IF(BEAUTY=8,2,IF(BEAUTY&gt;8,3))))))))),"+1"),
IF(BEAUTY &lt;&gt; 5,IF(BEAUTY &gt; 4, "+", "") &amp; IF(BEAUTY&lt;=1,-3,IF(BEAUTY=2,-2,IF(BEAUTY=3,-2,IF(BEAUTY=4,-1,IF(BEAUTY=5,0,IF(BEAUTY=6,1,IF(BEAUTY=7,2,IF(BEAUTY=8,2,IF(BEAUTY&gt;8,3))))))))),""))+I54</f>
        <v>2</v>
      </c>
      <c r="N54" s="32"/>
      <c r="O54" s="174" t="s">
        <v>89</v>
      </c>
      <c r="P54" s="20"/>
    </row>
    <row r="55" ht="1.5" customHeight="1">
      <c r="A55" s="21"/>
      <c r="B55" s="175" t="s">
        <v>129</v>
      </c>
      <c r="P55" s="20"/>
    </row>
    <row r="56" ht="1.5" customHeight="1">
      <c r="A56" s="21"/>
      <c r="B56" s="146" t="s">
        <v>130</v>
      </c>
      <c r="C56" s="147">
        <v>0.0</v>
      </c>
      <c r="D56" s="148" t="s">
        <v>126</v>
      </c>
      <c r="E56" s="149">
        <f>DEX</f>
        <v>4</v>
      </c>
      <c r="F56" s="149">
        <f>CHA</f>
        <v>2</v>
      </c>
      <c r="G56" s="149">
        <f>WIS</f>
        <v>3</v>
      </c>
      <c r="H56" s="147" t="s">
        <v>56</v>
      </c>
      <c r="I56" s="183"/>
      <c r="J56" s="152"/>
      <c r="K56" s="153" t="str">
        <f t="shared" ref="K56:K60" si="7">IF(AND(C56 &lt; 4, C56 &gt; 0), IF(OR(H56 = "Expert",H56 = "Master"), IF(MAX(E56:H56)&gt;-1,"+","-"), IF(H56 = "Natural", IF(ROUNDDOWN(AVERAGE(E56:H56),0)&gt;-1,"+","-"), IF(MIN(E56:H56)&gt;-1,"+","-"))) &amp; 
ABS(IF(OR(H56 = "Expert",H56 = "Master"), MAX(E56:H56) , IF(H56 = "Natural", ROUNDDOWN(AVERAGE(E56:H56),0), MIN(E56:H56)))) +1 &amp; " Coin",
IF(AND(C56 &lt; 20, C56 &gt; 12), IF(OR(H56 = "Expert",H56 = "Master"), IF(MAX(E56:H56)&gt;-1,"+","-"), IF(H56 = "Natural", IF(ROUNDDOWN(AVERAGE(E56:H56),0)&gt;-1,"+","-"), IF(MIN(E56:H56)&gt;-1,"+","-"))) &amp; 
ABS(IF(OR(H56 = "Expert",H56 = "Master"), MAX(E56:H56) , IF(H56 = "Natural", ROUNDDOWN(AVERAGE(E56:H56),0), MIN(E56:H56)))) +1 &amp; "d12",
IF(C56 = 0, "No Skill", IF(OR(H56 = "Expert",H56 = "Master"), IF(MAX(E56:H56)&gt;-1,"+","-"), IF(H56 = "Natural", IF(ROUNDDOWN(AVERAGE(E56:H56),0)&gt;-1,"+","-"), IF(MIN(E56:H56)&gt;-1,"+","-"))) &amp; 
ABS(IF(OR(H56 = "Expert",H56 = "Master"), MAX(E56:H56) , IF(H56 = "Natural", ROUNDDOWN(AVERAGE(E56:H56),0), MIN(E56:H56)))) +1 &amp; "d" &amp; 2*ROUNDDOWN(C56/2,0))))</f>
        <v>No Skill</v>
      </c>
      <c r="L56" s="154"/>
      <c r="M56" s="155">
        <f t="shared" ref="M56:M60" si="8">IF(H56 = "Master", "+1", "") + I56</f>
        <v>0</v>
      </c>
      <c r="N56" s="152"/>
      <c r="O56" s="156" t="s">
        <v>89</v>
      </c>
      <c r="P56" s="20"/>
    </row>
    <row r="57" ht="1.5" customHeight="1">
      <c r="A57" s="21"/>
      <c r="B57" s="157" t="s">
        <v>131</v>
      </c>
      <c r="C57" s="158">
        <v>0.0</v>
      </c>
      <c r="D57" s="159" t="s">
        <v>126</v>
      </c>
      <c r="E57" s="160">
        <f>DEX</f>
        <v>4</v>
      </c>
      <c r="F57" s="160">
        <f>CHA</f>
        <v>2</v>
      </c>
      <c r="G57" s="160">
        <f>WIS</f>
        <v>3</v>
      </c>
      <c r="H57" s="158" t="s">
        <v>56</v>
      </c>
      <c r="I57" s="166"/>
      <c r="K57" s="163" t="str">
        <f t="shared" si="7"/>
        <v>No Skill</v>
      </c>
      <c r="M57" s="164">
        <f t="shared" si="8"/>
        <v>0</v>
      </c>
      <c r="O57" s="165" t="s">
        <v>89</v>
      </c>
      <c r="P57" s="20"/>
    </row>
    <row r="58" ht="1.5" customHeight="1">
      <c r="A58" s="21"/>
      <c r="B58" s="157" t="s">
        <v>132</v>
      </c>
      <c r="C58" s="158">
        <v>0.0</v>
      </c>
      <c r="D58" s="159" t="s">
        <v>126</v>
      </c>
      <c r="E58" s="160">
        <f>DEX</f>
        <v>4</v>
      </c>
      <c r="F58" s="160">
        <f>CHA</f>
        <v>2</v>
      </c>
      <c r="G58" s="160">
        <f>WIS</f>
        <v>3</v>
      </c>
      <c r="H58" s="158" t="s">
        <v>56</v>
      </c>
      <c r="I58" s="166"/>
      <c r="K58" s="163" t="str">
        <f t="shared" si="7"/>
        <v>No Skill</v>
      </c>
      <c r="M58" s="164">
        <f t="shared" si="8"/>
        <v>0</v>
      </c>
      <c r="O58" s="165" t="s">
        <v>89</v>
      </c>
      <c r="P58" s="20"/>
    </row>
    <row r="59" ht="1.5" customHeight="1">
      <c r="A59" s="21"/>
      <c r="B59" s="157" t="s">
        <v>133</v>
      </c>
      <c r="C59" s="180">
        <v>0.0</v>
      </c>
      <c r="D59" s="184" t="s">
        <v>134</v>
      </c>
      <c r="E59" s="160">
        <f>CHA</f>
        <v>2</v>
      </c>
      <c r="F59" s="160">
        <f>INT</f>
        <v>3</v>
      </c>
      <c r="G59" s="160">
        <f>WIS</f>
        <v>3</v>
      </c>
      <c r="H59" s="158" t="s">
        <v>56</v>
      </c>
      <c r="I59" s="166"/>
      <c r="K59" s="163" t="str">
        <f t="shared" si="7"/>
        <v>No Skill</v>
      </c>
      <c r="M59" s="164">
        <f t="shared" si="8"/>
        <v>0</v>
      </c>
      <c r="O59" s="165" t="s">
        <v>89</v>
      </c>
      <c r="P59" s="20"/>
    </row>
    <row r="60" ht="1.5" customHeight="1">
      <c r="A60" s="21"/>
      <c r="B60" s="167" t="s">
        <v>135</v>
      </c>
      <c r="C60" s="181">
        <v>0.0</v>
      </c>
      <c r="D60" s="169" t="s">
        <v>136</v>
      </c>
      <c r="E60" s="170">
        <f>DEX</f>
        <v>4</v>
      </c>
      <c r="F60" s="170">
        <f>CHA</f>
        <v>2</v>
      </c>
      <c r="G60" s="170">
        <f>INT</f>
        <v>3</v>
      </c>
      <c r="H60" s="168" t="s">
        <v>56</v>
      </c>
      <c r="I60" s="179"/>
      <c r="J60" s="32"/>
      <c r="K60" s="172" t="str">
        <f t="shared" si="7"/>
        <v>No Skill</v>
      </c>
      <c r="L60" s="32"/>
      <c r="M60" s="173">
        <f t="shared" si="8"/>
        <v>0</v>
      </c>
      <c r="N60" s="32"/>
      <c r="O60" s="174" t="s">
        <v>89</v>
      </c>
      <c r="P60" s="20"/>
    </row>
    <row r="61" ht="1.5" customHeight="1">
      <c r="A61" s="21"/>
      <c r="B61" s="175" t="s">
        <v>137</v>
      </c>
      <c r="P61" s="20"/>
    </row>
    <row r="62" ht="1.5" customHeight="1">
      <c r="A62" s="21"/>
      <c r="B62" s="146" t="s">
        <v>138</v>
      </c>
      <c r="C62" s="147">
        <v>0.0</v>
      </c>
      <c r="D62" s="148" t="s">
        <v>139</v>
      </c>
      <c r="E62" s="149">
        <f>INT</f>
        <v>3</v>
      </c>
      <c r="F62" s="149">
        <f>WIS</f>
        <v>3</v>
      </c>
      <c r="G62" s="150"/>
      <c r="H62" s="147" t="s">
        <v>56</v>
      </c>
      <c r="I62" s="183"/>
      <c r="J62" s="152"/>
      <c r="K62" s="153" t="str">
        <f t="shared" ref="K62:K69" si="9">IF(AND(C62 &lt; 4, C62 &gt; 0), IF(OR(H62 = "Expert",H62 = "Master"), IF(MAX(E62:H62)&gt;-1,"+","-"), IF(H62 = "Natural", IF(ROUNDDOWN(AVERAGE(E62:H62),0)&gt;-1,"+","-"), IF(MIN(E62:H62)&gt;-1,"+","-"))) &amp; 
ABS(IF(OR(H62 = "Expert",H62 = "Master"), MAX(E62:H62) , IF(H62 = "Natural", ROUNDDOWN(AVERAGE(E62:H62),0), MIN(E62:H62)))) +1 &amp; " Coin",
IF(AND(C62 &lt; 20, C62 &gt; 12), IF(OR(H62 = "Expert",H62 = "Master"), IF(MAX(E62:H62)&gt;-1,"+","-"), IF(H62 = "Natural", IF(ROUNDDOWN(AVERAGE(E62:H62),0)&gt;-1,"+","-"), IF(MIN(E62:H62)&gt;-1,"+","-"))) &amp; 
ABS(IF(OR(H62 = "Expert",H62 = "Master"), MAX(E62:H62) , IF(H62 = "Natural", ROUNDDOWN(AVERAGE(E62:H62),0), MIN(E62:H62)))) +1 &amp; "d12",
IF(C62 = 0, "No Skill", IF(OR(H62 = "Expert",H62 = "Master"), IF(MAX(E62:H62)&gt;-1,"+","-"), IF(H62 = "Natural", IF(ROUNDDOWN(AVERAGE(E62:H62),0)&gt;-1,"+","-"), IF(MIN(E62:H62)&gt;-1,"+","-"))) &amp; 
ABS(IF(OR(H62 = "Expert",H62 = "Master"), MAX(E62:H62) , IF(H62 = "Natural", ROUNDDOWN(AVERAGE(E62:H62),0), MIN(E62:H62)))) +1 &amp; "d" &amp; 2*ROUNDDOWN(C62/2,0))))</f>
        <v>No Skill</v>
      </c>
      <c r="L62" s="154"/>
      <c r="M62" s="155">
        <f t="shared" ref="M62:M67" si="10">IF(H62 = "Master", "+1", "") + I62</f>
        <v>0</v>
      </c>
      <c r="N62" s="152"/>
      <c r="O62" s="156" t="s">
        <v>89</v>
      </c>
      <c r="P62" s="20"/>
    </row>
    <row r="63" ht="1.5" customHeight="1">
      <c r="A63" s="21"/>
      <c r="B63" s="157" t="s">
        <v>140</v>
      </c>
      <c r="C63" s="158">
        <v>0.0</v>
      </c>
      <c r="D63" s="159" t="s">
        <v>107</v>
      </c>
      <c r="E63" s="160">
        <f>CHA</f>
        <v>2</v>
      </c>
      <c r="F63" s="160">
        <f>INT</f>
        <v>3</v>
      </c>
      <c r="G63" s="161"/>
      <c r="H63" s="158" t="s">
        <v>56</v>
      </c>
      <c r="I63" s="166"/>
      <c r="K63" s="163" t="str">
        <f t="shared" si="9"/>
        <v>No Skill</v>
      </c>
      <c r="M63" s="164">
        <f t="shared" si="10"/>
        <v>0</v>
      </c>
      <c r="O63" s="165" t="s">
        <v>89</v>
      </c>
      <c r="P63" s="20"/>
    </row>
    <row r="64" ht="1.5" customHeight="1">
      <c r="A64" s="21"/>
      <c r="B64" s="157" t="s">
        <v>141</v>
      </c>
      <c r="C64" s="158">
        <v>2.0</v>
      </c>
      <c r="D64" s="159" t="s">
        <v>139</v>
      </c>
      <c r="E64" s="160">
        <f>INT</f>
        <v>3</v>
      </c>
      <c r="F64" s="160">
        <f>WIS</f>
        <v>3</v>
      </c>
      <c r="G64" s="161"/>
      <c r="H64" s="158" t="s">
        <v>56</v>
      </c>
      <c r="I64" s="166"/>
      <c r="K64" s="163" t="str">
        <f t="shared" si="9"/>
        <v>+4 Coin</v>
      </c>
      <c r="M64" s="164">
        <f t="shared" si="10"/>
        <v>0</v>
      </c>
      <c r="O64" s="165" t="s">
        <v>89</v>
      </c>
      <c r="P64" s="20"/>
    </row>
    <row r="65" ht="1.5" customHeight="1">
      <c r="A65" s="21"/>
      <c r="B65" s="157" t="s">
        <v>142</v>
      </c>
      <c r="C65" s="158">
        <v>1.0</v>
      </c>
      <c r="D65" s="159" t="s">
        <v>139</v>
      </c>
      <c r="E65" s="160">
        <f>INT</f>
        <v>3</v>
      </c>
      <c r="F65" s="160">
        <f>WIS</f>
        <v>3</v>
      </c>
      <c r="G65" s="161"/>
      <c r="H65" s="158" t="s">
        <v>56</v>
      </c>
      <c r="I65" s="166"/>
      <c r="K65" s="163" t="str">
        <f t="shared" si="9"/>
        <v>+4 Coin</v>
      </c>
      <c r="M65" s="164">
        <f t="shared" si="10"/>
        <v>0</v>
      </c>
      <c r="O65" s="165" t="s">
        <v>89</v>
      </c>
      <c r="P65" s="20"/>
    </row>
    <row r="66" ht="1.5" customHeight="1">
      <c r="A66" s="21"/>
      <c r="B66" s="157" t="s">
        <v>143</v>
      </c>
      <c r="C66" s="158">
        <v>0.0</v>
      </c>
      <c r="D66" s="159" t="s">
        <v>144</v>
      </c>
      <c r="E66" s="160">
        <f>CHA</f>
        <v>2</v>
      </c>
      <c r="F66" s="160">
        <f>INT</f>
        <v>3</v>
      </c>
      <c r="G66" s="160">
        <f>WIS</f>
        <v>3</v>
      </c>
      <c r="H66" s="158" t="s">
        <v>56</v>
      </c>
      <c r="I66" s="166"/>
      <c r="K66" s="163" t="str">
        <f t="shared" si="9"/>
        <v>No Skill</v>
      </c>
      <c r="M66" s="164">
        <f t="shared" si="10"/>
        <v>0</v>
      </c>
      <c r="O66" s="165" t="s">
        <v>89</v>
      </c>
      <c r="P66" s="20"/>
    </row>
    <row r="67" ht="1.5" customHeight="1">
      <c r="A67" s="21"/>
      <c r="B67" s="157" t="s">
        <v>145</v>
      </c>
      <c r="C67" s="158">
        <v>0.0</v>
      </c>
      <c r="D67" s="159" t="s">
        <v>144</v>
      </c>
      <c r="E67" s="160">
        <f>CHA</f>
        <v>2</v>
      </c>
      <c r="F67" s="160">
        <f>INT</f>
        <v>3</v>
      </c>
      <c r="G67" s="160">
        <f>WIS</f>
        <v>3</v>
      </c>
      <c r="H67" s="158" t="s">
        <v>56</v>
      </c>
      <c r="I67" s="166"/>
      <c r="K67" s="163" t="str">
        <f t="shared" si="9"/>
        <v>No Skill</v>
      </c>
      <c r="M67" s="164">
        <f t="shared" si="10"/>
        <v>0</v>
      </c>
      <c r="O67" s="165" t="s">
        <v>89</v>
      </c>
      <c r="P67" s="20"/>
    </row>
    <row r="68" ht="1.5" customHeight="1">
      <c r="A68" s="21"/>
      <c r="B68" s="157" t="s">
        <v>146</v>
      </c>
      <c r="C68" s="158">
        <v>1.0</v>
      </c>
      <c r="D68" s="159" t="s">
        <v>144</v>
      </c>
      <c r="E68" s="160">
        <f>CHA</f>
        <v>2</v>
      </c>
      <c r="F68" s="160">
        <f>INT</f>
        <v>3</v>
      </c>
      <c r="G68" s="160">
        <f>WIS</f>
        <v>3</v>
      </c>
      <c r="H68" s="158" t="s">
        <v>56</v>
      </c>
      <c r="I68" s="166"/>
      <c r="K68" s="163" t="str">
        <f t="shared" si="9"/>
        <v>+3 Coin</v>
      </c>
      <c r="M68" s="177">
        <f>IF(H68 = "Master",IF(BEAUTY &lt;&gt; 5,IF(BEAUTY &gt; 4, "+", "") &amp; 1+IF(BEAUTY&lt;=1,-3,IF(BEAUTY=2,-2,IF(BEAUTY=3,-2,IF(BEAUTY=4,-1,IF(BEAUTY=5,0,IF(BEAUTY=6,1,IF(BEAUTY=7,2,IF(BEAUTY=8,2,IF(BEAUTY&gt;8,3))))))))),"+1"),
IF(BEAUTY &lt;&gt; 5,IF(BEAUTY &gt; 4, "+", "") &amp; IF(BEAUTY&lt;=1,-3,IF(BEAUTY=2,-2,IF(BEAUTY=3,-2,IF(BEAUTY=4,-1,IF(BEAUTY=5,0,IF(BEAUTY=6,1,IF(BEAUTY=7,2,IF(BEAUTY=8,2,IF(BEAUTY&gt;8,3))))))))),""))+I68</f>
        <v>2</v>
      </c>
      <c r="O68" s="165" t="s">
        <v>89</v>
      </c>
      <c r="P68" s="20"/>
    </row>
    <row r="69" ht="1.5" customHeight="1">
      <c r="A69" s="21"/>
      <c r="B69" s="167" t="s">
        <v>147</v>
      </c>
      <c r="C69" s="168">
        <v>5.0</v>
      </c>
      <c r="D69" s="169" t="s">
        <v>148</v>
      </c>
      <c r="E69" s="170">
        <f>CHA</f>
        <v>2</v>
      </c>
      <c r="F69" s="170">
        <f>INT</f>
        <v>3</v>
      </c>
      <c r="G69" s="170">
        <f>WIS</f>
        <v>3</v>
      </c>
      <c r="H69" s="168" t="s">
        <v>56</v>
      </c>
      <c r="I69" s="179"/>
      <c r="J69" s="32"/>
      <c r="K69" s="172" t="str">
        <f t="shared" si="9"/>
        <v>+3d4</v>
      </c>
      <c r="L69" s="32"/>
      <c r="M69" s="173">
        <f>IF(H69 = "Master", "+1", "") + I69</f>
        <v>0</v>
      </c>
      <c r="N69" s="32"/>
      <c r="O69" s="174" t="s">
        <v>89</v>
      </c>
      <c r="P69" s="20"/>
    </row>
    <row r="70" ht="1.5" customHeight="1">
      <c r="A70" s="21"/>
      <c r="B70" s="175" t="s">
        <v>149</v>
      </c>
      <c r="P70" s="20"/>
    </row>
    <row r="71" ht="1.5" customHeight="1">
      <c r="A71" s="21"/>
      <c r="B71" s="146" t="s">
        <v>150</v>
      </c>
      <c r="C71" s="185">
        <v>0.0</v>
      </c>
      <c r="D71" s="148" t="s">
        <v>139</v>
      </c>
      <c r="E71" s="149">
        <f>INT</f>
        <v>3</v>
      </c>
      <c r="F71" s="149">
        <f>WIS</f>
        <v>3</v>
      </c>
      <c r="G71" s="150"/>
      <c r="H71" s="147" t="s">
        <v>56</v>
      </c>
      <c r="I71" s="183"/>
      <c r="J71" s="152"/>
      <c r="K71" s="153" t="str">
        <f t="shared" ref="K71:K75" si="11">IF(AND(C71 &lt; 4, C71 &gt; 0), IF(OR(H71 = "Expert",H71 = "Master"), IF(MAX(E71:H71)&gt;-1,"+","-"), IF(H71 = "Natural", IF(ROUNDDOWN(AVERAGE(E71:H71),0)&gt;-1,"+","-"), IF(MIN(E71:H71)&gt;-1,"+","-"))) &amp; 
ABS(IF(OR(H71 = "Expert",H71 = "Master"), MAX(E71:H71) , IF(H71 = "Natural", ROUNDDOWN(AVERAGE(E71:H71),0), MIN(E71:H71)))) +1 &amp; " Coin",
IF(AND(C71 &lt; 20, C71 &gt; 12), IF(OR(H71 = "Expert",H71 = "Master"), IF(MAX(E71:H71)&gt;-1,"+","-"), IF(H71 = "Natural", IF(ROUNDDOWN(AVERAGE(E71:H71),0)&gt;-1,"+","-"), IF(MIN(E71:H71)&gt;-1,"+","-"))) &amp; 
ABS(IF(OR(H71 = "Expert",H71 = "Master"), MAX(E71:H71) , IF(H71 = "Natural", ROUNDDOWN(AVERAGE(E71:H71),0), MIN(E71:H71)))) +1 &amp; "d12",
IF(C71 = 0, "No Skill", IF(OR(H71 = "Expert",H71 = "Master"), IF(MAX(E71:H71)&gt;-1,"+","-"), IF(H71 = "Natural", IF(ROUNDDOWN(AVERAGE(E71:H71),0)&gt;-1,"+","-"), IF(MIN(E71:H71)&gt;-1,"+","-"))) &amp; 
ABS(IF(OR(H71 = "Expert",H71 = "Master"), MAX(E71:H71) , IF(H71 = "Natural", ROUNDDOWN(AVERAGE(E71:H71),0), MIN(E71:H71)))) +1 &amp; "d" &amp; 2*ROUNDDOWN(C71/2,0))))</f>
        <v>No Skill</v>
      </c>
      <c r="L71" s="154"/>
      <c r="M71" s="155">
        <f t="shared" ref="M71:M75" si="12">IF(H71 = "Master", "+1", "") + I71</f>
        <v>0</v>
      </c>
      <c r="N71" s="152"/>
      <c r="O71" s="156" t="s">
        <v>89</v>
      </c>
      <c r="P71" s="20"/>
    </row>
    <row r="72" ht="1.5" customHeight="1">
      <c r="A72" s="21"/>
      <c r="B72" s="157" t="s">
        <v>151</v>
      </c>
      <c r="C72" s="180">
        <v>0.0</v>
      </c>
      <c r="D72" s="159" t="s">
        <v>139</v>
      </c>
      <c r="E72" s="160">
        <f>INT</f>
        <v>3</v>
      </c>
      <c r="F72" s="160">
        <f>WIS</f>
        <v>3</v>
      </c>
      <c r="G72" s="161"/>
      <c r="H72" s="158" t="s">
        <v>56</v>
      </c>
      <c r="I72" s="166"/>
      <c r="K72" s="163" t="str">
        <f t="shared" si="11"/>
        <v>No Skill</v>
      </c>
      <c r="M72" s="164">
        <f t="shared" si="12"/>
        <v>0</v>
      </c>
      <c r="O72" s="165" t="s">
        <v>89</v>
      </c>
      <c r="P72" s="20"/>
    </row>
    <row r="73" ht="1.5" customHeight="1">
      <c r="A73" s="21"/>
      <c r="B73" s="157" t="s">
        <v>152</v>
      </c>
      <c r="C73" s="158">
        <v>0.0</v>
      </c>
      <c r="D73" s="159" t="s">
        <v>139</v>
      </c>
      <c r="E73" s="160">
        <f>INT</f>
        <v>3</v>
      </c>
      <c r="F73" s="160">
        <f>WIS</f>
        <v>3</v>
      </c>
      <c r="G73" s="161"/>
      <c r="H73" s="158" t="s">
        <v>56</v>
      </c>
      <c r="I73" s="166"/>
      <c r="K73" s="163" t="str">
        <f t="shared" si="11"/>
        <v>No Skill</v>
      </c>
      <c r="M73" s="164">
        <f t="shared" si="12"/>
        <v>0</v>
      </c>
      <c r="O73" s="165" t="s">
        <v>89</v>
      </c>
      <c r="P73" s="20"/>
    </row>
    <row r="74" ht="1.5" customHeight="1">
      <c r="A74" s="21"/>
      <c r="B74" s="157" t="s">
        <v>153</v>
      </c>
      <c r="C74" s="180">
        <v>0.0</v>
      </c>
      <c r="D74" s="159" t="s">
        <v>139</v>
      </c>
      <c r="E74" s="160">
        <f>INT</f>
        <v>3</v>
      </c>
      <c r="F74" s="160">
        <f>WIS</f>
        <v>3</v>
      </c>
      <c r="G74" s="161"/>
      <c r="H74" s="158" t="s">
        <v>56</v>
      </c>
      <c r="I74" s="166"/>
      <c r="K74" s="163" t="str">
        <f t="shared" si="11"/>
        <v>No Skill</v>
      </c>
      <c r="M74" s="164">
        <f t="shared" si="12"/>
        <v>0</v>
      </c>
      <c r="O74" s="165" t="s">
        <v>89</v>
      </c>
      <c r="P74" s="20"/>
    </row>
    <row r="75" ht="1.5" customHeight="1">
      <c r="A75" s="21"/>
      <c r="B75" s="167" t="s">
        <v>154</v>
      </c>
      <c r="C75" s="181">
        <v>0.0</v>
      </c>
      <c r="D75" s="169" t="s">
        <v>139</v>
      </c>
      <c r="E75" s="170">
        <f>INT</f>
        <v>3</v>
      </c>
      <c r="F75" s="170">
        <f>WIS</f>
        <v>3</v>
      </c>
      <c r="G75" s="178"/>
      <c r="H75" s="168" t="s">
        <v>56</v>
      </c>
      <c r="I75" s="179"/>
      <c r="J75" s="32"/>
      <c r="K75" s="172" t="str">
        <f t="shared" si="11"/>
        <v>No Skill</v>
      </c>
      <c r="L75" s="32"/>
      <c r="M75" s="173">
        <f t="shared" si="12"/>
        <v>0</v>
      </c>
      <c r="N75" s="32"/>
      <c r="O75" s="174" t="s">
        <v>89</v>
      </c>
      <c r="P75" s="20"/>
    </row>
    <row r="76" ht="1.5" customHeight="1">
      <c r="A76" s="21"/>
      <c r="B76" s="175" t="s">
        <v>155</v>
      </c>
      <c r="P76" s="20"/>
    </row>
    <row r="77" ht="1.5" customHeight="1">
      <c r="A77" s="21"/>
      <c r="B77" s="146" t="s">
        <v>156</v>
      </c>
      <c r="C77" s="185">
        <v>0.0</v>
      </c>
      <c r="D77" s="148" t="s">
        <v>139</v>
      </c>
      <c r="E77" s="149">
        <f>INT</f>
        <v>3</v>
      </c>
      <c r="F77" s="149">
        <f>WIS</f>
        <v>3</v>
      </c>
      <c r="G77" s="150"/>
      <c r="H77" s="147" t="s">
        <v>56</v>
      </c>
      <c r="I77" s="183"/>
      <c r="J77" s="152"/>
      <c r="K77" s="153" t="str">
        <f t="shared" ref="K77:K84" si="13">IF(AND(C77 &lt; 4, C77 &gt; 0), IF(OR(H77 = "Expert",H77 = "Master"), IF(MAX(E77:H77)&gt;-1,"+","-"), IF(H77 = "Natural", IF(ROUNDDOWN(AVERAGE(E77:H77),0)&gt;-1,"+","-"), IF(MIN(E77:H77)&gt;-1,"+","-"))) &amp; 
ABS(IF(OR(H77 = "Expert",H77 = "Master"), MAX(E77:H77) , IF(H77 = "Natural", ROUNDDOWN(AVERAGE(E77:H77),0), MIN(E77:H77)))) +1 &amp; " Coin",
IF(AND(C77 &lt; 20, C77 &gt; 12), IF(OR(H77 = "Expert",H77 = "Master"), IF(MAX(E77:H77)&gt;-1,"+","-"), IF(H77 = "Natural", IF(ROUNDDOWN(AVERAGE(E77:H77),0)&gt;-1,"+","-"), IF(MIN(E77:H77)&gt;-1,"+","-"))) &amp; 
ABS(IF(OR(H77 = "Expert",H77 = "Master"), MAX(E77:H77) , IF(H77 = "Natural", ROUNDDOWN(AVERAGE(E77:H77),0), MIN(E77:H77)))) +1 &amp; "d12",
IF(C77 = 0, "No Skill", IF(OR(H77 = "Expert",H77 = "Master"), IF(MAX(E77:H77)&gt;-1,"+","-"), IF(H77 = "Natural", IF(ROUNDDOWN(AVERAGE(E77:H77),0)&gt;-1,"+","-"), IF(MIN(E77:H77)&gt;-1,"+","-"))) &amp; 
ABS(IF(OR(H77 = "Expert",H77 = "Master"), MAX(E77:H77) , IF(H77 = "Natural", ROUNDDOWN(AVERAGE(E77:H77),0), MIN(E77:H77)))) +1 &amp; "d" &amp; 2*ROUNDDOWN(C77/2,0))))</f>
        <v>No Skill</v>
      </c>
      <c r="L77" s="154"/>
      <c r="M77" s="155">
        <f t="shared" ref="M77:M84" si="14">IF(H77 = "Master", "+1", "") + I77</f>
        <v>0</v>
      </c>
      <c r="N77" s="152"/>
      <c r="O77" s="156" t="s">
        <v>89</v>
      </c>
      <c r="P77" s="20"/>
    </row>
    <row r="78" ht="1.5" customHeight="1">
      <c r="A78" s="21"/>
      <c r="B78" s="157" t="s">
        <v>157</v>
      </c>
      <c r="C78" s="158">
        <v>0.0</v>
      </c>
      <c r="D78" s="159" t="s">
        <v>139</v>
      </c>
      <c r="E78" s="160">
        <f>INT</f>
        <v>3</v>
      </c>
      <c r="F78" s="160">
        <f>WIS</f>
        <v>3</v>
      </c>
      <c r="G78" s="161"/>
      <c r="H78" s="158" t="s">
        <v>56</v>
      </c>
      <c r="I78" s="166"/>
      <c r="K78" s="163" t="str">
        <f t="shared" si="13"/>
        <v>No Skill</v>
      </c>
      <c r="M78" s="164">
        <f t="shared" si="14"/>
        <v>0</v>
      </c>
      <c r="O78" s="165" t="s">
        <v>89</v>
      </c>
      <c r="P78" s="20"/>
    </row>
    <row r="79" ht="1.5" customHeight="1">
      <c r="A79" s="21"/>
      <c r="B79" s="157" t="s">
        <v>158</v>
      </c>
      <c r="C79" s="180">
        <v>0.0</v>
      </c>
      <c r="D79" s="159" t="s">
        <v>139</v>
      </c>
      <c r="E79" s="160">
        <f>INT</f>
        <v>3</v>
      </c>
      <c r="F79" s="160">
        <f>WIS</f>
        <v>3</v>
      </c>
      <c r="G79" s="161"/>
      <c r="H79" s="158" t="s">
        <v>56</v>
      </c>
      <c r="I79" s="166"/>
      <c r="K79" s="163" t="str">
        <f t="shared" si="13"/>
        <v>No Skill</v>
      </c>
      <c r="M79" s="164">
        <f t="shared" si="14"/>
        <v>0</v>
      </c>
      <c r="O79" s="165" t="s">
        <v>89</v>
      </c>
      <c r="P79" s="20"/>
    </row>
    <row r="80" ht="1.5" customHeight="1">
      <c r="A80" s="21"/>
      <c r="B80" s="157" t="s">
        <v>159</v>
      </c>
      <c r="C80" s="158">
        <v>0.0</v>
      </c>
      <c r="D80" s="159" t="s">
        <v>139</v>
      </c>
      <c r="E80" s="160">
        <f>INT</f>
        <v>3</v>
      </c>
      <c r="F80" s="160">
        <f>WIS</f>
        <v>3</v>
      </c>
      <c r="G80" s="161"/>
      <c r="H80" s="158" t="s">
        <v>56</v>
      </c>
      <c r="I80" s="166"/>
      <c r="K80" s="163" t="str">
        <f t="shared" si="13"/>
        <v>No Skill</v>
      </c>
      <c r="M80" s="164">
        <f t="shared" si="14"/>
        <v>0</v>
      </c>
      <c r="O80" s="165" t="s">
        <v>89</v>
      </c>
      <c r="P80" s="20"/>
    </row>
    <row r="81" ht="1.5" customHeight="1">
      <c r="A81" s="21"/>
      <c r="B81" s="157" t="s">
        <v>160</v>
      </c>
      <c r="C81" s="180">
        <v>0.0</v>
      </c>
      <c r="D81" s="159" t="s">
        <v>139</v>
      </c>
      <c r="E81" s="160">
        <f>INT</f>
        <v>3</v>
      </c>
      <c r="F81" s="160">
        <f>WIS</f>
        <v>3</v>
      </c>
      <c r="G81" s="161"/>
      <c r="H81" s="158" t="s">
        <v>56</v>
      </c>
      <c r="I81" s="166"/>
      <c r="K81" s="163" t="str">
        <f t="shared" si="13"/>
        <v>No Skill</v>
      </c>
      <c r="M81" s="164">
        <f t="shared" si="14"/>
        <v>0</v>
      </c>
      <c r="O81" s="165" t="s">
        <v>89</v>
      </c>
      <c r="P81" s="20"/>
    </row>
    <row r="82" ht="1.5" customHeight="1">
      <c r="A82" s="21"/>
      <c r="B82" s="157" t="s">
        <v>161</v>
      </c>
      <c r="C82" s="180">
        <v>0.0</v>
      </c>
      <c r="D82" s="159" t="s">
        <v>115</v>
      </c>
      <c r="E82" s="160">
        <f>DEX</f>
        <v>4</v>
      </c>
      <c r="F82" s="160">
        <f>INT</f>
        <v>3</v>
      </c>
      <c r="G82" s="160">
        <f>WIS</f>
        <v>3</v>
      </c>
      <c r="H82" s="158" t="s">
        <v>56</v>
      </c>
      <c r="I82" s="166"/>
      <c r="K82" s="163" t="str">
        <f t="shared" si="13"/>
        <v>No Skill</v>
      </c>
      <c r="M82" s="164">
        <f t="shared" si="14"/>
        <v>0</v>
      </c>
      <c r="O82" s="165" t="s">
        <v>89</v>
      </c>
      <c r="P82" s="20"/>
    </row>
    <row r="83" ht="1.5" customHeight="1">
      <c r="A83" s="21"/>
      <c r="B83" s="157" t="s">
        <v>162</v>
      </c>
      <c r="C83" s="180">
        <v>0.0</v>
      </c>
      <c r="D83" s="159" t="s">
        <v>163</v>
      </c>
      <c r="E83" s="160">
        <f>CON</f>
        <v>2</v>
      </c>
      <c r="F83" s="160">
        <f>INT</f>
        <v>3</v>
      </c>
      <c r="G83" s="160">
        <f>WIS</f>
        <v>3</v>
      </c>
      <c r="H83" s="158" t="s">
        <v>56</v>
      </c>
      <c r="I83" s="166"/>
      <c r="K83" s="163" t="str">
        <f t="shared" si="13"/>
        <v>No Skill</v>
      </c>
      <c r="M83" s="164">
        <f t="shared" si="14"/>
        <v>0</v>
      </c>
      <c r="O83" s="165" t="s">
        <v>89</v>
      </c>
      <c r="P83" s="20"/>
    </row>
    <row r="84" ht="1.5" customHeight="1">
      <c r="A84" s="21"/>
      <c r="B84" s="167" t="s">
        <v>164</v>
      </c>
      <c r="C84" s="168">
        <v>0.0</v>
      </c>
      <c r="D84" s="169" t="s">
        <v>165</v>
      </c>
      <c r="E84" s="170">
        <f>DEX</f>
        <v>4</v>
      </c>
      <c r="F84" s="170">
        <f>INT</f>
        <v>3</v>
      </c>
      <c r="G84" s="170">
        <f>WIS</f>
        <v>3</v>
      </c>
      <c r="H84" s="168" t="s">
        <v>56</v>
      </c>
      <c r="I84" s="179"/>
      <c r="J84" s="32"/>
      <c r="K84" s="172" t="str">
        <f t="shared" si="13"/>
        <v>No Skill</v>
      </c>
      <c r="L84" s="32"/>
      <c r="M84" s="173">
        <f t="shared" si="14"/>
        <v>0</v>
      </c>
      <c r="N84" s="32"/>
      <c r="O84" s="174" t="s">
        <v>89</v>
      </c>
      <c r="P84" s="20"/>
    </row>
    <row r="85" ht="1.5" customHeight="1">
      <c r="A85" s="21"/>
      <c r="B85" s="145" t="s">
        <v>166</v>
      </c>
      <c r="P85" s="20"/>
    </row>
    <row r="86" ht="1.5" customHeight="1">
      <c r="A86" s="21"/>
      <c r="B86" s="146" t="s">
        <v>167</v>
      </c>
      <c r="C86" s="185">
        <v>0.0</v>
      </c>
      <c r="D86" s="148" t="s">
        <v>95</v>
      </c>
      <c r="E86" s="149">
        <f>DEX</f>
        <v>4</v>
      </c>
      <c r="F86" s="149">
        <f>WIS</f>
        <v>3</v>
      </c>
      <c r="G86" s="150"/>
      <c r="H86" s="147" t="s">
        <v>56</v>
      </c>
      <c r="I86" s="183"/>
      <c r="J86" s="152"/>
      <c r="K86" s="153" t="str">
        <f t="shared" ref="K86:K89" si="15">IF(AND(C86 &lt; 4, C86 &gt; 0), IF(OR(H86 = "Expert",H86 = "Master"), IF(MAX(E86:H86)&gt;-1,"+","-"), IF(H86 = "Natural", IF(ROUNDDOWN(AVERAGE(E86:H86),0)&gt;-1,"+","-"), IF(MIN(E86:H86)&gt;-1,"+","-"))) &amp; 
ABS(IF(OR(H86 = "Expert",H86 = "Master"), MAX(E86:H86) , IF(H86 = "Natural", ROUNDDOWN(AVERAGE(E86:H86),0), MIN(E86:H86)))) +1 &amp; " Coin",
IF(AND(C86 &lt; 20, C86 &gt; 12), IF(OR(H86 = "Expert",H86 = "Master"), IF(MAX(E86:H86)&gt;-1,"+","-"), IF(H86 = "Natural", IF(ROUNDDOWN(AVERAGE(E86:H86),0)&gt;-1,"+","-"), IF(MIN(E86:H86)&gt;-1,"+","-"))) &amp; 
ABS(IF(OR(H86 = "Expert",H86 = "Master"), MAX(E86:H86) , IF(H86 = "Natural", ROUNDDOWN(AVERAGE(E86:H86),0), MIN(E86:H86)))) +1 &amp; "d12",
IF(C86 = 0, "No Skill", IF(OR(H86 = "Expert",H86 = "Master"), IF(MAX(E86:H86)&gt;-1,"+","-"), IF(H86 = "Natural", IF(ROUNDDOWN(AVERAGE(E86:H86),0)&gt;-1,"+","-"), IF(MIN(E86:H86)&gt;-1,"+","-"))) &amp; 
ABS(IF(OR(H86 = "Expert",H86 = "Master"), MAX(E86:H86) , IF(H86 = "Natural", ROUNDDOWN(AVERAGE(E86:H86),0), MIN(E86:H86)))) +1 &amp; "d" &amp; 2*ROUNDDOWN(C86/2,0))))</f>
        <v>No Skill</v>
      </c>
      <c r="L86" s="154"/>
      <c r="M86" s="155">
        <f t="shared" ref="M86:M89" si="16">IF(H86 = "Master", "+1", "") + I86</f>
        <v>0</v>
      </c>
      <c r="N86" s="152"/>
      <c r="O86" s="156" t="s">
        <v>89</v>
      </c>
      <c r="P86" s="20"/>
    </row>
    <row r="87" ht="1.5" customHeight="1">
      <c r="A87" s="21"/>
      <c r="B87" s="157" t="s">
        <v>168</v>
      </c>
      <c r="C87" s="158">
        <v>0.0</v>
      </c>
      <c r="D87" s="159" t="s">
        <v>95</v>
      </c>
      <c r="E87" s="160">
        <f>DEX</f>
        <v>4</v>
      </c>
      <c r="F87" s="160">
        <f>WIS</f>
        <v>3</v>
      </c>
      <c r="G87" s="161"/>
      <c r="H87" s="158" t="s">
        <v>56</v>
      </c>
      <c r="I87" s="166"/>
      <c r="K87" s="163" t="str">
        <f t="shared" si="15"/>
        <v>No Skill</v>
      </c>
      <c r="M87" s="164">
        <f t="shared" si="16"/>
        <v>0</v>
      </c>
      <c r="O87" s="165" t="s">
        <v>89</v>
      </c>
      <c r="P87" s="20"/>
    </row>
    <row r="88" ht="1.5" customHeight="1">
      <c r="A88" s="21"/>
      <c r="B88" s="157" t="s">
        <v>169</v>
      </c>
      <c r="C88" s="158">
        <v>12.0</v>
      </c>
      <c r="D88" s="159" t="s">
        <v>115</v>
      </c>
      <c r="E88" s="160">
        <f>DEX</f>
        <v>4</v>
      </c>
      <c r="F88" s="160">
        <f>INT</f>
        <v>3</v>
      </c>
      <c r="G88" s="160">
        <f>WIS</f>
        <v>3</v>
      </c>
      <c r="H88" s="158" t="s">
        <v>56</v>
      </c>
      <c r="I88" s="166"/>
      <c r="K88" s="163" t="str">
        <f t="shared" si="15"/>
        <v>+4d12</v>
      </c>
      <c r="M88" s="164">
        <f t="shared" si="16"/>
        <v>0</v>
      </c>
      <c r="O88" s="165" t="s">
        <v>89</v>
      </c>
      <c r="P88" s="20"/>
    </row>
    <row r="89" ht="1.5" customHeight="1">
      <c r="A89" s="21"/>
      <c r="B89" s="167" t="s">
        <v>170</v>
      </c>
      <c r="C89" s="168">
        <v>0.0</v>
      </c>
      <c r="D89" s="169" t="s">
        <v>171</v>
      </c>
      <c r="E89" s="170">
        <f>DEX</f>
        <v>4</v>
      </c>
      <c r="F89" s="170">
        <f>CON</f>
        <v>2</v>
      </c>
      <c r="G89" s="170">
        <f>CHA</f>
        <v>2</v>
      </c>
      <c r="H89" s="168" t="s">
        <v>56</v>
      </c>
      <c r="I89" s="179"/>
      <c r="J89" s="32"/>
      <c r="K89" s="172" t="str">
        <f t="shared" si="15"/>
        <v>No Skill</v>
      </c>
      <c r="L89" s="32"/>
      <c r="M89" s="173">
        <f t="shared" si="16"/>
        <v>0</v>
      </c>
      <c r="N89" s="32"/>
      <c r="O89" s="174" t="s">
        <v>89</v>
      </c>
      <c r="P89" s="20"/>
    </row>
    <row r="90" ht="1.5" customHeight="1">
      <c r="A90" s="21"/>
      <c r="B90" s="175" t="s">
        <v>172</v>
      </c>
      <c r="P90" s="20"/>
    </row>
    <row r="91" ht="1.5" customHeight="1">
      <c r="A91" s="21"/>
      <c r="B91" s="146" t="s">
        <v>173</v>
      </c>
      <c r="C91" s="147">
        <v>4.0</v>
      </c>
      <c r="D91" s="148" t="s">
        <v>103</v>
      </c>
      <c r="E91" s="149">
        <f>CHA</f>
        <v>2</v>
      </c>
      <c r="F91" s="149">
        <f>WIS</f>
        <v>3</v>
      </c>
      <c r="G91" s="150"/>
      <c r="H91" s="147" t="s">
        <v>56</v>
      </c>
      <c r="I91" s="183"/>
      <c r="J91" s="152"/>
      <c r="K91" s="153" t="str">
        <f t="shared" ref="K91:K93" si="17">IF(AND(C91 &lt; 4, C91 &gt; 0), IF(OR(H91 = "Expert",H91 = "Master"), IF(MAX(E91:H91)&gt;-1,"+","-"), IF(H91 = "Natural", IF(ROUNDDOWN(AVERAGE(E91:H91),0)&gt;-1,"+","-"), IF(MIN(E91:H91)&gt;-1,"+","-"))) &amp; 
ABS(IF(OR(H91 = "Expert",H91 = "Master"), MAX(E91:H91) , IF(H91 = "Natural", ROUNDDOWN(AVERAGE(E91:H91),0), MIN(E91:H91)))) +1 &amp; " Coin",
IF(AND(C91 &lt; 20, C91 &gt; 12), IF(OR(H91 = "Expert",H91 = "Master"), IF(MAX(E91:H91)&gt;-1,"+","-"), IF(H91 = "Natural", IF(ROUNDDOWN(AVERAGE(E91:H91),0)&gt;-1,"+","-"), IF(MIN(E91:H91)&gt;-1,"+","-"))) &amp; 
ABS(IF(OR(H91 = "Expert",H91 = "Master"), MAX(E91:H91) , IF(H91 = "Natural", ROUNDDOWN(AVERAGE(E91:H91),0), MIN(E91:H91)))) +1 &amp; "d12",
IF(C91 = 0, "No Skill", IF(OR(H91 = "Expert",H91 = "Master"), IF(MAX(E91:H91)&gt;-1,"+","-"), IF(H91 = "Natural", IF(ROUNDDOWN(AVERAGE(E91:H91),0)&gt;-1,"+","-"), IF(MIN(E91:H91)&gt;-1,"+","-"))) &amp; 
ABS(IF(OR(H91 = "Expert",H91 = "Master"), MAX(E91:H91) , IF(H91 = "Natural", ROUNDDOWN(AVERAGE(E91:H91),0), MIN(E91:H91)))) +1 &amp; "d" &amp; 2*ROUNDDOWN(C91/2,0))))</f>
        <v>+3d4</v>
      </c>
      <c r="L91" s="154"/>
      <c r="M91" s="155">
        <f t="shared" ref="M91:M93" si="18">IF(H91 = "Master", "+1", "") + I91</f>
        <v>0</v>
      </c>
      <c r="N91" s="152"/>
      <c r="O91" s="156" t="s">
        <v>89</v>
      </c>
      <c r="P91" s="20"/>
    </row>
    <row r="92" ht="1.5" customHeight="1">
      <c r="A92" s="21"/>
      <c r="B92" s="157" t="s">
        <v>174</v>
      </c>
      <c r="C92" s="158">
        <v>8.0</v>
      </c>
      <c r="D92" s="159" t="s">
        <v>139</v>
      </c>
      <c r="E92" s="160">
        <f>INT</f>
        <v>3</v>
      </c>
      <c r="F92" s="160">
        <f>WIS</f>
        <v>3</v>
      </c>
      <c r="G92" s="161"/>
      <c r="H92" s="158" t="s">
        <v>56</v>
      </c>
      <c r="I92" s="166"/>
      <c r="K92" s="163" t="str">
        <f t="shared" si="17"/>
        <v>+4d8</v>
      </c>
      <c r="M92" s="164">
        <f t="shared" si="18"/>
        <v>0</v>
      </c>
      <c r="O92" s="165" t="s">
        <v>89</v>
      </c>
      <c r="P92" s="20"/>
    </row>
    <row r="93" ht="1.5" customHeight="1">
      <c r="A93" s="21"/>
      <c r="B93" s="167" t="s">
        <v>175</v>
      </c>
      <c r="C93" s="168">
        <v>0.0</v>
      </c>
      <c r="D93" s="169" t="s">
        <v>144</v>
      </c>
      <c r="E93" s="170">
        <f>CHA</f>
        <v>2</v>
      </c>
      <c r="F93" s="170">
        <f>INT</f>
        <v>3</v>
      </c>
      <c r="G93" s="170">
        <f>WIS</f>
        <v>3</v>
      </c>
      <c r="H93" s="168" t="s">
        <v>56</v>
      </c>
      <c r="I93" s="179"/>
      <c r="J93" s="32"/>
      <c r="K93" s="172" t="str">
        <f t="shared" si="17"/>
        <v>No Skill</v>
      </c>
      <c r="L93" s="32"/>
      <c r="M93" s="173">
        <f t="shared" si="18"/>
        <v>0</v>
      </c>
      <c r="N93" s="32"/>
      <c r="O93" s="174" t="s">
        <v>89</v>
      </c>
      <c r="P93" s="20"/>
    </row>
    <row r="94" ht="1.5" customHeight="1">
      <c r="A94" s="21"/>
      <c r="B94" s="175" t="s">
        <v>176</v>
      </c>
      <c r="P94" s="20"/>
    </row>
    <row r="95" ht="1.5" customHeight="1">
      <c r="A95" s="21"/>
      <c r="B95" s="146" t="s">
        <v>177</v>
      </c>
      <c r="C95" s="147">
        <v>0.0</v>
      </c>
      <c r="D95" s="148" t="s">
        <v>103</v>
      </c>
      <c r="E95" s="149">
        <f>CHA</f>
        <v>2</v>
      </c>
      <c r="F95" s="149">
        <f>WIS</f>
        <v>3</v>
      </c>
      <c r="G95" s="150"/>
      <c r="H95" s="147" t="s">
        <v>56</v>
      </c>
      <c r="I95" s="183"/>
      <c r="J95" s="152"/>
      <c r="K95" s="153" t="str">
        <f t="shared" ref="K95:K98" si="19">IF(AND(C95 &lt; 4, C95 &gt; 0), IF(OR(H95 = "Expert",H95 = "Master"), IF(MAX(E95:H95)&gt;-1,"+","-"), IF(H95 = "Natural", IF(ROUNDDOWN(AVERAGE(E95:H95),0)&gt;-1,"+","-"), IF(MIN(E95:H95)&gt;-1,"+","-"))) &amp; 
ABS(IF(OR(H95 = "Expert",H95 = "Master"), MAX(E95:H95) , IF(H95 = "Natural", ROUNDDOWN(AVERAGE(E95:H95),0), MIN(E95:H95)))) +1 &amp; " Coin",
IF(AND(C95 &lt; 20, C95 &gt; 12), IF(OR(H95 = "Expert",H95 = "Master"), IF(MAX(E95:H95)&gt;-1,"+","-"), IF(H95 = "Natural", IF(ROUNDDOWN(AVERAGE(E95:H95),0)&gt;-1,"+","-"), IF(MIN(E95:H95)&gt;-1,"+","-"))) &amp; 
ABS(IF(OR(H95 = "Expert",H95 = "Master"), MAX(E95:H95) , IF(H95 = "Natural", ROUNDDOWN(AVERAGE(E95:H95),0), MIN(E95:H95)))) +1 &amp; "d12",
IF(C95 = 0, "No Skill", IF(OR(H95 = "Expert",H95 = "Master"), IF(MAX(E95:H95)&gt;-1,"+","-"), IF(H95 = "Natural", IF(ROUNDDOWN(AVERAGE(E95:H95),0)&gt;-1,"+","-"), IF(MIN(E95:H95)&gt;-1,"+","-"))) &amp; 
ABS(IF(OR(H95 = "Expert",H95 = "Master"), MAX(E95:H95) , IF(H95 = "Natural", ROUNDDOWN(AVERAGE(E95:H95),0), MIN(E95:H95)))) +1 &amp; "d" &amp; 2*ROUNDDOWN(C95/2,0))))</f>
        <v>No Skill</v>
      </c>
      <c r="L95" s="154"/>
      <c r="M95" s="155">
        <f t="shared" ref="M95:M98" si="20">IF(H95 = "Master", "+1", "") + I95</f>
        <v>0</v>
      </c>
      <c r="N95" s="152"/>
      <c r="O95" s="156" t="s">
        <v>89</v>
      </c>
      <c r="P95" s="20"/>
    </row>
    <row r="96" ht="1.5" customHeight="1">
      <c r="A96" s="21"/>
      <c r="B96" s="157" t="s">
        <v>178</v>
      </c>
      <c r="C96" s="180">
        <v>0.0</v>
      </c>
      <c r="D96" s="159" t="s">
        <v>179</v>
      </c>
      <c r="E96" s="160">
        <f>DEX</f>
        <v>4</v>
      </c>
      <c r="F96" s="160">
        <f>INT</f>
        <v>3</v>
      </c>
      <c r="G96" s="161"/>
      <c r="H96" s="158" t="s">
        <v>56</v>
      </c>
      <c r="I96" s="166"/>
      <c r="K96" s="163" t="str">
        <f t="shared" si="19"/>
        <v>No Skill</v>
      </c>
      <c r="M96" s="164">
        <f t="shared" si="20"/>
        <v>0</v>
      </c>
      <c r="O96" s="165" t="s">
        <v>89</v>
      </c>
      <c r="P96" s="20"/>
    </row>
    <row r="97" ht="1.5" customHeight="1">
      <c r="A97" s="21"/>
      <c r="B97" s="157" t="s">
        <v>180</v>
      </c>
      <c r="C97" s="158">
        <v>0.0</v>
      </c>
      <c r="D97" s="159" t="s">
        <v>144</v>
      </c>
      <c r="E97" s="160">
        <f>CHA</f>
        <v>2</v>
      </c>
      <c r="F97" s="160">
        <f>INT</f>
        <v>3</v>
      </c>
      <c r="G97" s="160">
        <f>WIS</f>
        <v>3</v>
      </c>
      <c r="H97" s="158" t="s">
        <v>56</v>
      </c>
      <c r="I97" s="166"/>
      <c r="K97" s="163" t="str">
        <f t="shared" si="19"/>
        <v>No Skill</v>
      </c>
      <c r="M97" s="164">
        <f t="shared" si="20"/>
        <v>0</v>
      </c>
      <c r="O97" s="165" t="s">
        <v>89</v>
      </c>
      <c r="P97" s="20"/>
    </row>
    <row r="98" ht="1.5" customHeight="1">
      <c r="A98" s="21"/>
      <c r="B98" s="167" t="s">
        <v>181</v>
      </c>
      <c r="C98" s="168">
        <v>13.0</v>
      </c>
      <c r="D98" s="169" t="s">
        <v>182</v>
      </c>
      <c r="E98" s="170">
        <f>DEX</f>
        <v>4</v>
      </c>
      <c r="F98" s="170">
        <f>CON</f>
        <v>2</v>
      </c>
      <c r="G98" s="170">
        <f>WIS</f>
        <v>3</v>
      </c>
      <c r="H98" s="168" t="s">
        <v>56</v>
      </c>
      <c r="I98" s="179"/>
      <c r="J98" s="32"/>
      <c r="K98" s="172" t="str">
        <f t="shared" si="19"/>
        <v>+3d12</v>
      </c>
      <c r="L98" s="32"/>
      <c r="M98" s="173">
        <f t="shared" si="20"/>
        <v>0</v>
      </c>
      <c r="N98" s="32"/>
      <c r="O98" s="174" t="s">
        <v>89</v>
      </c>
      <c r="P98" s="20"/>
    </row>
    <row r="99" ht="1.5" customHeight="1">
      <c r="A99" s="21"/>
      <c r="B99" s="175" t="s">
        <v>183</v>
      </c>
      <c r="P99" s="20"/>
    </row>
    <row r="100" ht="1.5" customHeight="1">
      <c r="A100" s="21"/>
      <c r="B100" s="146" t="s">
        <v>184</v>
      </c>
      <c r="C100" s="185">
        <v>0.0</v>
      </c>
      <c r="D100" s="148" t="s">
        <v>144</v>
      </c>
      <c r="E100" s="149">
        <f>CHA</f>
        <v>2</v>
      </c>
      <c r="F100" s="149">
        <f>INT</f>
        <v>3</v>
      </c>
      <c r="G100" s="149">
        <f>WIS</f>
        <v>3</v>
      </c>
      <c r="H100" s="147" t="s">
        <v>56</v>
      </c>
      <c r="I100" s="183"/>
      <c r="J100" s="152"/>
      <c r="K100" s="153" t="str">
        <f t="shared" ref="K100:K102" si="21">IF(AND(C100 &lt; 4, C100 &gt; 0), IF(OR(H100 = "Expert",H100 = "Master"), IF(MAX(E100:H100)&gt;-1,"+","-"), IF(H100 = "Natural", IF(ROUNDDOWN(AVERAGE(E100:H100),0)&gt;-1,"+","-"), IF(MIN(E100:H100)&gt;-1,"+","-"))) &amp; 
ABS(IF(OR(H100 = "Expert",H100 = "Master"), MAX(E100:H100) , IF(H100 = "Natural", ROUNDDOWN(AVERAGE(E100:H100),0), MIN(E100:H100)))) +1 &amp; " Coin",
IF(AND(C100 &lt; 20, C100 &gt; 12), IF(OR(H100 = "Expert",H100 = "Master"), IF(MAX(E100:H100)&gt;-1,"+","-"), IF(H100 = "Natural", IF(ROUNDDOWN(AVERAGE(E100:H100),0)&gt;-1,"+","-"), IF(MIN(E100:H100)&gt;-1,"+","-"))) &amp; 
ABS(IF(OR(H100 = "Expert",H100 = "Master"), MAX(E100:H100) , IF(H100 = "Natural", ROUNDDOWN(AVERAGE(E100:H100),0), MIN(E100:H100)))) +1 &amp; "d12",
IF(C100 = 0, "No Skill", IF(OR(H100 = "Expert",H100 = "Master"), IF(MAX(E100:H100)&gt;-1,"+","-"), IF(H100 = "Natural", IF(ROUNDDOWN(AVERAGE(E100:H100),0)&gt;-1,"+","-"), IF(MIN(E100:H100)&gt;-1,"+","-"))) &amp; 
ABS(IF(OR(H100 = "Expert",H100 = "Master"), MAX(E100:H100) , IF(H100 = "Natural", ROUNDDOWN(AVERAGE(E100:H100),0), MIN(E100:H100)))) +1 &amp; "d" &amp; 2*ROUNDDOWN(C100/2,0))))</f>
        <v>No Skill</v>
      </c>
      <c r="L100" s="154"/>
      <c r="M100" s="155">
        <f t="shared" ref="M100:M102" si="22">IF(H100 = "Master", "+1", "") + I100</f>
        <v>0</v>
      </c>
      <c r="N100" s="152"/>
      <c r="O100" s="156" t="s">
        <v>89</v>
      </c>
      <c r="P100" s="20"/>
    </row>
    <row r="101" ht="1.5" customHeight="1">
      <c r="A101" s="21"/>
      <c r="B101" s="157" t="s">
        <v>185</v>
      </c>
      <c r="C101" s="158">
        <v>0.0</v>
      </c>
      <c r="D101" s="159" t="s">
        <v>144</v>
      </c>
      <c r="E101" s="160">
        <f>CHA</f>
        <v>2</v>
      </c>
      <c r="F101" s="160">
        <f>INT</f>
        <v>3</v>
      </c>
      <c r="G101" s="160">
        <f>WIS</f>
        <v>3</v>
      </c>
      <c r="H101" s="158" t="s">
        <v>56</v>
      </c>
      <c r="I101" s="166"/>
      <c r="K101" s="163" t="str">
        <f t="shared" si="21"/>
        <v>No Skill</v>
      </c>
      <c r="M101" s="164">
        <f t="shared" si="22"/>
        <v>0</v>
      </c>
      <c r="O101" s="165" t="s">
        <v>89</v>
      </c>
      <c r="P101" s="20"/>
    </row>
    <row r="102" ht="1.5" customHeight="1">
      <c r="A102" s="21"/>
      <c r="B102" s="167" t="s">
        <v>186</v>
      </c>
      <c r="C102" s="168">
        <v>0.0</v>
      </c>
      <c r="D102" s="169" t="s">
        <v>144</v>
      </c>
      <c r="E102" s="170">
        <f>CHA</f>
        <v>2</v>
      </c>
      <c r="F102" s="170">
        <f>INT</f>
        <v>3</v>
      </c>
      <c r="G102" s="170">
        <f>WIS</f>
        <v>3</v>
      </c>
      <c r="H102" s="168" t="s">
        <v>56</v>
      </c>
      <c r="I102" s="179"/>
      <c r="J102" s="32"/>
      <c r="K102" s="172" t="str">
        <f t="shared" si="21"/>
        <v>No Skill</v>
      </c>
      <c r="L102" s="32"/>
      <c r="M102" s="173">
        <f t="shared" si="22"/>
        <v>0</v>
      </c>
      <c r="N102" s="32"/>
      <c r="O102" s="174" t="s">
        <v>89</v>
      </c>
      <c r="P102" s="20"/>
    </row>
    <row r="103" ht="36.0" customHeight="1">
      <c r="A103" s="21"/>
      <c r="B103" s="145"/>
      <c r="C103" s="145"/>
      <c r="D103" s="145"/>
      <c r="E103" s="145"/>
      <c r="F103" s="145"/>
      <c r="G103" s="145"/>
      <c r="H103" s="145"/>
      <c r="I103" s="145"/>
      <c r="J103" s="145"/>
      <c r="K103" s="145"/>
      <c r="L103" s="145"/>
      <c r="M103" s="145"/>
      <c r="N103" s="145"/>
      <c r="O103" s="145"/>
      <c r="P103" s="20"/>
    </row>
    <row r="104" ht="30.0" customHeight="1">
      <c r="A104" s="21"/>
      <c r="B104" s="99" t="s">
        <v>187</v>
      </c>
      <c r="C104" s="9" t="s">
        <v>56</v>
      </c>
      <c r="D104" s="106"/>
      <c r="E104" s="186" t="s">
        <v>188</v>
      </c>
      <c r="G104" s="12"/>
      <c r="H104" s="187"/>
      <c r="I104" s="186" t="s">
        <v>189</v>
      </c>
      <c r="J104" s="187"/>
      <c r="K104" s="186" t="s">
        <v>190</v>
      </c>
      <c r="L104" s="188"/>
      <c r="M104" s="189"/>
      <c r="N104" s="189"/>
      <c r="O104" s="186" t="s">
        <v>191</v>
      </c>
      <c r="P104" s="20"/>
    </row>
    <row r="105">
      <c r="A105" s="21"/>
      <c r="B105" s="145" t="s">
        <v>192</v>
      </c>
      <c r="P105" s="20"/>
    </row>
    <row r="106">
      <c r="A106" s="21"/>
      <c r="B106" s="190" t="s">
        <v>193</v>
      </c>
      <c r="C106" s="147">
        <v>0.0</v>
      </c>
      <c r="D106" s="191" t="s">
        <v>194</v>
      </c>
      <c r="E106" s="192" t="s">
        <v>56</v>
      </c>
      <c r="F106" s="193" t="str">
        <f>IF(E106 &lt;&gt; "None", E106, IF(C104 = "Positive",1, IF(C104 = "Negative",-1,IF(C104 ="NEUTRAL",0,""))))</f>
        <v/>
      </c>
      <c r="G106" s="194"/>
      <c r="H106" s="195"/>
      <c r="I106" s="196" t="str">
        <f t="shared" ref="I106:I115" si="23">IF(AND(C106 &lt; 4, C106 &gt; 0),IF(F106 &lt;0,"+" &amp; (F106*-1)+1 &amp; " Coin","Can't Counter"),
IF(AND(C106 &lt; 20, C106 &gt; 12), IF(F106 &lt;0,"+" &amp;(F106*-1)+1 &amp; " Coin","Can't Counter") &amp; " d12",
IF(C106 = 0, "No Skill", IF(F106 &lt;0,"+" &amp;(F106*-1)+1&amp; "d" &amp; 2*ROUNDDOWN(C106/2,0),"Can't Counter") )))</f>
        <v>No Skill</v>
      </c>
      <c r="J106" s="197"/>
      <c r="K106" s="196" t="str">
        <f t="shared" ref="K106:K115" si="24">IF(AND(C106 &lt; 4, C106 &gt; 0),IF(F106 &lt;0,F106-1,"+" &amp; F106+1) &amp; " Coin",
IF(AND(C106 &lt; 20, C106 &gt; 12), IF(F106 &lt;0,F106-1,"+" &amp; F106+1) &amp; " d12",
IF(C106 = 0, "No Skill", IF(F106 &lt;0,F106-1,"+" &amp; F106+1) &amp; "d" &amp; 2*ROUNDDOWN(C106/2,0) )))</f>
        <v>No Skill</v>
      </c>
      <c r="L106" s="198"/>
      <c r="M106" s="199"/>
      <c r="N106" s="199"/>
      <c r="O106" s="200" t="s">
        <v>89</v>
      </c>
      <c r="P106" s="20"/>
    </row>
    <row r="107" ht="1.5" customHeight="1">
      <c r="A107" s="21"/>
      <c r="B107" s="201" t="s">
        <v>195</v>
      </c>
      <c r="C107" s="158">
        <v>0.0</v>
      </c>
      <c r="D107" s="202" t="s">
        <v>194</v>
      </c>
      <c r="E107" s="203" t="s">
        <v>56</v>
      </c>
      <c r="F107" s="204" t="str">
        <f>IF(E107 &lt;&gt; "None", E107, IF(C104 = "Positive",1, IF(C104 = "Negative",-1,IF(C104 ="NEUTRAL",0,""))))</f>
        <v/>
      </c>
      <c r="G107" s="205"/>
      <c r="H107" s="187"/>
      <c r="I107" s="206" t="str">
        <f t="shared" si="23"/>
        <v>No Skill</v>
      </c>
      <c r="J107" s="207"/>
      <c r="K107" s="206" t="str">
        <f t="shared" si="24"/>
        <v>No Skill</v>
      </c>
      <c r="L107" s="188"/>
      <c r="M107" s="189"/>
      <c r="N107" s="189"/>
      <c r="O107" s="208" t="s">
        <v>89</v>
      </c>
      <c r="P107" s="20"/>
      <c r="Q107" s="209" t="s">
        <v>196</v>
      </c>
      <c r="R107" s="48"/>
      <c r="S107" s="49"/>
      <c r="T107" s="12"/>
    </row>
    <row r="108" ht="1.5" customHeight="1">
      <c r="A108" s="21"/>
      <c r="B108" s="201" t="s">
        <v>197</v>
      </c>
      <c r="C108" s="158">
        <v>0.0</v>
      </c>
      <c r="D108" s="202" t="s">
        <v>194</v>
      </c>
      <c r="E108" s="203" t="s">
        <v>56</v>
      </c>
      <c r="F108" s="204" t="str">
        <f>IF(E108 &lt;&gt; "None", E108, IF(C104 = "Positive",1, IF(C104 = "Negative",-1,IF(C104 ="NEUTRAL",0,""))))</f>
        <v/>
      </c>
      <c r="G108" s="205"/>
      <c r="H108" s="187"/>
      <c r="I108" s="206" t="str">
        <f t="shared" si="23"/>
        <v>No Skill</v>
      </c>
      <c r="J108" s="207"/>
      <c r="K108" s="206" t="str">
        <f t="shared" si="24"/>
        <v>No Skill</v>
      </c>
      <c r="L108" s="188"/>
      <c r="M108" s="189"/>
      <c r="N108" s="189"/>
      <c r="O108" s="208" t="s">
        <v>89</v>
      </c>
      <c r="P108" s="20"/>
      <c r="Q108" s="98" t="s">
        <v>198</v>
      </c>
      <c r="R108" s="99" t="s">
        <v>199</v>
      </c>
      <c r="S108" s="20"/>
    </row>
    <row r="109" ht="1.5" customHeight="1">
      <c r="A109" s="21"/>
      <c r="B109" s="201" t="s">
        <v>200</v>
      </c>
      <c r="C109" s="158">
        <v>0.0</v>
      </c>
      <c r="D109" s="184" t="s">
        <v>201</v>
      </c>
      <c r="E109" s="203" t="s">
        <v>56</v>
      </c>
      <c r="F109" s="204" t="str">
        <f>IF(E109 &lt;&gt; "None", E109, IF(C104 = "Positive",0, IF(C104 = "Negative",0,IF(C104 ="NEUTRAL",0,""))))</f>
        <v/>
      </c>
      <c r="G109" s="205"/>
      <c r="H109" s="187"/>
      <c r="I109" s="206" t="str">
        <f t="shared" si="23"/>
        <v>No Skill</v>
      </c>
      <c r="J109" s="207"/>
      <c r="K109" s="206" t="str">
        <f t="shared" si="24"/>
        <v>No Skill</v>
      </c>
      <c r="L109" s="188"/>
      <c r="M109" s="189"/>
      <c r="N109" s="189"/>
      <c r="O109" s="208" t="s">
        <v>89</v>
      </c>
      <c r="P109" s="20"/>
      <c r="Q109" s="210" t="s">
        <v>202</v>
      </c>
      <c r="R109" s="211"/>
      <c r="S109" s="20"/>
    </row>
    <row r="110" ht="1.5" customHeight="1">
      <c r="A110" s="21"/>
      <c r="B110" s="201" t="s">
        <v>203</v>
      </c>
      <c r="C110" s="158">
        <v>0.0</v>
      </c>
      <c r="D110" s="184" t="s">
        <v>201</v>
      </c>
      <c r="E110" s="203" t="s">
        <v>56</v>
      </c>
      <c r="F110" s="204" t="str">
        <f>IF(E110 &lt;&gt; "None", E110, IF(C104 = "Positive",0, IF(C104 = "Negative",0,IF(C104 ="NEUTRAL",0,""))))</f>
        <v/>
      </c>
      <c r="G110" s="205"/>
      <c r="H110" s="187"/>
      <c r="I110" s="206" t="str">
        <f t="shared" si="23"/>
        <v>No Skill</v>
      </c>
      <c r="J110" s="207"/>
      <c r="K110" s="206" t="str">
        <f t="shared" si="24"/>
        <v>No Skill</v>
      </c>
      <c r="L110" s="188"/>
      <c r="M110" s="189"/>
      <c r="N110" s="189"/>
      <c r="O110" s="208" t="s">
        <v>89</v>
      </c>
      <c r="P110" s="20"/>
      <c r="Q110" s="212"/>
      <c r="R110" s="213"/>
      <c r="S110" s="20"/>
    </row>
    <row r="111" ht="1.5" customHeight="1">
      <c r="A111" s="21"/>
      <c r="B111" s="201" t="s">
        <v>204</v>
      </c>
      <c r="C111" s="158">
        <v>0.0</v>
      </c>
      <c r="D111" s="184" t="s">
        <v>201</v>
      </c>
      <c r="E111" s="203" t="s">
        <v>56</v>
      </c>
      <c r="F111" s="204" t="str">
        <f>IF(E111 &lt;&gt; "None", E111, IF(C104 = "Positive",0, IF(C104 = "Negative",0,IF(C104 ="NEUTRAL",0,""))))</f>
        <v/>
      </c>
      <c r="G111" s="205"/>
      <c r="H111" s="187"/>
      <c r="I111" s="206" t="str">
        <f t="shared" si="23"/>
        <v>No Skill</v>
      </c>
      <c r="J111" s="207"/>
      <c r="K111" s="206" t="str">
        <f t="shared" si="24"/>
        <v>No Skill</v>
      </c>
      <c r="L111" s="188"/>
      <c r="M111" s="189"/>
      <c r="N111" s="189"/>
      <c r="O111" s="208" t="s">
        <v>89</v>
      </c>
      <c r="P111" s="20"/>
      <c r="Q111" s="212"/>
      <c r="R111" s="213"/>
      <c r="S111" s="20"/>
    </row>
    <row r="112" ht="1.5" customHeight="1">
      <c r="A112" s="21"/>
      <c r="B112" s="201" t="s">
        <v>205</v>
      </c>
      <c r="C112" s="158">
        <v>0.0</v>
      </c>
      <c r="D112" s="184" t="s">
        <v>201</v>
      </c>
      <c r="E112" s="203" t="s">
        <v>56</v>
      </c>
      <c r="F112" s="204" t="str">
        <f>IF(E112 &lt;&gt; "None", E112, IF(C104 = "Positive",0, IF(C104 = "Negative",0,IF(C104 ="NEUTRAL",0,""))))</f>
        <v/>
      </c>
      <c r="G112" s="205"/>
      <c r="H112" s="187"/>
      <c r="I112" s="206" t="str">
        <f t="shared" si="23"/>
        <v>No Skill</v>
      </c>
      <c r="J112" s="207"/>
      <c r="K112" s="206" t="str">
        <f t="shared" si="24"/>
        <v>No Skill</v>
      </c>
      <c r="L112" s="188"/>
      <c r="M112" s="189"/>
      <c r="N112" s="189"/>
      <c r="O112" s="208" t="s">
        <v>89</v>
      </c>
      <c r="P112" s="20"/>
      <c r="Q112" s="212"/>
      <c r="R112" s="213"/>
      <c r="S112" s="20"/>
    </row>
    <row r="113" ht="1.5" customHeight="1">
      <c r="A113" s="21"/>
      <c r="B113" s="201" t="s">
        <v>206</v>
      </c>
      <c r="C113" s="158">
        <v>0.0</v>
      </c>
      <c r="D113" s="202" t="s">
        <v>207</v>
      </c>
      <c r="E113" s="203" t="s">
        <v>56</v>
      </c>
      <c r="F113" s="204" t="str">
        <f>IF(E113 &lt;&gt; "None", E113, IF(C104 = "Positive",-1, IF(C104 = "Negative",1,IF(C104 ="NEUTRAL",0,""))))</f>
        <v/>
      </c>
      <c r="G113" s="205"/>
      <c r="H113" s="187"/>
      <c r="I113" s="206" t="str">
        <f t="shared" si="23"/>
        <v>No Skill</v>
      </c>
      <c r="J113" s="207"/>
      <c r="K113" s="206" t="str">
        <f t="shared" si="24"/>
        <v>No Skill</v>
      </c>
      <c r="L113" s="188"/>
      <c r="M113" s="189"/>
      <c r="N113" s="189"/>
      <c r="O113" s="208" t="s">
        <v>89</v>
      </c>
      <c r="P113" s="20"/>
      <c r="Q113" s="212"/>
      <c r="R113" s="213"/>
      <c r="S113" s="20"/>
    </row>
    <row r="114" ht="1.5" customHeight="1">
      <c r="A114" s="21"/>
      <c r="B114" s="201" t="s">
        <v>208</v>
      </c>
      <c r="C114" s="158">
        <v>0.0</v>
      </c>
      <c r="D114" s="202" t="s">
        <v>207</v>
      </c>
      <c r="E114" s="203" t="s">
        <v>56</v>
      </c>
      <c r="F114" s="204" t="str">
        <f>IF(E114 &lt;&gt; "None", E114, IF(C104 = "Positive",-1, IF(C104 = "Negative",1,IF(C104 ="NEUTRAL",0,""))))</f>
        <v/>
      </c>
      <c r="G114" s="205"/>
      <c r="H114" s="187"/>
      <c r="I114" s="206" t="str">
        <f t="shared" si="23"/>
        <v>No Skill</v>
      </c>
      <c r="J114" s="207"/>
      <c r="K114" s="206" t="str">
        <f t="shared" si="24"/>
        <v>No Skill</v>
      </c>
      <c r="L114" s="188"/>
      <c r="M114" s="189"/>
      <c r="N114" s="189"/>
      <c r="O114" s="208" t="s">
        <v>89</v>
      </c>
      <c r="P114" s="20"/>
      <c r="Q114" s="214"/>
      <c r="R114" s="215"/>
      <c r="S114" s="33"/>
    </row>
    <row r="115" ht="1.5" customHeight="1">
      <c r="A115" s="21"/>
      <c r="B115" s="216" t="s">
        <v>209</v>
      </c>
      <c r="C115" s="168">
        <v>0.0</v>
      </c>
      <c r="D115" s="217" t="s">
        <v>207</v>
      </c>
      <c r="E115" s="218" t="s">
        <v>56</v>
      </c>
      <c r="F115" s="219" t="str">
        <f>IF(E115 &lt;&gt; "None", E115, IF(C104 = "Positive",-1, IF(C104 = "Negative",1,IF(C104 ="NEUTRAL",0,""))))</f>
        <v/>
      </c>
      <c r="G115" s="220"/>
      <c r="H115" s="221"/>
      <c r="I115" s="222" t="str">
        <f t="shared" si="23"/>
        <v>No Skill</v>
      </c>
      <c r="J115" s="223"/>
      <c r="K115" s="222" t="str">
        <f t="shared" si="24"/>
        <v>No Skill</v>
      </c>
      <c r="L115" s="224"/>
      <c r="M115" s="225"/>
      <c r="N115" s="225"/>
      <c r="O115" s="226" t="s">
        <v>89</v>
      </c>
      <c r="P115" s="20"/>
      <c r="Q115" s="12"/>
    </row>
    <row r="116" ht="7.5" customHeight="1">
      <c r="A116" s="31"/>
      <c r="B116" s="38"/>
      <c r="C116" s="32"/>
      <c r="D116" s="32"/>
      <c r="E116" s="32"/>
      <c r="F116" s="32"/>
      <c r="G116" s="32"/>
      <c r="H116" s="32"/>
      <c r="I116" s="32"/>
      <c r="J116" s="32"/>
      <c r="K116" s="32"/>
      <c r="L116" s="32"/>
      <c r="M116" s="32"/>
      <c r="N116" s="32"/>
      <c r="O116" s="32"/>
      <c r="P116" s="33"/>
    </row>
    <row r="117" ht="30.0" customHeight="1">
      <c r="A117" s="1"/>
    </row>
  </sheetData>
  <mergeCells count="230">
    <mergeCell ref="T107:AL114"/>
    <mergeCell ref="Q115:AL116"/>
    <mergeCell ref="N77:N84"/>
    <mergeCell ref="N71:N75"/>
    <mergeCell ref="N56:N60"/>
    <mergeCell ref="N51:N54"/>
    <mergeCell ref="P25:P116"/>
    <mergeCell ref="N36:N39"/>
    <mergeCell ref="N28:N34"/>
    <mergeCell ref="AM24:BF117"/>
    <mergeCell ref="Q24:AL106"/>
    <mergeCell ref="N21:P21"/>
    <mergeCell ref="N23:P23"/>
    <mergeCell ref="N22:P22"/>
    <mergeCell ref="Q21:R21"/>
    <mergeCell ref="Q22:R22"/>
    <mergeCell ref="AB22:AB23"/>
    <mergeCell ref="AF21:AF23"/>
    <mergeCell ref="AG20:BF23"/>
    <mergeCell ref="AC17:AF17"/>
    <mergeCell ref="AF15:AF16"/>
    <mergeCell ref="X20:AF20"/>
    <mergeCell ref="O15:O16"/>
    <mergeCell ref="Q23:R23"/>
    <mergeCell ref="M15:M16"/>
    <mergeCell ref="M13:M14"/>
    <mergeCell ref="J36:J39"/>
    <mergeCell ref="J28:J34"/>
    <mergeCell ref="L28:L34"/>
    <mergeCell ref="J13:L20"/>
    <mergeCell ref="G18:I20"/>
    <mergeCell ref="K21:M21"/>
    <mergeCell ref="M20:O20"/>
    <mergeCell ref="N13:N19"/>
    <mergeCell ref="J51:J54"/>
    <mergeCell ref="J41:J49"/>
    <mergeCell ref="A25:A116"/>
    <mergeCell ref="B21:J23"/>
    <mergeCell ref="L51:L54"/>
    <mergeCell ref="B50:O50"/>
    <mergeCell ref="B40:O40"/>
    <mergeCell ref="B35:O35"/>
    <mergeCell ref="B70:O70"/>
    <mergeCell ref="B55:O55"/>
    <mergeCell ref="B61:O61"/>
    <mergeCell ref="J62:J69"/>
    <mergeCell ref="N41:N49"/>
    <mergeCell ref="L41:L49"/>
    <mergeCell ref="L36:L39"/>
    <mergeCell ref="L62:L69"/>
    <mergeCell ref="L56:L60"/>
    <mergeCell ref="J56:J60"/>
    <mergeCell ref="L71:L75"/>
    <mergeCell ref="J71:J75"/>
    <mergeCell ref="B76:O76"/>
    <mergeCell ref="N62:N69"/>
    <mergeCell ref="N86:N89"/>
    <mergeCell ref="N91:N93"/>
    <mergeCell ref="L77:L84"/>
    <mergeCell ref="J95:J98"/>
    <mergeCell ref="L100:L102"/>
    <mergeCell ref="L95:L98"/>
    <mergeCell ref="Z13:AA14"/>
    <mergeCell ref="AA15:AA16"/>
    <mergeCell ref="X17:AA17"/>
    <mergeCell ref="K22:L22"/>
    <mergeCell ref="K23:L23"/>
    <mergeCell ref="F16:F18"/>
    <mergeCell ref="G16:H16"/>
    <mergeCell ref="G14:H15"/>
    <mergeCell ref="G17:H17"/>
    <mergeCell ref="G13:H13"/>
    <mergeCell ref="M10:O11"/>
    <mergeCell ref="M5:O6"/>
    <mergeCell ref="P3:P7"/>
    <mergeCell ref="M3:O4"/>
    <mergeCell ref="M7:O7"/>
    <mergeCell ref="M8:O9"/>
    <mergeCell ref="P8:P9"/>
    <mergeCell ref="M12:O12"/>
    <mergeCell ref="W8:W9"/>
    <mergeCell ref="R8:R12"/>
    <mergeCell ref="P10:P12"/>
    <mergeCell ref="U8:V8"/>
    <mergeCell ref="L10:L12"/>
    <mergeCell ref="O13:O14"/>
    <mergeCell ref="S8:T8"/>
    <mergeCell ref="X13:Y14"/>
    <mergeCell ref="Y15:Y16"/>
    <mergeCell ref="Z15:Z16"/>
    <mergeCell ref="X15:X16"/>
    <mergeCell ref="X18:Y18"/>
    <mergeCell ref="X8:Z9"/>
    <mergeCell ref="Y10:Y11"/>
    <mergeCell ref="Z10:Z11"/>
    <mergeCell ref="Z5:Z6"/>
    <mergeCell ref="X3:Z4"/>
    <mergeCell ref="Y5:Y6"/>
    <mergeCell ref="X5:X6"/>
    <mergeCell ref="R3:W7"/>
    <mergeCell ref="C5:F5"/>
    <mergeCell ref="C6:F6"/>
    <mergeCell ref="A2:A23"/>
    <mergeCell ref="C2:D2"/>
    <mergeCell ref="C3:D3"/>
    <mergeCell ref="G8:I9"/>
    <mergeCell ref="B9:D9"/>
    <mergeCell ref="B8:E8"/>
    <mergeCell ref="G12:H12"/>
    <mergeCell ref="J8:J12"/>
    <mergeCell ref="I3:I4"/>
    <mergeCell ref="I6:I7"/>
    <mergeCell ref="J3:L7"/>
    <mergeCell ref="L8:L9"/>
    <mergeCell ref="C4:F4"/>
    <mergeCell ref="A1:I1"/>
    <mergeCell ref="J91:J93"/>
    <mergeCell ref="N95:N98"/>
    <mergeCell ref="B85:O85"/>
    <mergeCell ref="L86:L89"/>
    <mergeCell ref="B94:O94"/>
    <mergeCell ref="B90:O90"/>
    <mergeCell ref="L91:L93"/>
    <mergeCell ref="R111:S111"/>
    <mergeCell ref="R110:S110"/>
    <mergeCell ref="A117:AL117"/>
    <mergeCell ref="R108:S108"/>
    <mergeCell ref="R109:S109"/>
    <mergeCell ref="J77:J84"/>
    <mergeCell ref="J86:J89"/>
    <mergeCell ref="Q107:S107"/>
    <mergeCell ref="B105:O105"/>
    <mergeCell ref="B116:O116"/>
    <mergeCell ref="R113:S113"/>
    <mergeCell ref="R112:S112"/>
    <mergeCell ref="R114:S114"/>
    <mergeCell ref="B99:O99"/>
    <mergeCell ref="N100:N102"/>
    <mergeCell ref="J100:J102"/>
    <mergeCell ref="E104:F104"/>
    <mergeCell ref="AU5:AZ6"/>
    <mergeCell ref="AT5:AT6"/>
    <mergeCell ref="AR3:AT4"/>
    <mergeCell ref="AA3:AF4"/>
    <mergeCell ref="J1:BF2"/>
    <mergeCell ref="BA3:BF7"/>
    <mergeCell ref="BD8:BE8"/>
    <mergeCell ref="BB8:BC8"/>
    <mergeCell ref="BA8:BA9"/>
    <mergeCell ref="AO8:AP8"/>
    <mergeCell ref="AQ8:AQ9"/>
    <mergeCell ref="AJ8:AK8"/>
    <mergeCell ref="AM8:AN8"/>
    <mergeCell ref="AA8:AF9"/>
    <mergeCell ref="AH8:AI8"/>
    <mergeCell ref="AG8:AG9"/>
    <mergeCell ref="AU3:AZ4"/>
    <mergeCell ref="AR7:AZ7"/>
    <mergeCell ref="AG3:AQ7"/>
    <mergeCell ref="AU8:AZ9"/>
    <mergeCell ref="AR8:AT9"/>
    <mergeCell ref="AX15:AX16"/>
    <mergeCell ref="AW13:AX14"/>
    <mergeCell ref="AT15:AT16"/>
    <mergeCell ref="AD15:AD16"/>
    <mergeCell ref="AE15:AE16"/>
    <mergeCell ref="AC15:AC16"/>
    <mergeCell ref="AC13:AD14"/>
    <mergeCell ref="X12:AF12"/>
    <mergeCell ref="AY15:AY16"/>
    <mergeCell ref="AZ15:AZ16"/>
    <mergeCell ref="AW17:AZ17"/>
    <mergeCell ref="AR12:AZ12"/>
    <mergeCell ref="AR13:AS14"/>
    <mergeCell ref="AY13:AZ14"/>
    <mergeCell ref="AE13:AF14"/>
    <mergeCell ref="AU10:AZ11"/>
    <mergeCell ref="BA10:BA12"/>
    <mergeCell ref="AW15:AW16"/>
    <mergeCell ref="AT13:AU14"/>
    <mergeCell ref="AU15:AU16"/>
    <mergeCell ref="AV13:AV19"/>
    <mergeCell ref="BA13:BF19"/>
    <mergeCell ref="BD11:BE11"/>
    <mergeCell ref="BF8:BF12"/>
    <mergeCell ref="AA10:AF11"/>
    <mergeCell ref="AG10:AG12"/>
    <mergeCell ref="AR17:AU17"/>
    <mergeCell ref="AS15:AS16"/>
    <mergeCell ref="AY18:AZ18"/>
    <mergeCell ref="AW18:AX18"/>
    <mergeCell ref="AR18:AS18"/>
    <mergeCell ref="AT18:AU18"/>
    <mergeCell ref="AR15:AR16"/>
    <mergeCell ref="AR5:AR6"/>
    <mergeCell ref="AS5:AS6"/>
    <mergeCell ref="AA5:AF6"/>
    <mergeCell ref="X7:AF7"/>
    <mergeCell ref="AM10:AP10"/>
    <mergeCell ref="AR10:AR11"/>
    <mergeCell ref="AS10:AS11"/>
    <mergeCell ref="AQ10:AQ12"/>
    <mergeCell ref="AT10:AT11"/>
    <mergeCell ref="AL8:AL12"/>
    <mergeCell ref="AM11:AN11"/>
    <mergeCell ref="W10:W12"/>
    <mergeCell ref="S10:V10"/>
    <mergeCell ref="S11:T11"/>
    <mergeCell ref="U11:V11"/>
    <mergeCell ref="AJ11:AK11"/>
    <mergeCell ref="X10:X11"/>
    <mergeCell ref="AH10:AK10"/>
    <mergeCell ref="AH11:AI11"/>
    <mergeCell ref="AO11:AP11"/>
    <mergeCell ref="AG13:AQ19"/>
    <mergeCell ref="AB13:AB19"/>
    <mergeCell ref="AE18:AF18"/>
    <mergeCell ref="AC18:AD18"/>
    <mergeCell ref="BB11:BC11"/>
    <mergeCell ref="BB10:BE10"/>
    <mergeCell ref="S21:V21"/>
    <mergeCell ref="W22:X23"/>
    <mergeCell ref="W21:X21"/>
    <mergeCell ref="P13:W20"/>
    <mergeCell ref="A24:P24"/>
    <mergeCell ref="B16:E16"/>
    <mergeCell ref="B27:O27"/>
    <mergeCell ref="B25:O25"/>
    <mergeCell ref="D26:G26"/>
    <mergeCell ref="Z18:AA18"/>
  </mergeCells>
  <conditionalFormatting sqref="G14">
    <cfRule type="cellIs" dxfId="0" priority="1" operator="notBetween">
      <formula>(G13-1)*-1</formula>
      <formula>G13</formula>
    </cfRule>
  </conditionalFormatting>
  <conditionalFormatting sqref="G14">
    <cfRule type="cellIs" dxfId="1" priority="2" operator="greaterThan">
      <formula>G16</formula>
    </cfRule>
  </conditionalFormatting>
  <conditionalFormatting sqref="G14">
    <cfRule type="cellIs" dxfId="2" priority="3" operator="lessThanOrEqual">
      <formula>G16</formula>
    </cfRule>
  </conditionalFormatting>
  <conditionalFormatting sqref="D10:D15 F10:F15">
    <cfRule type="cellIs" dxfId="3" priority="4" operator="greaterThan">
      <formula>10</formula>
    </cfRule>
  </conditionalFormatting>
  <conditionalFormatting sqref="D10:D15 F10:F15">
    <cfRule type="cellIs" dxfId="4" priority="5" operator="greaterThan">
      <formula>5</formula>
    </cfRule>
  </conditionalFormatting>
  <conditionalFormatting sqref="D10:D15">
    <cfRule type="cellIs" dxfId="0" priority="6" operator="lessThanOrEqual">
      <formula>-6</formula>
    </cfRule>
  </conditionalFormatting>
  <conditionalFormatting sqref="D10:D15">
    <cfRule type="cellIs" dxfId="5" priority="7" operator="lessThan">
      <formula>0</formula>
    </cfRule>
  </conditionalFormatting>
  <conditionalFormatting sqref="D10:D15">
    <cfRule type="cellIs" dxfId="6" priority="8" operator="greaterThan">
      <formula>0</formula>
    </cfRule>
  </conditionalFormatting>
  <conditionalFormatting sqref="D10:D15">
    <cfRule type="notContainsBlanks" dxfId="7" priority="9">
      <formula>LEN(TRIM(D10))&gt;0</formula>
    </cfRule>
  </conditionalFormatting>
  <conditionalFormatting sqref="E19:E20">
    <cfRule type="beginsWith" dxfId="8" priority="10" operator="beginsWith" text="-">
      <formula>LEFT((E19),LEN("-"))=("-")</formula>
    </cfRule>
  </conditionalFormatting>
  <conditionalFormatting sqref="E19:E20">
    <cfRule type="endsWith" dxfId="9" priority="11" operator="endsWith" text="*">
      <formula>RIGHT((E19),LEN("*"))=("*")</formula>
    </cfRule>
  </conditionalFormatting>
  <conditionalFormatting sqref="F10:F15">
    <cfRule type="beginsWith" dxfId="5" priority="12" operator="beginsWith" text="-">
      <formula>LEFT((F10),LEN("-"))=("-")</formula>
    </cfRule>
  </conditionalFormatting>
  <conditionalFormatting sqref="F10:F15">
    <cfRule type="notContainsBlanks" dxfId="6" priority="13">
      <formula>LEN(TRIM(F10))&gt;0</formula>
    </cfRule>
  </conditionalFormatting>
  <conditionalFormatting sqref="H28:H34 J28:J34 H36:H39 J36:J39 H41:H49 J41:J49 H51:H54 J51:J54 H56:H60 J56:J60 H62:H69 J62:J69 H71:H75 J71:J75 H77:H84 J77:J84 H86:H89 J86:J89 H91:H93 J91:J93 H95:H98 J95:J98 H100:H102 J100:J102">
    <cfRule type="cellIs" dxfId="10" priority="14" operator="equal">
      <formula>"Natural"</formula>
    </cfRule>
  </conditionalFormatting>
  <conditionalFormatting sqref="H28:H34 J28:J34 H36:H39 J36:J39 H41:H49 J41:J49 H51:H54 J51:J54 H56:H60 J56:J60 H62:H69 J62:J69 H71:H75 J71:J75 H77:H84 J77:J84 H86:H89 J86:J89 H91:H93 J91:J93 H95:H98 J95:J98 H100:H102 J100:J102">
    <cfRule type="cellIs" dxfId="6" priority="15" operator="equal">
      <formula>"Expert"</formula>
    </cfRule>
  </conditionalFormatting>
  <conditionalFormatting sqref="M36:M38 N36 N38 M51:N54 M68">
    <cfRule type="cellIs" dxfId="6" priority="16" operator="greaterThan">
      <formula>0</formula>
    </cfRule>
  </conditionalFormatting>
  <conditionalFormatting sqref="M36:M38 N36 N38 M51:N54 M68">
    <cfRule type="beginsWith" dxfId="5" priority="17" operator="beginsWith" text="-">
      <formula>LEFT((M36),LEN("-"))=("-")</formula>
    </cfRule>
  </conditionalFormatting>
  <conditionalFormatting sqref="M37 M51:M54 M68">
    <cfRule type="beginsWith" dxfId="11" priority="18" operator="beginsWith" text="+">
      <formula>LEFT((M37),LEN("+"))=("+")</formula>
    </cfRule>
  </conditionalFormatting>
  <conditionalFormatting sqref="M37 M51:M54 M68">
    <cfRule type="beginsWith" dxfId="12" priority="19" operator="beginsWith" text="-">
      <formula>LEFT((M37),LEN("-"))=("-")</formula>
    </cfRule>
  </conditionalFormatting>
  <conditionalFormatting sqref="M5:O6 AA5:AF6 AU5:AZ6 M10:O11 AA10:AF11 AU10:AZ11">
    <cfRule type="expression" dxfId="13" priority="20">
      <formula>(M3)&lt;((M5)*-1) +1</formula>
    </cfRule>
  </conditionalFormatting>
  <conditionalFormatting sqref="M18 O18">
    <cfRule type="expression" dxfId="0" priority="21">
      <formula>(M13) = "Missing"</formula>
    </cfRule>
  </conditionalFormatting>
  <conditionalFormatting sqref="M18 O18">
    <cfRule type="expression" dxfId="0" priority="22">
      <formula>(M13) = "Destroyed"</formula>
    </cfRule>
  </conditionalFormatting>
  <conditionalFormatting sqref="M18 O18">
    <cfRule type="cellIs" dxfId="0" priority="23" operator="equal">
      <formula>"Missing"</formula>
    </cfRule>
  </conditionalFormatting>
  <conditionalFormatting sqref="M18 O18">
    <cfRule type="cellIs" dxfId="14" priority="24" operator="lessThanOrEqual">
      <formula>0</formula>
    </cfRule>
  </conditionalFormatting>
  <conditionalFormatting sqref="G13:H13">
    <cfRule type="cellIs" dxfId="0" priority="25" operator="lessThanOrEqual">
      <formula>G16</formula>
    </cfRule>
  </conditionalFormatting>
  <conditionalFormatting sqref="G13:H13">
    <cfRule type="notContainsBlanks" dxfId="6" priority="26">
      <formula>LEN(TRIM(G13))&gt;0</formula>
    </cfRule>
  </conditionalFormatting>
  <conditionalFormatting sqref="C107">
    <cfRule type="expression" dxfId="6" priority="27">
      <formula>(C104)="Positive"</formula>
    </cfRule>
  </conditionalFormatting>
  <conditionalFormatting sqref="C108">
    <cfRule type="expression" dxfId="6" priority="28">
      <formula>(C104)="Positive"</formula>
    </cfRule>
  </conditionalFormatting>
  <conditionalFormatting sqref="C107">
    <cfRule type="expression" dxfId="5" priority="29">
      <formula>(C104)="Negative"</formula>
    </cfRule>
  </conditionalFormatting>
  <conditionalFormatting sqref="C108">
    <cfRule type="expression" dxfId="5" priority="30">
      <formula>(C104)="Negative"</formula>
    </cfRule>
  </conditionalFormatting>
  <conditionalFormatting sqref="C113">
    <cfRule type="expression" dxfId="5" priority="31">
      <formula>(C104)="Positive"</formula>
    </cfRule>
  </conditionalFormatting>
  <conditionalFormatting sqref="C114">
    <cfRule type="expression" dxfId="5" priority="32">
      <formula>(C104)="Positive"</formula>
    </cfRule>
  </conditionalFormatting>
  <conditionalFormatting sqref="C115">
    <cfRule type="expression" dxfId="5" priority="33">
      <formula>(C104)="Positive"</formula>
    </cfRule>
  </conditionalFormatting>
  <conditionalFormatting sqref="C113">
    <cfRule type="expression" dxfId="6" priority="34">
      <formula>(C104)="Negative"</formula>
    </cfRule>
  </conditionalFormatting>
  <conditionalFormatting sqref="C114">
    <cfRule type="expression" dxfId="6" priority="35">
      <formula>(C104)="Negative"</formula>
    </cfRule>
  </conditionalFormatting>
  <conditionalFormatting sqref="C115">
    <cfRule type="expression" dxfId="6" priority="36">
      <formula>(C104)="Negative"</formula>
    </cfRule>
  </conditionalFormatting>
  <conditionalFormatting sqref="C107">
    <cfRule type="expression" dxfId="0" priority="37">
      <formula>(C104)="None"</formula>
    </cfRule>
  </conditionalFormatting>
  <conditionalFormatting sqref="C108">
    <cfRule type="expression" dxfId="0" priority="38">
      <formula>(C104)="None"</formula>
    </cfRule>
  </conditionalFormatting>
  <conditionalFormatting sqref="C109">
    <cfRule type="expression" dxfId="0" priority="39">
      <formula>(C104)="None"</formula>
    </cfRule>
  </conditionalFormatting>
  <conditionalFormatting sqref="C110">
    <cfRule type="expression" dxfId="0" priority="40">
      <formula>(C104)="None"</formula>
    </cfRule>
  </conditionalFormatting>
  <conditionalFormatting sqref="C111">
    <cfRule type="expression" dxfId="0" priority="41">
      <formula>(C104)="None"</formula>
    </cfRule>
  </conditionalFormatting>
  <conditionalFormatting sqref="C112">
    <cfRule type="expression" dxfId="0" priority="42">
      <formula>(C104)="None"</formula>
    </cfRule>
  </conditionalFormatting>
  <conditionalFormatting sqref="C113">
    <cfRule type="expression" dxfId="0" priority="43">
      <formula>(C104)="None"</formula>
    </cfRule>
  </conditionalFormatting>
  <conditionalFormatting sqref="C114">
    <cfRule type="expression" dxfId="0" priority="44">
      <formula>(C104)="None"</formula>
    </cfRule>
  </conditionalFormatting>
  <conditionalFormatting sqref="C115">
    <cfRule type="expression" dxfId="0" priority="45">
      <formula>(C104)="None"</formula>
    </cfRule>
  </conditionalFormatting>
  <conditionalFormatting sqref="C106">
    <cfRule type="expression" dxfId="6" priority="46">
      <formula>(C104)="Positive"</formula>
    </cfRule>
  </conditionalFormatting>
  <conditionalFormatting sqref="C106">
    <cfRule type="expression" dxfId="5" priority="47">
      <formula>(C104)="Negative"</formula>
    </cfRule>
  </conditionalFormatting>
  <conditionalFormatting sqref="C106">
    <cfRule type="expression" dxfId="13" priority="48">
      <formula>(C104)="None"</formula>
    </cfRule>
  </conditionalFormatting>
  <conditionalFormatting sqref="K28:K34 K36:K39 K41:K49 K51:K54 K56:K60 K62:K69 K71:K75 K77:K84 K86:K89 K91:K93 K95:K98 K100:K102">
    <cfRule type="beginsWith" dxfId="5" priority="49" operator="beginsWith" text="-">
      <formula>LEFT((K28),LEN("-"))=("-")</formula>
    </cfRule>
  </conditionalFormatting>
  <conditionalFormatting sqref="K28:K34 K36:K39 K41:K49 K51:K54 K56:K60 K62:K69 K71:K75 K77:K84 K86:K89 K91:K93 K95:K98 K100:K102">
    <cfRule type="endsWith" dxfId="3" priority="50" operator="endsWith" text="20">
      <formula>RIGHT((K28),LEN("20"))=("20")</formula>
    </cfRule>
  </conditionalFormatting>
  <conditionalFormatting sqref="K28:K34 K36:K39 K41:K49 K51:K54 K56:K60 K62:K69 K71:K75 K77:K84 K86:K89 K91:K93 K95:K98 K100:K102">
    <cfRule type="endsWith" dxfId="4" priority="51" operator="endsWith" text="12">
      <formula>RIGHT((K28),LEN("12"))=("12")</formula>
    </cfRule>
  </conditionalFormatting>
  <conditionalFormatting sqref="K28:K34 K36:K39 K41:K49 K51:K54 K56:K60 K62:K69 K71:K75 K77:K84 K86:K89 K91:K93 K95:K98 K100:K102">
    <cfRule type="beginsWith" dxfId="6" priority="52" operator="beginsWith" text="+">
      <formula>LEFT((K28),LEN("+"))=("+")</formula>
    </cfRule>
  </conditionalFormatting>
  <conditionalFormatting sqref="K28:K34 K36:K39 K41:K49 K51:K54 K56:K60 K62:K69 K71:K75 K77:K84 K86:K89 K91:K93 K95:K98 K100:K102">
    <cfRule type="cellIs" dxfId="15" priority="53" operator="equal">
      <formula>"No Skill"</formula>
    </cfRule>
  </conditionalFormatting>
  <conditionalFormatting sqref="K106:K115">
    <cfRule type="beginsWith" dxfId="5" priority="54" operator="beginsWith" text="-">
      <formula>LEFT((K106),LEN("-"))=("-")</formula>
    </cfRule>
  </conditionalFormatting>
  <conditionalFormatting sqref="K106:K115">
    <cfRule type="endsWith" dxfId="3" priority="55" operator="endsWith" text="20">
      <formula>RIGHT((K106),LEN("20"))=("20")</formula>
    </cfRule>
  </conditionalFormatting>
  <conditionalFormatting sqref="K106:K115">
    <cfRule type="endsWith" dxfId="4" priority="56" operator="endsWith" text="12">
      <formula>RIGHT((K106),LEN("12"))=("12")</formula>
    </cfRule>
  </conditionalFormatting>
  <conditionalFormatting sqref="K106:K115">
    <cfRule type="beginsWith" dxfId="6" priority="57" operator="beginsWith" text="+">
      <formula>LEFT((K106),LEN("+"))=("+")</formula>
    </cfRule>
  </conditionalFormatting>
  <conditionalFormatting sqref="I106:I115">
    <cfRule type="beginsWith" dxfId="5" priority="58" operator="beginsWith" text="-">
      <formula>LEFT((I106),LEN("-"))=("-")</formula>
    </cfRule>
  </conditionalFormatting>
  <conditionalFormatting sqref="I106:I115">
    <cfRule type="endsWith" dxfId="3" priority="59" operator="endsWith" text="20">
      <formula>RIGHT((I106),LEN("20"))=("20")</formula>
    </cfRule>
  </conditionalFormatting>
  <conditionalFormatting sqref="I106:I115">
    <cfRule type="endsWith" dxfId="4" priority="60" operator="endsWith" text="12">
      <formula>RIGHT((I106),LEN("12"))=("12")</formula>
    </cfRule>
  </conditionalFormatting>
  <conditionalFormatting sqref="I106:I115">
    <cfRule type="beginsWith" dxfId="6" priority="61" operator="beginsWith" text="+">
      <formula>LEFT((I106),LEN("+"))=("+")</formula>
    </cfRule>
  </conditionalFormatting>
  <conditionalFormatting sqref="O28:O34 O36:O39 O41:O49 O51:O54 O56:O60 O62:O69 O71:O75 O77:O84 O86:O89 O91:O93 O95:O98 O100:O102 O106:O115">
    <cfRule type="cellIs" dxfId="5" priority="62" operator="equal">
      <formula>"NO"</formula>
    </cfRule>
  </conditionalFormatting>
  <conditionalFormatting sqref="O28:O34 O36:O39 O41:O49 O51:O54 O56:O60 O62:O69 O71:O75 O77:O84 O86:O89 O91:O93 O95:O98 O100:O102 O106:O115">
    <cfRule type="notContainsText" dxfId="6" priority="63" operator="notContains" text="NO">
      <formula>ISERROR(SEARCH(("NO"),(O28)))</formula>
    </cfRule>
  </conditionalFormatting>
  <conditionalFormatting sqref="E106">
    <cfRule type="expression" dxfId="0" priority="64">
      <formula>(C104)="None"</formula>
    </cfRule>
  </conditionalFormatting>
  <conditionalFormatting sqref="E107">
    <cfRule type="expression" dxfId="0" priority="65">
      <formula>(C104)="None"</formula>
    </cfRule>
  </conditionalFormatting>
  <conditionalFormatting sqref="E108">
    <cfRule type="expression" dxfId="0" priority="66">
      <formula>(C104)="None"</formula>
    </cfRule>
  </conditionalFormatting>
  <conditionalFormatting sqref="E109">
    <cfRule type="expression" dxfId="0" priority="67">
      <formula>(C104)="None"</formula>
    </cfRule>
  </conditionalFormatting>
  <conditionalFormatting sqref="E110">
    <cfRule type="expression" dxfId="0" priority="68">
      <formula>(C104)="None"</formula>
    </cfRule>
  </conditionalFormatting>
  <conditionalFormatting sqref="E111">
    <cfRule type="expression" dxfId="0" priority="69">
      <formula>(C104)="None"</formula>
    </cfRule>
  </conditionalFormatting>
  <conditionalFormatting sqref="E112">
    <cfRule type="expression" dxfId="0" priority="70">
      <formula>(C104)="None"</formula>
    </cfRule>
  </conditionalFormatting>
  <conditionalFormatting sqref="E113">
    <cfRule type="expression" dxfId="0" priority="71">
      <formula>(C104)="None"</formula>
    </cfRule>
  </conditionalFormatting>
  <conditionalFormatting sqref="E114">
    <cfRule type="expression" dxfId="0" priority="72">
      <formula>(C104)="None"</formula>
    </cfRule>
  </conditionalFormatting>
  <conditionalFormatting sqref="E115">
    <cfRule type="expression" dxfId="0" priority="73">
      <formula>(C104)="None"</formula>
    </cfRule>
  </conditionalFormatting>
  <conditionalFormatting sqref="F106">
    <cfRule type="expression" dxfId="0" priority="74">
      <formula>(C104)="None"</formula>
    </cfRule>
  </conditionalFormatting>
  <conditionalFormatting sqref="F107">
    <cfRule type="expression" dxfId="0" priority="75">
      <formula>(C104)="None"</formula>
    </cfRule>
  </conditionalFormatting>
  <conditionalFormatting sqref="F108">
    <cfRule type="expression" dxfId="0" priority="76">
      <formula>(C104)="None"</formula>
    </cfRule>
  </conditionalFormatting>
  <conditionalFormatting sqref="F109">
    <cfRule type="expression" dxfId="0" priority="77">
      <formula>(C104)="None"</formula>
    </cfRule>
  </conditionalFormatting>
  <conditionalFormatting sqref="F110">
    <cfRule type="expression" dxfId="0" priority="78">
      <formula>(C104)="None"</formula>
    </cfRule>
  </conditionalFormatting>
  <conditionalFormatting sqref="F111">
    <cfRule type="expression" dxfId="0" priority="79">
      <formula>(C104)="None"</formula>
    </cfRule>
  </conditionalFormatting>
  <conditionalFormatting sqref="F112">
    <cfRule type="expression" dxfId="0" priority="80">
      <formula>(C104)="None"</formula>
    </cfRule>
  </conditionalFormatting>
  <conditionalFormatting sqref="F113">
    <cfRule type="expression" dxfId="0" priority="81">
      <formula>(C104)="None"</formula>
    </cfRule>
  </conditionalFormatting>
  <conditionalFormatting sqref="F114">
    <cfRule type="expression" dxfId="0" priority="82">
      <formula>(C104)="None"</formula>
    </cfRule>
  </conditionalFormatting>
  <conditionalFormatting sqref="F115">
    <cfRule type="expression" dxfId="0" priority="83">
      <formula>(C104)="None"</formula>
    </cfRule>
  </conditionalFormatting>
  <conditionalFormatting sqref="I13">
    <cfRule type="expression" dxfId="9" priority="84">
      <formula>(G14)&lt;=0</formula>
    </cfRule>
  </conditionalFormatting>
  <conditionalFormatting sqref="I16">
    <cfRule type="expression" dxfId="9" priority="85">
      <formula>(G16)&gt;=(G13)</formula>
    </cfRule>
  </conditionalFormatting>
  <conditionalFormatting sqref="I15">
    <cfRule type="expression" dxfId="9" priority="86">
      <formula>(G14)&lt;=(((G13)-(G16))*-1)</formula>
    </cfRule>
  </conditionalFormatting>
  <conditionalFormatting sqref="K11 Q11">
    <cfRule type="expression" dxfId="0" priority="87">
      <formula>(K8) = "Missing"</formula>
    </cfRule>
  </conditionalFormatting>
  <conditionalFormatting sqref="K8 Q8 K11 Q11">
    <cfRule type="cellIs" dxfId="0" priority="88" operator="equal">
      <formula>"Missing"</formula>
    </cfRule>
  </conditionalFormatting>
  <conditionalFormatting sqref="K11 Q11 N22:N23">
    <cfRule type="expression" dxfId="0" priority="89">
      <formula>(K8) = "Destroyed"</formula>
    </cfRule>
  </conditionalFormatting>
  <conditionalFormatting sqref="M3 AA3:AD3 AU3:AX3 K8 M8 Q8 AA8:AD8 AU8:AX8 K11 Q11 M18 O18 N22:N23">
    <cfRule type="cellIs" dxfId="13" priority="90" operator="equal">
      <formula>"Destroyed"</formula>
    </cfRule>
  </conditionalFormatting>
  <conditionalFormatting sqref="K12 Q12">
    <cfRule type="expression" dxfId="0" priority="91">
      <formula>(K8) = "Missing"</formula>
    </cfRule>
  </conditionalFormatting>
  <conditionalFormatting sqref="K9 Q9 K12 Q12">
    <cfRule type="expression" dxfId="0" priority="92">
      <formula>(K8) = "Missing"</formula>
    </cfRule>
  </conditionalFormatting>
  <conditionalFormatting sqref="M19 O19">
    <cfRule type="expression" dxfId="0" priority="93">
      <formula>(M18) = "Missing"</formula>
    </cfRule>
  </conditionalFormatting>
  <conditionalFormatting sqref="M5 AA5:AD5 AU5:AX5 K9 Q9 M10 AA10:AD10 AU10:AX10 K12 Q12 M19 O19">
    <cfRule type="expression" dxfId="0" priority="94">
      <formula>(M4) = "Destroyed"</formula>
    </cfRule>
  </conditionalFormatting>
  <conditionalFormatting sqref="K12 Q12">
    <cfRule type="expression" dxfId="0" priority="95">
      <formula>(K8) = "Destroyed"</formula>
    </cfRule>
  </conditionalFormatting>
  <conditionalFormatting sqref="K10 Q10 S10:V10 AH10:AK10 AM10:AP10 BB10:BE10">
    <cfRule type="expression" dxfId="0" priority="96">
      <formula>(K8) = "Destroyed"</formula>
    </cfRule>
  </conditionalFormatting>
  <conditionalFormatting sqref="M3 AA3:AD3 AU3:AX3 K8 M8 Q8 AA8:AD8 AU8:AX8 K11 Q11 M18 O18 N22:N23">
    <cfRule type="cellIs" dxfId="2" priority="97" operator="equal">
      <formula>"Worn"</formula>
    </cfRule>
  </conditionalFormatting>
  <conditionalFormatting sqref="M19 O19">
    <cfRule type="expression" dxfId="0" priority="98">
      <formula>(M13) = "Missing"</formula>
    </cfRule>
  </conditionalFormatting>
  <conditionalFormatting sqref="M19 O19">
    <cfRule type="expression" dxfId="0" priority="99">
      <formula>(M13) = "Destroyed"</formula>
    </cfRule>
  </conditionalFormatting>
  <conditionalFormatting sqref="M5 AA5:AD5 AU5:AX5 K9 Q9 M10 AA10:AD10 AU10:AX10 K12 Q12 M19 O19">
    <cfRule type="expression" dxfId="2" priority="100">
      <formula>(M4) = "Worn"</formula>
    </cfRule>
  </conditionalFormatting>
  <conditionalFormatting sqref="M5 AA5:AD5 AU5:AX5 K9 Q9 M10 AA10:AD10 AU10:AX10 K12 Q12 M19 O19">
    <cfRule type="expression" dxfId="16" priority="101">
      <formula>(M4) = "Broken"</formula>
    </cfRule>
  </conditionalFormatting>
  <conditionalFormatting sqref="M3 AA3:AD3 AU3:AX3 K8 M8 Q8 AA8:AD8 AU8:AX8 K11 Q11 M18 O18 N22:N23">
    <cfRule type="cellIs" dxfId="16" priority="102" operator="equal">
      <formula>"Broken"</formula>
    </cfRule>
  </conditionalFormatting>
  <conditionalFormatting sqref="M5:O6 AA5:AF6 AU5:AZ6 M10 AA10:AF11 AU10:AZ11">
    <cfRule type="expression" dxfId="0" priority="103">
      <formula>(M3) = "Destroyed"</formula>
    </cfRule>
  </conditionalFormatting>
  <conditionalFormatting sqref="M5:O6 AA5:AF6 AU5:AZ6 M10 AA10:AF11 AU10:AZ11">
    <cfRule type="expression" dxfId="16" priority="104">
      <formula>(M3) = "Broken"</formula>
    </cfRule>
  </conditionalFormatting>
  <conditionalFormatting sqref="M5:O6 AA5:AF6 AU5:AZ6 M10 AA10:AF11 AU10:AZ11">
    <cfRule type="expression" dxfId="2" priority="105">
      <formula>(M3) = "Worn"</formula>
    </cfRule>
  </conditionalFormatting>
  <conditionalFormatting sqref="I16">
    <cfRule type="expression" dxfId="9" priority="106">
      <formula>(M3) = "Destroyed"</formula>
    </cfRule>
  </conditionalFormatting>
  <conditionalFormatting sqref="I16">
    <cfRule type="expression" dxfId="9" priority="107">
      <formula> (M8) = "Destroyed"</formula>
    </cfRule>
  </conditionalFormatting>
  <conditionalFormatting sqref="M13:M14 O13:O14 AB13:AB14 AV13:AV14">
    <cfRule type="cellIs" dxfId="2" priority="108" operator="equal">
      <formula>"Worn"</formula>
    </cfRule>
  </conditionalFormatting>
  <conditionalFormatting sqref="M13:M14 O13:O14 AB13:AB14 AV13:AV14">
    <cfRule type="cellIs" dxfId="16" priority="109" operator="equal">
      <formula>"Broken"</formula>
    </cfRule>
  </conditionalFormatting>
  <conditionalFormatting sqref="M13:M14 O13:O14 AB13:AB14 AV13:AV14">
    <cfRule type="cellIs" dxfId="14" priority="110" operator="equal">
      <formula>"Destroyed"</formula>
    </cfRule>
  </conditionalFormatting>
  <conditionalFormatting sqref="M15:M16 O15:O16">
    <cfRule type="expression" dxfId="0" priority="111">
      <formula>(M13) = "Missing"</formula>
    </cfRule>
  </conditionalFormatting>
  <conditionalFormatting sqref="M15:M16 O15:O16">
    <cfRule type="expression" dxfId="0" priority="112">
      <formula>(M13) = "Destroyed"</formula>
    </cfRule>
  </conditionalFormatting>
  <conditionalFormatting sqref="M15:M16 O15:O16">
    <cfRule type="expression" dxfId="2" priority="113">
      <formula>(M13) = "Worn"</formula>
    </cfRule>
  </conditionalFormatting>
  <conditionalFormatting sqref="M15:M16 O15:O16">
    <cfRule type="expression" dxfId="16" priority="114">
      <formula>(M13) = "Broken"</formula>
    </cfRule>
  </conditionalFormatting>
  <conditionalFormatting sqref="M17 O17 X17:AA17 AC17:AD17 AF17 AR17:AU17 AW17:AX17 AZ17">
    <cfRule type="expression" dxfId="0" priority="115">
      <formula>(M13) = "Destroyed"</formula>
    </cfRule>
  </conditionalFormatting>
  <conditionalFormatting sqref="I14">
    <cfRule type="expression" dxfId="9" priority="116">
      <formula>and(K8&lt;&gt;"Missing",K8&lt;&gt;"Undamaged")</formula>
    </cfRule>
  </conditionalFormatting>
  <conditionalFormatting sqref="I14">
    <cfRule type="expression" dxfId="9" priority="117">
      <formula>and(M3&lt;&gt;"Missing",M3&lt;&gt;"Undamaged")</formula>
    </cfRule>
  </conditionalFormatting>
  <conditionalFormatting sqref="I14">
    <cfRule type="expression" dxfId="9" priority="118">
      <formula>and(M13&lt;&gt;"Missing",M13&lt;&gt;"Undamaged")</formula>
    </cfRule>
  </conditionalFormatting>
  <conditionalFormatting sqref="I14">
    <cfRule type="expression" dxfId="9" priority="119">
      <formula>and(O13&lt;&gt;"Missing",O13&lt;&gt;"Undamaged")</formula>
    </cfRule>
  </conditionalFormatting>
  <conditionalFormatting sqref="I14">
    <cfRule type="expression" dxfId="9" priority="120">
      <formula>and(M18&lt;&gt;"Missing",M18&lt;&gt;"Undamaged")</formula>
    </cfRule>
  </conditionalFormatting>
  <conditionalFormatting sqref="I14">
    <cfRule type="expression" dxfId="9" priority="121">
      <formula>and(O18&lt;&gt;"Missing",O18&lt;&gt;"Undamaged")</formula>
    </cfRule>
  </conditionalFormatting>
  <conditionalFormatting sqref="I14">
    <cfRule type="expression" dxfId="9" priority="122">
      <formula>and(K11&lt;&gt;"Missing",K11&lt;&gt;"Undamaged")</formula>
    </cfRule>
  </conditionalFormatting>
  <conditionalFormatting sqref="I14">
    <cfRule type="expression" dxfId="9" priority="123">
      <formula>and(M8&lt;&gt;"Missing",M8&lt;&gt;"Undamaged")</formula>
    </cfRule>
  </conditionalFormatting>
  <conditionalFormatting sqref="I14">
    <cfRule type="expression" dxfId="9" priority="124">
      <formula>and(Q8&lt;&gt;"Missing",Q8&lt;&gt;"Undamaged")</formula>
    </cfRule>
  </conditionalFormatting>
  <conditionalFormatting sqref="I14">
    <cfRule type="expression" dxfId="9" priority="125">
      <formula>and(Q11&lt;&gt;"Missing",Q11&lt;&gt;"Undamaged")</formula>
    </cfRule>
  </conditionalFormatting>
  <conditionalFormatting sqref="I15">
    <cfRule type="expression" dxfId="9" priority="126">
      <formula>(M3) = "Broken"</formula>
    </cfRule>
  </conditionalFormatting>
  <conditionalFormatting sqref="X3:Z6 AR3:AT6 X8:Z11 AR8:AT11">
    <cfRule type="expression" dxfId="0" priority="127">
      <formula>(AA3) = "Destroyed"</formula>
    </cfRule>
  </conditionalFormatting>
  <conditionalFormatting sqref="X3:Z4 AR3:AT4 X8:Z9 AR8:AT9">
    <cfRule type="expression" dxfId="2" priority="128">
      <formula>(AA3) = "Worn"</formula>
    </cfRule>
  </conditionalFormatting>
  <conditionalFormatting sqref="X3:Z4 AR3:AT4 X8:Z9 AR8:AT9">
    <cfRule type="expression" dxfId="16" priority="129">
      <formula>(AA3) = "Broken"</formula>
    </cfRule>
  </conditionalFormatting>
  <conditionalFormatting sqref="Z13:AA14 AE13:AF14 AT13:AU14 AY13:AZ14">
    <cfRule type="cellIs" dxfId="17" priority="130" operator="equal">
      <formula>"W2"</formula>
    </cfRule>
  </conditionalFormatting>
  <conditionalFormatting sqref="Z13:AA14 AE13:AF14 AT13:AU14 AY13:AZ14">
    <cfRule type="cellIs" dxfId="16" priority="131" operator="equal">
      <formula>"B1"</formula>
    </cfRule>
  </conditionalFormatting>
  <conditionalFormatting sqref="Z13:AA14 AE13:AF14 AT13:AU14 AY13:AZ14">
    <cfRule type="cellIs" dxfId="13" priority="132" operator="equal">
      <formula>"D0"</formula>
    </cfRule>
  </conditionalFormatting>
  <conditionalFormatting sqref="Z13:AA14 AE13:AF14 AT13:AU14 AY13:AZ14">
    <cfRule type="cellIs" dxfId="13" priority="133" operator="equal">
      <formula>"D0"</formula>
    </cfRule>
  </conditionalFormatting>
  <conditionalFormatting sqref="AA15:AA16 AF15:AF16 AU15:AU16 AZ15:AZ16">
    <cfRule type="expression" dxfId="0" priority="134">
      <formula>(Z13) = "D0"</formula>
    </cfRule>
  </conditionalFormatting>
  <conditionalFormatting sqref="AA15:AA16 AF15:AF16 AU15:AU16 AZ15:AZ16">
    <cfRule type="expression" dxfId="2" priority="135">
      <formula>(Z13) = "W2"</formula>
    </cfRule>
  </conditionalFormatting>
  <conditionalFormatting sqref="AA15:AA16 AF15:AF16 AU15:AU16 AZ15:AZ16">
    <cfRule type="expression" dxfId="16" priority="136">
      <formula>(Z13) = "B1"</formula>
    </cfRule>
  </conditionalFormatting>
  <conditionalFormatting sqref="X13:Y14 AC13:AD14 AR13:AS14 AW13:AX14">
    <cfRule type="expression" dxfId="2" priority="137">
      <formula>(Z13) = "W2"</formula>
    </cfRule>
  </conditionalFormatting>
  <conditionalFormatting sqref="X13:Y14 AC13:AD14 AR13:AS14 AW13:AX14">
    <cfRule type="expression" dxfId="16" priority="138">
      <formula>(Z13) = "B1"</formula>
    </cfRule>
  </conditionalFormatting>
  <conditionalFormatting sqref="X13:Y14 AC13:AD14 AR13:AS14 AW13:AX14">
    <cfRule type="expression" dxfId="0" priority="139">
      <formula>(Z13) = "D0"</formula>
    </cfRule>
  </conditionalFormatting>
  <conditionalFormatting sqref="U8:V8 AJ8:AK8 AO8:AP8 BD8:BE8 U11:V11 AJ11:AK11 AO11:AP11 BD11:BE11 Z18:AA18 AE18:AF18 AT18:AU18 AY18:AZ18">
    <cfRule type="cellIs" dxfId="2" priority="140" operator="equal">
      <formula>"W2"</formula>
    </cfRule>
  </conditionalFormatting>
  <conditionalFormatting sqref="U8:V8 AJ8:AK8 AO8:AP8 BD8:BE8 U11:V11 AJ11:AK11 AO11:AP11 BD11:BE11 Z18:AA18 AE18:AF18 AT18:AU18 AY18:AZ18">
    <cfRule type="cellIs" dxfId="16" priority="141" operator="equal">
      <formula>"B1"</formula>
    </cfRule>
  </conditionalFormatting>
  <conditionalFormatting sqref="U8:V8 AJ8:AK8 AO8:AP8 BD8:BE8 U11:V11 AJ11:AK11 AO11:AP11 BD11:BE11 Z18:AA18 AE18:AF18 AT18:AU18 AY18:AZ18">
    <cfRule type="cellIs" dxfId="0" priority="142" operator="equal">
      <formula>"D0"</formula>
    </cfRule>
  </conditionalFormatting>
  <conditionalFormatting sqref="V9 AK9 AP9 BE9 V12 AK12 AP12 BE12 AA19 AF19 AU19 AZ19">
    <cfRule type="expression" dxfId="0" priority="143">
      <formula>(U8) = "D0"</formula>
    </cfRule>
  </conditionalFormatting>
  <conditionalFormatting sqref="V9 AK9 AP9 BE9 V12 AK12 AP12 BE12 AA19 AF19 AU19 AZ19">
    <cfRule type="expression" dxfId="16" priority="144">
      <formula>(U8) = "B1"</formula>
    </cfRule>
  </conditionalFormatting>
  <conditionalFormatting sqref="V9 AK9 AP9 BE9 V12 AK12 AP12 BE12 AA19 AF19 AU19 AZ19">
    <cfRule type="expression" dxfId="2" priority="145">
      <formula>(U8) = "W2"</formula>
    </cfRule>
  </conditionalFormatting>
  <conditionalFormatting sqref="S8:T8 AH8:AI8 AM8:AN8 BB8:BC8 S11:T11 AH11:AI11 AM11:AN11 BB11:BC11 X18:Y18 AC18:AD18 AR18:AS18 AW18:AX18">
    <cfRule type="expression" dxfId="16" priority="146">
      <formula>(U8) = "B1"</formula>
    </cfRule>
  </conditionalFormatting>
  <conditionalFormatting sqref="S8:T8 AH8:AI8 AM8:AN8 BB8:BC8 S11:T11 AH11:AI11 AM11:AN11 BB11:BC11 X18:Y18 AC18:AD18 AR18:AS18 AW18:AX18">
    <cfRule type="expression" dxfId="2" priority="147">
      <formula>(U8) = "W2"</formula>
    </cfRule>
  </conditionalFormatting>
  <conditionalFormatting sqref="S8:T8 AH8:AI8 AM8:AN8 BB8:BC8 S11:T11 AH11:AI11 AM11:AN11 BB11:BC11 X18:Y18 AC18:AD18 AR18:AS18 AW18:AX18">
    <cfRule type="expression" dxfId="0" priority="148">
      <formula>(U8) = "D0"</formula>
    </cfRule>
  </conditionalFormatting>
  <conditionalFormatting sqref="M22:M23">
    <cfRule type="expression" dxfId="13" priority="149">
      <formula>(N22) = "Destroyed"</formula>
    </cfRule>
  </conditionalFormatting>
  <conditionalFormatting sqref="M22:M23">
    <cfRule type="expression" dxfId="2" priority="150">
      <formula>(N22) = "Worn"</formula>
    </cfRule>
  </conditionalFormatting>
  <conditionalFormatting sqref="M22:M23">
    <cfRule type="expression" dxfId="16" priority="151">
      <formula>(N22) = "Broken"</formula>
    </cfRule>
  </conditionalFormatting>
  <conditionalFormatting sqref="Q22:R23">
    <cfRule type="expression" dxfId="16" priority="152">
      <formula>(N22) = "Broken"</formula>
    </cfRule>
  </conditionalFormatting>
  <conditionalFormatting sqref="Q22:R23">
    <cfRule type="expression" dxfId="0" priority="153">
      <formula>(N22) = "Destroyed"</formula>
    </cfRule>
  </conditionalFormatting>
  <conditionalFormatting sqref="Q22:R23">
    <cfRule type="expression" dxfId="2" priority="154">
      <formula>(N22) = "Worn"</formula>
    </cfRule>
  </conditionalFormatting>
  <conditionalFormatting sqref="H28:H34 H36:H39 H41:H49 H51:H54 H56:H60 H62:H69 H71:H75 H77:H84 H86:H89 H91:H93 H95:H98 H100:H102">
    <cfRule type="cellIs" dxfId="18" priority="155" operator="equal">
      <formula>"Master"</formula>
    </cfRule>
  </conditionalFormatting>
  <conditionalFormatting sqref="M28:M34 M39 M41:M49 M56:M60 M62:M67 M69 M71:M75 M77:M84 M86:M89 M91:M93 M95:M98 M100:M102">
    <cfRule type="cellIs" dxfId="6" priority="156" operator="greaterThan">
      <formula>0</formula>
    </cfRule>
  </conditionalFormatting>
  <conditionalFormatting sqref="M28:M34 M39 M41:M49 M56:M60 M62:M67 M69 M71:M75 M77:M84 M86:M89 M91:M93 M95:M98 M100:M102">
    <cfRule type="beginsWith" dxfId="5" priority="157" operator="beginsWith" text="-">
      <formula>LEFT((M28),LEN("-"))=("-")</formula>
    </cfRule>
  </conditionalFormatting>
  <conditionalFormatting sqref="K10 Q10">
    <cfRule type="expression" dxfId="0" priority="158">
      <formula>(K8) = "Missing"</formula>
    </cfRule>
  </conditionalFormatting>
  <conditionalFormatting sqref="M13:M14 O13:O14">
    <cfRule type="cellIs" dxfId="13" priority="159" operator="equal">
      <formula>"Missing"</formula>
    </cfRule>
  </conditionalFormatting>
  <conditionalFormatting sqref="M17 O17">
    <cfRule type="expression" dxfId="0" priority="160">
      <formula>(M13) = "Missing"</formula>
    </cfRule>
  </conditionalFormatting>
  <conditionalFormatting sqref="I3:I4">
    <cfRule type="colorScale" priority="161">
      <colorScale>
        <cfvo type="formula" val="0"/>
        <cfvo type="formula" val="200"/>
        <cfvo type="formula" val="400"/>
        <color rgb="FFD9EAD3"/>
        <color rgb="FF3D85C6"/>
        <color rgb="FFE69138"/>
      </colorScale>
    </cfRule>
  </conditionalFormatting>
  <dataValidations>
    <dataValidation type="decimal" allowBlank="1" showDropDown="1" showErrorMessage="1" sqref="E10:E15">
      <formula1>-1000.0</formula1>
      <formula2>1000.0</formula2>
    </dataValidation>
    <dataValidation type="list" allowBlank="1" showErrorMessage="1" sqref="X3 AR3 X8 AR8 Q22:Q23">
      <formula1>"Hard,Soft"</formula1>
    </dataValidation>
    <dataValidation type="list" allowBlank="1" showErrorMessage="1" sqref="C17">
      <formula1>"None,Level 1,Level 2,Level 3"</formula1>
    </dataValidation>
    <dataValidation type="list" allowBlank="1" showErrorMessage="1" sqref="E106:E115">
      <formula1>"None,-5,-4,-3,-2,-1,0,1,2,3,4,5"</formula1>
    </dataValidation>
    <dataValidation type="list" allowBlank="1" showErrorMessage="1" sqref="M3 AA3 AU3 M8 AA8 AU8 AB13 AV13 N22:N23">
      <formula1>"Undamaged,Worn,Broken,Destroyed"</formula1>
    </dataValidation>
    <dataValidation type="list" allowBlank="1" showErrorMessage="1" sqref="C104">
      <formula1>"None,Neutral,Negative,Positive"</formula1>
    </dataValidation>
    <dataValidation type="list" allowBlank="1" showErrorMessage="1" sqref="O28:O34 O36:O39 O41:O49 O51:O54 O56:O60 O62:O69 O71:O75 O77:O84 O86:O89 O91:O93 O95:O98 O100:O102 O106:O115">
      <formula1>"NO,1 Time,2 Times,3 Times"</formula1>
    </dataValidation>
    <dataValidation type="decimal" operator="lessThan" allowBlank="1" showDropDown="1" showErrorMessage="1" sqref="I3 I6">
      <formula1>999999.0</formula1>
    </dataValidation>
    <dataValidation type="list" allowBlank="1" showErrorMessage="1" sqref="U8 AJ8 AO8 BD8 U11 AJ11 AO11 BD11 Z13 AE13 AT13 AY13 Z18 AE18 AT18 AY18">
      <formula1>"U3,W2,B1,D0"</formula1>
    </dataValidation>
    <dataValidation type="decimal" operator="lessThanOrEqual" allowBlank="1" showDropDown="1" showErrorMessage="1" sqref="I100:I102">
      <formula1>9999.0</formula1>
    </dataValidation>
    <dataValidation type="list" allowBlank="1" showErrorMessage="1" sqref="J28 J36 J41 J51 J56 J62 J71 J77 J86 J91 J95 J100">
      <formula1>"None,Natural,Expert"</formula1>
    </dataValidation>
    <dataValidation type="list" allowBlank="1" showErrorMessage="1" sqref="C3">
      <formula1>"Human,Altered Human,Elven,Dwarven,Celestial,Homonculus,Salamander,Neo-Human,Cambion,Moroi,Halfling,Gnome,Shapeshifter,Draconic"</formula1>
    </dataValidation>
    <dataValidation type="custom" allowBlank="1" showErrorMessage="1" sqref="L8">
      <formula1>NOT(L8&gt;L9)</formula1>
    </dataValidation>
    <dataValidation type="list" allowBlank="1" showErrorMessage="1" sqref="H6">
      <formula1>"1st,2nd,3rd,4th,5th,6th,7th,8th,9th,10th,11th,12th"</formula1>
    </dataValidation>
    <dataValidation type="list" allowBlank="1" showErrorMessage="1" sqref="S8 AH8 AM8 BB8 S11 AH11 AM11 BB11 X18 AC18 AR18 AW18">
      <formula1>"S,H"</formula1>
    </dataValidation>
    <dataValidation type="list" allowBlank="1" showErrorMessage="1" sqref="C10:C15 C28:C34 C36:C39 C41:C49 C51:C54 C56:C60 C62:C69 C71:C75 C77:C84 C86:C89 C91:C93 C95:C98 C100:C102 C106:C115">
      <formula1>"0,1,2,3,4,5,6,7,8,9,10,11,12,13,14,15,16,17,18,19,20"</formula1>
    </dataValidation>
    <dataValidation type="list" allowBlank="1" showErrorMessage="1" sqref="X13 AC13 AR13 AW13">
      <formula1>"H,S"</formula1>
    </dataValidation>
    <dataValidation type="list" allowBlank="1" showErrorMessage="1" sqref="H28:H34 H36:H39 H41:H49 H51:H54 H56:H60 H62:H69 H71:H75 H77:H84 H86:H89 H91:H93 H95:H98 H100:H102">
      <formula1>"None,Natural,Expert,Master"</formula1>
    </dataValidation>
    <dataValidation type="list" allowBlank="1" showErrorMessage="1" sqref="K8 Q8 K11 Q11 M13 O13 M18 O18">
      <formula1>"Undamaged,Worn,Broken,Destroyed,Missing"</formula1>
    </dataValidation>
    <dataValidation type="decimal" operator="greaterThan" allowBlank="1" showErrorMessage="1" sqref="C7">
      <formula1>0.0</formula1>
    </dataValidation>
    <dataValidation type="list" allowBlank="1" sqref="E7">
      <formula1>"Normal,Extended,Long,Epic,Immortal"</formula1>
    </dataValidation>
    <dataValidation type="list" allowBlank="1" showErrorMessage="1" sqref="H7">
      <formula1>"1,2,3,4,5,6,7,8,9,10"</formula1>
    </dataValidation>
    <dataValidation type="custom" allowBlank="1" showErrorMessage="1" sqref="M12 X12 AR12 M17 O17 X17 AC17 AR17 AW17">
      <formula1>NOT(M12&gt;O12)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2" width="5.75"/>
    <col customWidth="1" min="3" max="3" width="27.0"/>
    <col customWidth="1" min="4" max="4" width="18.25"/>
    <col customWidth="1" min="5" max="5" width="9.5"/>
    <col customWidth="1" min="6" max="6" width="18.88"/>
    <col customWidth="1" min="7" max="7" width="17.63"/>
    <col customWidth="1" min="8" max="8" width="13.38"/>
    <col customWidth="1" min="9" max="9" width="49.25"/>
    <col customWidth="1" min="10" max="10" width="18.13"/>
    <col customWidth="1" min="11" max="11" width="14.5"/>
    <col customWidth="1" min="12" max="12" width="8.38"/>
    <col customWidth="1" min="13" max="13" width="6.5"/>
    <col customWidth="1" min="14" max="14" width="1.38"/>
    <col customWidth="1" min="15" max="15" width="17.0"/>
    <col customWidth="1" min="16" max="16" width="10.75"/>
    <col customWidth="1" min="19" max="19" width="26.5"/>
    <col customWidth="1" min="20" max="20" width="1.38"/>
  </cols>
  <sheetData>
    <row r="1" ht="7.5" customHeight="1">
      <c r="A1" s="12"/>
      <c r="B1" s="12"/>
      <c r="C1" s="12"/>
      <c r="N1" s="12"/>
      <c r="O1" s="12"/>
      <c r="T1" s="12"/>
    </row>
    <row r="2">
      <c r="C2" s="227" t="s">
        <v>210</v>
      </c>
      <c r="D2" s="228"/>
      <c r="E2" s="228"/>
      <c r="F2" s="228"/>
      <c r="G2" s="228"/>
      <c r="H2" s="228"/>
      <c r="I2" s="228"/>
      <c r="J2" s="228"/>
      <c r="K2" s="228"/>
      <c r="L2" s="228"/>
      <c r="M2" s="12"/>
      <c r="O2" s="227" t="s">
        <v>211</v>
      </c>
      <c r="P2" s="228"/>
      <c r="Q2" s="228"/>
      <c r="R2" s="228"/>
      <c r="S2" s="228"/>
    </row>
    <row r="3">
      <c r="C3" s="229"/>
      <c r="M3" s="12"/>
      <c r="O3" s="229"/>
    </row>
    <row r="4" ht="7.5" customHeight="1">
      <c r="C4" s="230"/>
      <c r="O4" s="229"/>
    </row>
    <row r="5">
      <c r="B5" s="231" t="s">
        <v>212</v>
      </c>
      <c r="C5" s="232" t="s">
        <v>0</v>
      </c>
      <c r="D5" s="99" t="s">
        <v>213</v>
      </c>
      <c r="E5" s="232" t="s">
        <v>214</v>
      </c>
      <c r="F5" s="233" t="s">
        <v>215</v>
      </c>
      <c r="G5" s="232" t="s">
        <v>68</v>
      </c>
      <c r="H5" s="232" t="s">
        <v>216</v>
      </c>
      <c r="I5" s="232" t="s">
        <v>217</v>
      </c>
      <c r="J5" s="232" t="s">
        <v>17</v>
      </c>
      <c r="K5" s="99" t="s">
        <v>218</v>
      </c>
      <c r="L5" s="232" t="s">
        <v>4</v>
      </c>
      <c r="M5" s="99" t="s">
        <v>219</v>
      </c>
      <c r="O5" s="229"/>
    </row>
    <row r="6" ht="30.0" customHeight="1">
      <c r="B6" s="231">
        <v>1.0</v>
      </c>
      <c r="C6" s="234" t="s">
        <v>220</v>
      </c>
      <c r="D6" s="235" t="s">
        <v>220</v>
      </c>
      <c r="E6" s="235"/>
      <c r="F6" s="236"/>
      <c r="G6" s="236"/>
      <c r="H6" s="235"/>
      <c r="I6" s="235" t="s">
        <v>221</v>
      </c>
      <c r="J6" s="237">
        <v>1.0</v>
      </c>
      <c r="K6" s="237">
        <v>100000.0</v>
      </c>
      <c r="L6" s="237">
        <v>0.0</v>
      </c>
      <c r="M6" s="238" t="b">
        <v>1</v>
      </c>
      <c r="O6" s="239" t="s">
        <v>222</v>
      </c>
      <c r="P6" s="240"/>
      <c r="Q6" s="241"/>
    </row>
    <row r="7" ht="30.0" customHeight="1">
      <c r="B7" s="231">
        <v>2.0</v>
      </c>
      <c r="C7" s="234" t="s">
        <v>223</v>
      </c>
      <c r="D7" s="235" t="s">
        <v>224</v>
      </c>
      <c r="E7" s="235" t="s">
        <v>225</v>
      </c>
      <c r="F7" s="235" t="s">
        <v>226</v>
      </c>
      <c r="G7" s="235" t="s">
        <v>227</v>
      </c>
      <c r="H7" s="235" t="s">
        <v>228</v>
      </c>
      <c r="I7" s="235" t="s">
        <v>229</v>
      </c>
      <c r="J7" s="237"/>
      <c r="K7" s="237">
        <v>1.0</v>
      </c>
      <c r="L7" s="237">
        <v>4.4</v>
      </c>
      <c r="M7" s="238" t="b">
        <v>0</v>
      </c>
      <c r="O7" s="242"/>
    </row>
    <row r="8" ht="30.0" customHeight="1">
      <c r="B8" s="231">
        <v>3.0</v>
      </c>
      <c r="C8" s="234" t="s">
        <v>230</v>
      </c>
      <c r="D8" s="235" t="s">
        <v>231</v>
      </c>
      <c r="E8" s="235" t="s">
        <v>232</v>
      </c>
      <c r="F8" s="235" t="s">
        <v>233</v>
      </c>
      <c r="G8" s="235" t="s">
        <v>234</v>
      </c>
      <c r="H8" s="235" t="s">
        <v>228</v>
      </c>
      <c r="I8" s="235" t="s">
        <v>235</v>
      </c>
      <c r="J8" s="243"/>
      <c r="K8" s="237">
        <v>32.0</v>
      </c>
      <c r="L8" s="237">
        <v>0.02</v>
      </c>
      <c r="M8" s="238" t="b">
        <v>1</v>
      </c>
      <c r="O8" s="244" t="s">
        <v>236</v>
      </c>
      <c r="P8" s="240"/>
      <c r="Q8" s="241"/>
    </row>
    <row r="9" ht="30.0" customHeight="1">
      <c r="B9" s="231">
        <v>4.0</v>
      </c>
      <c r="C9" s="234" t="s">
        <v>237</v>
      </c>
      <c r="D9" s="235" t="s">
        <v>238</v>
      </c>
      <c r="E9" s="235" t="s">
        <v>239</v>
      </c>
      <c r="F9" s="235" t="s">
        <v>240</v>
      </c>
      <c r="G9" s="235" t="s">
        <v>241</v>
      </c>
      <c r="H9" s="235" t="s">
        <v>242</v>
      </c>
      <c r="I9" s="235" t="s">
        <v>243</v>
      </c>
      <c r="J9" s="243"/>
      <c r="K9" s="237">
        <v>5.0</v>
      </c>
      <c r="L9" s="237">
        <v>1.5</v>
      </c>
      <c r="M9" s="238" t="b">
        <v>1</v>
      </c>
      <c r="O9" s="242"/>
    </row>
    <row r="10" ht="30.0" customHeight="1">
      <c r="B10" s="231">
        <v>5.0</v>
      </c>
      <c r="C10" s="234" t="s">
        <v>244</v>
      </c>
      <c r="D10" s="235" t="s">
        <v>245</v>
      </c>
      <c r="E10" s="235" t="s">
        <v>246</v>
      </c>
      <c r="F10" s="235" t="s">
        <v>247</v>
      </c>
      <c r="G10" s="235" t="s">
        <v>248</v>
      </c>
      <c r="H10" s="235" t="s">
        <v>249</v>
      </c>
      <c r="I10" s="235" t="s">
        <v>250</v>
      </c>
      <c r="J10" s="243"/>
      <c r="K10" s="237">
        <v>1.0</v>
      </c>
      <c r="L10" s="237">
        <v>1.0</v>
      </c>
      <c r="M10" s="238" t="b">
        <v>0</v>
      </c>
      <c r="O10" s="239" t="s">
        <v>251</v>
      </c>
      <c r="P10" s="240" t="s">
        <v>252</v>
      </c>
      <c r="Q10" s="241" t="s">
        <v>253</v>
      </c>
    </row>
    <row r="11" ht="30.0" customHeight="1">
      <c r="B11" s="231">
        <v>6.0</v>
      </c>
      <c r="C11" s="234" t="s">
        <v>254</v>
      </c>
      <c r="D11" s="235" t="s">
        <v>231</v>
      </c>
      <c r="E11" s="235" t="s">
        <v>255</v>
      </c>
      <c r="F11" s="235"/>
      <c r="G11" s="235" t="s">
        <v>256</v>
      </c>
      <c r="H11" s="235" t="s">
        <v>228</v>
      </c>
      <c r="I11" s="235" t="s">
        <v>257</v>
      </c>
      <c r="J11" s="243"/>
      <c r="K11" s="237">
        <v>1.0</v>
      </c>
      <c r="L11" s="237">
        <v>20.0</v>
      </c>
      <c r="M11" s="238" t="b">
        <v>0</v>
      </c>
      <c r="O11" s="242"/>
    </row>
    <row r="12" ht="30.0" customHeight="1">
      <c r="B12" s="231">
        <v>7.0</v>
      </c>
      <c r="C12" s="234" t="s">
        <v>258</v>
      </c>
      <c r="D12" s="235" t="s">
        <v>259</v>
      </c>
      <c r="E12" s="235"/>
      <c r="F12" s="235"/>
      <c r="G12" s="235" t="s">
        <v>260</v>
      </c>
      <c r="H12" s="235" t="s">
        <v>228</v>
      </c>
      <c r="I12" s="235" t="s">
        <v>261</v>
      </c>
      <c r="J12" s="237"/>
      <c r="K12" s="237">
        <v>1.0</v>
      </c>
      <c r="L12" s="237">
        <v>0.22</v>
      </c>
      <c r="M12" s="238" t="b">
        <v>0</v>
      </c>
      <c r="O12" s="244" t="s">
        <v>262</v>
      </c>
      <c r="P12" s="240" t="s">
        <v>252</v>
      </c>
      <c r="Q12" s="241" t="s">
        <v>263</v>
      </c>
    </row>
    <row r="13" ht="30.0" customHeight="1">
      <c r="B13" s="231">
        <v>8.0</v>
      </c>
      <c r="C13" s="234" t="s">
        <v>264</v>
      </c>
      <c r="D13" s="235" t="s">
        <v>259</v>
      </c>
      <c r="E13" s="236"/>
      <c r="F13" s="236"/>
      <c r="G13" s="235" t="s">
        <v>265</v>
      </c>
      <c r="H13" s="235" t="s">
        <v>228</v>
      </c>
      <c r="I13" s="235" t="s">
        <v>266</v>
      </c>
      <c r="J13" s="243"/>
      <c r="K13" s="237">
        <v>1.0</v>
      </c>
      <c r="L13" s="237">
        <v>1.0</v>
      </c>
      <c r="M13" s="238" t="b">
        <v>0</v>
      </c>
      <c r="O13" s="242"/>
    </row>
    <row r="14" ht="30.0" customHeight="1">
      <c r="B14" s="231">
        <v>9.0</v>
      </c>
      <c r="C14" s="234" t="s">
        <v>267</v>
      </c>
      <c r="D14" s="235" t="s">
        <v>268</v>
      </c>
      <c r="E14" s="235"/>
      <c r="F14" s="235"/>
      <c r="G14" s="245" t="s">
        <v>269</v>
      </c>
      <c r="H14" s="235" t="s">
        <v>249</v>
      </c>
      <c r="I14" s="235" t="s">
        <v>270</v>
      </c>
      <c r="J14" s="237"/>
      <c r="K14" s="237">
        <v>1.0</v>
      </c>
      <c r="L14" s="237">
        <v>1.0</v>
      </c>
      <c r="M14" s="238" t="b">
        <v>0</v>
      </c>
      <c r="O14" s="239" t="s">
        <v>271</v>
      </c>
      <c r="P14" s="240"/>
      <c r="Q14" s="241" t="s">
        <v>272</v>
      </c>
    </row>
    <row r="15" ht="30.0" customHeight="1">
      <c r="B15" s="231">
        <v>10.0</v>
      </c>
      <c r="C15" s="234" t="s">
        <v>273</v>
      </c>
      <c r="D15" s="235" t="s">
        <v>259</v>
      </c>
      <c r="E15" s="236"/>
      <c r="F15" s="235"/>
      <c r="G15" s="235" t="s">
        <v>274</v>
      </c>
      <c r="H15" s="235" t="s">
        <v>249</v>
      </c>
      <c r="I15" s="235" t="s">
        <v>275</v>
      </c>
      <c r="J15" s="237"/>
      <c r="K15" s="237">
        <v>2.0</v>
      </c>
      <c r="L15" s="237">
        <v>2.0</v>
      </c>
      <c r="M15" s="238" t="b">
        <v>0</v>
      </c>
      <c r="O15" s="242"/>
    </row>
    <row r="16" ht="30.0" customHeight="1">
      <c r="B16" s="231">
        <v>11.0</v>
      </c>
      <c r="C16" s="234" t="s">
        <v>276</v>
      </c>
      <c r="D16" s="235" t="s">
        <v>231</v>
      </c>
      <c r="E16" s="235"/>
      <c r="F16" s="235"/>
      <c r="G16" s="245" t="s">
        <v>265</v>
      </c>
      <c r="H16" s="235" t="s">
        <v>249</v>
      </c>
      <c r="I16" s="235" t="s">
        <v>277</v>
      </c>
      <c r="J16" s="237"/>
      <c r="K16" s="237">
        <v>1.0</v>
      </c>
      <c r="L16" s="237">
        <v>0.25</v>
      </c>
      <c r="M16" s="238" t="b">
        <v>0</v>
      </c>
      <c r="O16" s="244" t="s">
        <v>278</v>
      </c>
      <c r="P16" s="240" t="s">
        <v>279</v>
      </c>
      <c r="Q16" s="241" t="s">
        <v>280</v>
      </c>
    </row>
    <row r="17" ht="30.0" customHeight="1">
      <c r="B17" s="231">
        <v>12.0</v>
      </c>
      <c r="C17" s="234" t="s">
        <v>281</v>
      </c>
      <c r="D17" s="235" t="s">
        <v>231</v>
      </c>
      <c r="E17" s="235"/>
      <c r="F17" s="235"/>
      <c r="G17" s="235" t="s">
        <v>282</v>
      </c>
      <c r="H17" s="235" t="s">
        <v>242</v>
      </c>
      <c r="I17" s="235" t="s">
        <v>283</v>
      </c>
      <c r="J17" s="243"/>
      <c r="K17" s="237">
        <v>1.0</v>
      </c>
      <c r="L17" s="237">
        <v>0.2</v>
      </c>
      <c r="M17" s="238" t="b">
        <v>0</v>
      </c>
      <c r="O17" s="242"/>
    </row>
    <row r="18" ht="30.0" customHeight="1">
      <c r="B18" s="231">
        <v>13.0</v>
      </c>
      <c r="C18" s="234" t="s">
        <v>284</v>
      </c>
      <c r="D18" s="235" t="s">
        <v>285</v>
      </c>
      <c r="E18" s="235"/>
      <c r="F18" s="235"/>
      <c r="G18" s="235" t="s">
        <v>286</v>
      </c>
      <c r="H18" s="235" t="s">
        <v>242</v>
      </c>
      <c r="I18" s="235" t="s">
        <v>287</v>
      </c>
      <c r="J18" s="243"/>
      <c r="K18" s="237">
        <v>1.0</v>
      </c>
      <c r="L18" s="237">
        <v>0.01</v>
      </c>
      <c r="M18" s="238" t="b">
        <v>0</v>
      </c>
      <c r="O18" s="239" t="s">
        <v>288</v>
      </c>
      <c r="P18" s="240" t="s">
        <v>279</v>
      </c>
      <c r="Q18" s="246" t="s">
        <v>289</v>
      </c>
    </row>
    <row r="19" ht="30.0" customHeight="1">
      <c r="B19" s="231">
        <v>14.0</v>
      </c>
      <c r="C19" s="234" t="s">
        <v>290</v>
      </c>
      <c r="D19" s="235" t="s">
        <v>268</v>
      </c>
      <c r="E19" s="235"/>
      <c r="F19" s="236"/>
      <c r="G19" s="235" t="s">
        <v>282</v>
      </c>
      <c r="H19" s="235" t="s">
        <v>242</v>
      </c>
      <c r="I19" s="235" t="s">
        <v>291</v>
      </c>
      <c r="J19" s="243"/>
      <c r="K19" s="237">
        <v>2.0</v>
      </c>
      <c r="L19" s="237">
        <v>1.0</v>
      </c>
      <c r="M19" s="238" t="b">
        <v>0</v>
      </c>
      <c r="O19" s="242"/>
    </row>
    <row r="20" ht="30.0" customHeight="1">
      <c r="B20" s="231">
        <v>15.0</v>
      </c>
      <c r="C20" s="234" t="s">
        <v>292</v>
      </c>
      <c r="D20" s="235" t="s">
        <v>231</v>
      </c>
      <c r="E20" s="235"/>
      <c r="F20" s="236"/>
      <c r="G20" s="235" t="s">
        <v>293</v>
      </c>
      <c r="H20" s="235" t="s">
        <v>249</v>
      </c>
      <c r="I20" s="235" t="s">
        <v>294</v>
      </c>
      <c r="J20" s="243"/>
      <c r="K20" s="237">
        <v>2.0</v>
      </c>
      <c r="L20" s="237">
        <v>0.3</v>
      </c>
      <c r="M20" s="238" t="b">
        <v>0</v>
      </c>
      <c r="O20" s="244" t="s">
        <v>295</v>
      </c>
      <c r="P20" s="240" t="s">
        <v>279</v>
      </c>
      <c r="Q20" s="246" t="s">
        <v>296</v>
      </c>
    </row>
    <row r="21" ht="33.75" customHeight="1">
      <c r="B21" s="231">
        <v>16.0</v>
      </c>
      <c r="C21" s="234"/>
      <c r="D21" s="235"/>
      <c r="E21" s="235"/>
      <c r="F21" s="236"/>
      <c r="G21" s="236"/>
      <c r="H21" s="235"/>
      <c r="I21" s="236"/>
      <c r="J21" s="243"/>
      <c r="K21" s="243"/>
      <c r="L21" s="243"/>
      <c r="M21" s="238" t="b">
        <v>0</v>
      </c>
      <c r="O21" s="242"/>
    </row>
    <row r="22" ht="33.75" customHeight="1">
      <c r="B22" s="231">
        <v>17.0</v>
      </c>
      <c r="C22" s="234"/>
      <c r="D22" s="235"/>
      <c r="E22" s="236"/>
      <c r="F22" s="236"/>
      <c r="G22" s="236"/>
      <c r="H22" s="235"/>
      <c r="I22" s="236"/>
      <c r="J22" s="243"/>
      <c r="K22" s="243"/>
      <c r="L22" s="243"/>
      <c r="M22" s="238" t="b">
        <v>0</v>
      </c>
      <c r="O22" s="239" t="s">
        <v>297</v>
      </c>
      <c r="P22" s="240" t="s">
        <v>279</v>
      </c>
      <c r="Q22" s="241" t="s">
        <v>298</v>
      </c>
    </row>
    <row r="23" ht="33.75" customHeight="1">
      <c r="B23" s="231">
        <v>18.0</v>
      </c>
      <c r="C23" s="234"/>
      <c r="D23" s="235"/>
      <c r="E23" s="236"/>
      <c r="F23" s="236"/>
      <c r="G23" s="236"/>
      <c r="H23" s="235"/>
      <c r="I23" s="236"/>
      <c r="J23" s="243"/>
      <c r="K23" s="243"/>
      <c r="L23" s="243"/>
      <c r="M23" s="238" t="b">
        <v>0</v>
      </c>
      <c r="O23" s="242"/>
    </row>
    <row r="24" ht="33.75" customHeight="1">
      <c r="B24" s="231">
        <v>19.0</v>
      </c>
      <c r="C24" s="234"/>
      <c r="D24" s="235"/>
      <c r="E24" s="236"/>
      <c r="F24" s="236"/>
      <c r="G24" s="236"/>
      <c r="H24" s="235"/>
      <c r="I24" s="236"/>
      <c r="J24" s="243"/>
      <c r="K24" s="243"/>
      <c r="L24" s="243"/>
      <c r="M24" s="238" t="b">
        <v>0</v>
      </c>
      <c r="O24" s="244" t="s">
        <v>299</v>
      </c>
      <c r="P24" s="240" t="s">
        <v>252</v>
      </c>
      <c r="Q24" s="241" t="s">
        <v>300</v>
      </c>
    </row>
    <row r="25" ht="33.75" customHeight="1">
      <c r="B25" s="231">
        <v>20.0</v>
      </c>
      <c r="C25" s="234"/>
      <c r="D25" s="235"/>
      <c r="E25" s="236"/>
      <c r="F25" s="236"/>
      <c r="G25" s="236"/>
      <c r="H25" s="235"/>
      <c r="I25" s="236"/>
      <c r="J25" s="237"/>
      <c r="K25" s="237"/>
      <c r="L25" s="237"/>
      <c r="M25" s="238" t="b">
        <v>0</v>
      </c>
      <c r="O25" s="242"/>
    </row>
    <row r="26" ht="33.75" customHeight="1">
      <c r="B26" s="231">
        <v>21.0</v>
      </c>
      <c r="C26" s="234"/>
      <c r="D26" s="235"/>
      <c r="E26" s="236"/>
      <c r="F26" s="236"/>
      <c r="G26" s="236"/>
      <c r="H26" s="235"/>
      <c r="I26" s="236"/>
      <c r="J26" s="243"/>
      <c r="K26" s="243"/>
      <c r="L26" s="243"/>
      <c r="M26" s="238" t="b">
        <v>0</v>
      </c>
      <c r="O26" s="239" t="s">
        <v>301</v>
      </c>
      <c r="P26" s="240"/>
      <c r="Q26" s="241" t="s">
        <v>302</v>
      </c>
    </row>
    <row r="27" ht="33.75" customHeight="1">
      <c r="B27" s="231">
        <v>22.0</v>
      </c>
      <c r="C27" s="234"/>
      <c r="D27" s="235"/>
      <c r="E27" s="236"/>
      <c r="F27" s="236"/>
      <c r="G27" s="236"/>
      <c r="H27" s="235"/>
      <c r="I27" s="236"/>
      <c r="J27" s="243"/>
      <c r="K27" s="237"/>
      <c r="L27" s="243"/>
      <c r="M27" s="238" t="b">
        <v>0</v>
      </c>
      <c r="O27" s="242"/>
    </row>
    <row r="28" ht="33.75" customHeight="1">
      <c r="B28" s="231">
        <v>23.0</v>
      </c>
      <c r="C28" s="234"/>
      <c r="D28" s="235"/>
      <c r="E28" s="236"/>
      <c r="F28" s="236"/>
      <c r="G28" s="236"/>
      <c r="H28" s="235"/>
      <c r="I28" s="236"/>
      <c r="J28" s="243"/>
      <c r="K28" s="243"/>
      <c r="L28" s="243"/>
      <c r="M28" s="238" t="b">
        <v>0</v>
      </c>
      <c r="O28" s="247"/>
      <c r="P28" s="240"/>
      <c r="Q28" s="241"/>
    </row>
    <row r="29" ht="33.75" customHeight="1">
      <c r="B29" s="231">
        <v>24.0</v>
      </c>
      <c r="C29" s="234"/>
      <c r="D29" s="235"/>
      <c r="E29" s="236"/>
      <c r="F29" s="236"/>
      <c r="G29" s="236"/>
      <c r="H29" s="235"/>
      <c r="I29" s="236"/>
      <c r="J29" s="243"/>
      <c r="K29" s="243"/>
      <c r="L29" s="243"/>
      <c r="M29" s="238" t="b">
        <v>0</v>
      </c>
      <c r="O29" s="242"/>
    </row>
    <row r="30" ht="33.75" customHeight="1">
      <c r="B30" s="231">
        <v>25.0</v>
      </c>
      <c r="C30" s="234"/>
      <c r="D30" s="235"/>
      <c r="E30" s="236"/>
      <c r="F30" s="236"/>
      <c r="G30" s="236"/>
      <c r="H30" s="235"/>
      <c r="I30" s="236"/>
      <c r="J30" s="243"/>
      <c r="K30" s="243"/>
      <c r="L30" s="243"/>
      <c r="M30" s="238" t="b">
        <v>0</v>
      </c>
      <c r="O30" s="239"/>
      <c r="P30" s="240"/>
      <c r="Q30" s="241"/>
    </row>
    <row r="31" ht="33.75" customHeight="1">
      <c r="B31" s="231">
        <v>26.0</v>
      </c>
      <c r="C31" s="234"/>
      <c r="D31" s="235"/>
      <c r="E31" s="236"/>
      <c r="F31" s="236"/>
      <c r="G31" s="236"/>
      <c r="H31" s="235"/>
      <c r="I31" s="236"/>
      <c r="J31" s="237"/>
      <c r="K31" s="243"/>
      <c r="L31" s="243"/>
      <c r="M31" s="238" t="b">
        <v>0</v>
      </c>
      <c r="O31" s="242"/>
    </row>
    <row r="32" ht="33.75" customHeight="1">
      <c r="B32" s="231">
        <v>27.0</v>
      </c>
      <c r="C32" s="234"/>
      <c r="D32" s="235"/>
      <c r="E32" s="236"/>
      <c r="F32" s="236"/>
      <c r="G32" s="235"/>
      <c r="H32" s="235"/>
      <c r="I32" s="235"/>
      <c r="J32" s="237"/>
      <c r="K32" s="237"/>
      <c r="L32" s="237"/>
      <c r="M32" s="238" t="b">
        <v>0</v>
      </c>
      <c r="O32" s="239"/>
      <c r="P32" s="240"/>
      <c r="Q32" s="241"/>
    </row>
    <row r="33" ht="33.75" customHeight="1">
      <c r="B33" s="231">
        <v>28.0</v>
      </c>
      <c r="C33" s="234"/>
      <c r="D33" s="235"/>
      <c r="E33" s="236"/>
      <c r="F33" s="236"/>
      <c r="G33" s="236"/>
      <c r="H33" s="235"/>
      <c r="I33" s="235"/>
      <c r="J33" s="237"/>
      <c r="K33" s="237"/>
      <c r="L33" s="237"/>
      <c r="M33" s="238" t="b">
        <v>0</v>
      </c>
      <c r="O33" s="242"/>
    </row>
    <row r="34" ht="33.75" customHeight="1">
      <c r="B34" s="231">
        <v>29.0</v>
      </c>
      <c r="C34" s="234"/>
      <c r="D34" s="235"/>
      <c r="E34" s="235"/>
      <c r="F34" s="235"/>
      <c r="G34" s="235"/>
      <c r="H34" s="235"/>
      <c r="I34" s="235"/>
      <c r="J34" s="237"/>
      <c r="K34" s="237"/>
      <c r="L34" s="237"/>
      <c r="M34" s="238" t="b">
        <v>0</v>
      </c>
      <c r="O34" s="239"/>
      <c r="P34" s="240"/>
      <c r="Q34" s="241"/>
    </row>
    <row r="35" ht="33.75" customHeight="1">
      <c r="B35" s="231">
        <v>30.0</v>
      </c>
      <c r="C35" s="234"/>
      <c r="D35" s="235"/>
      <c r="E35" s="236"/>
      <c r="F35" s="235"/>
      <c r="G35" s="236"/>
      <c r="H35" s="235"/>
      <c r="I35" s="235"/>
      <c r="J35" s="237"/>
      <c r="K35" s="237"/>
      <c r="L35" s="237"/>
      <c r="M35" s="238" t="b">
        <v>0</v>
      </c>
      <c r="O35" s="242"/>
    </row>
    <row r="36" ht="33.75" customHeight="1">
      <c r="B36" s="231">
        <v>31.0</v>
      </c>
      <c r="C36" s="234"/>
      <c r="D36" s="235"/>
      <c r="E36" s="235"/>
      <c r="F36" s="236"/>
      <c r="G36" s="235"/>
      <c r="H36" s="235"/>
      <c r="I36" s="235"/>
      <c r="J36" s="237"/>
      <c r="K36" s="237"/>
      <c r="L36" s="237"/>
      <c r="M36" s="238" t="b">
        <v>0</v>
      </c>
      <c r="O36" s="239"/>
      <c r="P36" s="240"/>
      <c r="Q36" s="241"/>
    </row>
    <row r="37" ht="33.75" customHeight="1">
      <c r="B37" s="231">
        <v>32.0</v>
      </c>
      <c r="C37" s="234"/>
      <c r="D37" s="235"/>
      <c r="E37" s="236"/>
      <c r="F37" s="236"/>
      <c r="G37" s="235"/>
      <c r="H37" s="235"/>
      <c r="I37" s="235"/>
      <c r="J37" s="237"/>
      <c r="K37" s="237"/>
      <c r="L37" s="237"/>
      <c r="M37" s="238" t="b">
        <v>0</v>
      </c>
      <c r="O37" s="242"/>
    </row>
    <row r="38" ht="33.75" customHeight="1">
      <c r="B38" s="231">
        <v>33.0</v>
      </c>
      <c r="C38" s="234"/>
      <c r="D38" s="235"/>
      <c r="E38" s="236"/>
      <c r="F38" s="236"/>
      <c r="G38" s="236"/>
      <c r="H38" s="235"/>
      <c r="I38" s="236"/>
      <c r="J38" s="243"/>
      <c r="K38" s="237"/>
      <c r="L38" s="237"/>
      <c r="M38" s="238" t="b">
        <v>0</v>
      </c>
      <c r="O38" s="239"/>
      <c r="P38" s="240"/>
      <c r="Q38" s="241"/>
    </row>
    <row r="39" ht="33.75" customHeight="1">
      <c r="B39" s="231">
        <v>34.0</v>
      </c>
      <c r="C39" s="234"/>
      <c r="D39" s="235"/>
      <c r="E39" s="236"/>
      <c r="F39" s="236"/>
      <c r="G39" s="235"/>
      <c r="H39" s="235"/>
      <c r="I39" s="235"/>
      <c r="J39" s="237"/>
      <c r="K39" s="237"/>
      <c r="L39" s="237"/>
      <c r="M39" s="238" t="b">
        <v>0</v>
      </c>
      <c r="O39" s="242"/>
    </row>
    <row r="40" ht="33.75" customHeight="1">
      <c r="B40" s="12"/>
      <c r="K40" s="145" t="s">
        <v>303</v>
      </c>
      <c r="L40" s="248">
        <f t="array" ref="L40">SUMPRODUCT(L6:L39,K6:K39)</f>
        <v>42.82</v>
      </c>
      <c r="O40" s="239"/>
      <c r="P40" s="240"/>
      <c r="Q40" s="241"/>
    </row>
    <row r="41" ht="33.75" customHeight="1">
      <c r="K41" s="145" t="s">
        <v>304</v>
      </c>
      <c r="L41" s="249">
        <f t="array" ref="L41">SUMPRODUCT(J6:J25,K6:K25)</f>
        <v>100000</v>
      </c>
      <c r="O41" s="242"/>
    </row>
    <row r="42" ht="33.75" customHeight="1">
      <c r="K42" s="145" t="s">
        <v>305</v>
      </c>
      <c r="L42" s="248">
        <f t="array" ref="L42">SUMPRODUCT(-(-(L6:L39)), -(-(M6:M39=TRUE)), K6:K39)</f>
        <v>8.14</v>
      </c>
      <c r="O42" s="239"/>
      <c r="P42" s="240"/>
      <c r="Q42" s="241"/>
    </row>
    <row r="43" ht="33.75" customHeight="1">
      <c r="B43" s="12"/>
      <c r="C43" s="230" t="s">
        <v>306</v>
      </c>
      <c r="M43" s="12"/>
      <c r="O43" s="242"/>
    </row>
    <row r="44" ht="33.75" customHeight="1">
      <c r="B44" s="231" t="s">
        <v>212</v>
      </c>
      <c r="C44" s="232" t="s">
        <v>0</v>
      </c>
      <c r="D44" s="99" t="s">
        <v>307</v>
      </c>
      <c r="E44" s="232" t="s">
        <v>308</v>
      </c>
      <c r="F44" s="233" t="s">
        <v>309</v>
      </c>
      <c r="G44" s="232" t="s">
        <v>310</v>
      </c>
      <c r="H44" s="232" t="s">
        <v>214</v>
      </c>
      <c r="I44" s="232" t="s">
        <v>311</v>
      </c>
      <c r="J44" s="232" t="s">
        <v>312</v>
      </c>
      <c r="K44" s="99" t="s">
        <v>313</v>
      </c>
      <c r="L44" s="232" t="s">
        <v>314</v>
      </c>
      <c r="O44" s="239"/>
      <c r="P44" s="240"/>
      <c r="Q44" s="241"/>
    </row>
    <row r="45" ht="33.75" customHeight="1">
      <c r="B45" s="231">
        <v>1.0</v>
      </c>
      <c r="C45" s="250"/>
      <c r="D45" s="251"/>
      <c r="E45" s="251"/>
      <c r="F45" s="251"/>
      <c r="G45" s="251"/>
      <c r="H45" s="251"/>
      <c r="I45" s="251"/>
      <c r="J45" s="251"/>
      <c r="K45" s="251"/>
      <c r="L45" s="251"/>
      <c r="O45" s="242"/>
    </row>
    <row r="46" ht="33.75" customHeight="1">
      <c r="B46" s="231">
        <v>2.0</v>
      </c>
      <c r="C46" s="250"/>
      <c r="D46" s="251"/>
      <c r="E46" s="251"/>
      <c r="F46" s="251"/>
      <c r="G46" s="251"/>
      <c r="H46" s="251"/>
      <c r="I46" s="251"/>
      <c r="J46" s="251"/>
      <c r="K46" s="251"/>
      <c r="L46" s="251"/>
      <c r="O46" s="239"/>
      <c r="P46" s="240"/>
      <c r="Q46" s="241"/>
    </row>
    <row r="47" ht="33.75" customHeight="1">
      <c r="B47" s="231">
        <v>3.0</v>
      </c>
      <c r="C47" s="250"/>
      <c r="D47" s="251"/>
      <c r="E47" s="251"/>
      <c r="F47" s="251"/>
      <c r="G47" s="251"/>
      <c r="H47" s="251"/>
      <c r="I47" s="251"/>
      <c r="J47" s="251"/>
      <c r="K47" s="251"/>
      <c r="L47" s="251"/>
      <c r="O47" s="242"/>
    </row>
    <row r="48" ht="33.75" customHeight="1">
      <c r="B48" s="231">
        <v>4.0</v>
      </c>
      <c r="C48" s="250"/>
      <c r="D48" s="252"/>
      <c r="E48" s="252"/>
      <c r="F48" s="252"/>
      <c r="G48" s="252"/>
      <c r="H48" s="252"/>
      <c r="I48" s="251"/>
      <c r="J48" s="251"/>
      <c r="K48" s="252"/>
      <c r="L48" s="252"/>
      <c r="O48" s="239"/>
      <c r="P48" s="240"/>
      <c r="Q48" s="241"/>
    </row>
    <row r="49" ht="33.75" customHeight="1">
      <c r="B49" s="231">
        <v>5.0</v>
      </c>
      <c r="C49" s="250"/>
      <c r="D49" s="251"/>
      <c r="E49" s="251"/>
      <c r="F49" s="251"/>
      <c r="G49" s="251"/>
      <c r="H49" s="251"/>
      <c r="I49" s="251"/>
      <c r="J49" s="251"/>
      <c r="K49" s="251"/>
      <c r="L49" s="251"/>
      <c r="O49" s="242"/>
    </row>
    <row r="50" ht="33.75" customHeight="1">
      <c r="B50" s="231">
        <v>6.0</v>
      </c>
      <c r="C50" s="250"/>
      <c r="D50" s="252"/>
      <c r="E50" s="252"/>
      <c r="F50" s="252"/>
      <c r="G50" s="252"/>
      <c r="H50" s="252"/>
      <c r="I50" s="251"/>
      <c r="J50" s="251"/>
      <c r="K50" s="252"/>
      <c r="L50" s="252"/>
      <c r="O50" s="239"/>
      <c r="P50" s="240"/>
      <c r="Q50" s="241"/>
    </row>
    <row r="51" ht="33.75" customHeight="1">
      <c r="B51" s="253">
        <v>7.0</v>
      </c>
      <c r="C51" s="250"/>
      <c r="D51" s="251"/>
      <c r="E51" s="251"/>
      <c r="F51" s="251"/>
      <c r="G51" s="251"/>
      <c r="H51" s="251"/>
      <c r="I51" s="251"/>
      <c r="J51" s="251"/>
      <c r="K51" s="251"/>
      <c r="L51" s="251"/>
      <c r="O51" s="242"/>
    </row>
    <row r="52" ht="33.75" customHeight="1">
      <c r="B52" s="253">
        <v>8.0</v>
      </c>
      <c r="C52" s="250"/>
      <c r="D52" s="251"/>
      <c r="E52" s="251"/>
      <c r="F52" s="251"/>
      <c r="G52" s="251"/>
      <c r="H52" s="251"/>
      <c r="I52" s="251"/>
      <c r="J52" s="251"/>
      <c r="K52" s="251"/>
      <c r="L52" s="251"/>
      <c r="O52" s="239"/>
      <c r="P52" s="240"/>
      <c r="Q52" s="241"/>
    </row>
    <row r="53" ht="33.75" customHeight="1">
      <c r="B53" s="253">
        <v>9.0</v>
      </c>
      <c r="C53" s="250"/>
      <c r="D53" s="252"/>
      <c r="E53" s="252"/>
      <c r="F53" s="252"/>
      <c r="G53" s="252"/>
      <c r="H53" s="252"/>
      <c r="I53" s="251"/>
      <c r="J53" s="251"/>
      <c r="K53" s="252"/>
      <c r="L53" s="252"/>
      <c r="O53" s="242"/>
    </row>
    <row r="54" ht="33.75" customHeight="1">
      <c r="B54" s="253">
        <v>10.0</v>
      </c>
      <c r="C54" s="250"/>
      <c r="D54" s="252"/>
      <c r="E54" s="252"/>
      <c r="F54" s="252"/>
      <c r="G54" s="252"/>
      <c r="H54" s="252"/>
      <c r="I54" s="251"/>
      <c r="J54" s="251"/>
      <c r="K54" s="252"/>
      <c r="L54" s="252"/>
      <c r="O54" s="239"/>
      <c r="P54" s="240"/>
      <c r="Q54" s="241"/>
    </row>
    <row r="55" ht="33.75" customHeight="1">
      <c r="B55" s="253">
        <v>11.0</v>
      </c>
      <c r="C55" s="250"/>
      <c r="D55" s="252"/>
      <c r="E55" s="252"/>
      <c r="F55" s="252"/>
      <c r="G55" s="252"/>
      <c r="H55" s="252"/>
      <c r="I55" s="251"/>
      <c r="J55" s="251"/>
      <c r="K55" s="252"/>
      <c r="L55" s="252"/>
      <c r="O55" s="242"/>
    </row>
    <row r="56" ht="33.75" customHeight="1">
      <c r="B56" s="253">
        <v>12.0</v>
      </c>
      <c r="C56" s="250"/>
      <c r="D56" s="252"/>
      <c r="E56" s="252"/>
      <c r="F56" s="252"/>
      <c r="G56" s="252"/>
      <c r="H56" s="252"/>
      <c r="I56" s="251"/>
      <c r="J56" s="251"/>
      <c r="K56" s="252"/>
      <c r="L56" s="252"/>
      <c r="O56" s="239"/>
      <c r="P56" s="240"/>
      <c r="Q56" s="241"/>
    </row>
    <row r="57" ht="33.75" customHeight="1">
      <c r="B57" s="253">
        <v>13.0</v>
      </c>
      <c r="C57" s="250"/>
      <c r="D57" s="252"/>
      <c r="E57" s="252"/>
      <c r="F57" s="252"/>
      <c r="G57" s="252"/>
      <c r="H57" s="252"/>
      <c r="I57" s="251"/>
      <c r="J57" s="251"/>
      <c r="K57" s="252"/>
      <c r="L57" s="252"/>
      <c r="O57" s="242"/>
    </row>
    <row r="58" ht="33.75" customHeight="1">
      <c r="B58" s="253">
        <v>14.0</v>
      </c>
      <c r="C58" s="250"/>
      <c r="D58" s="252"/>
      <c r="E58" s="252"/>
      <c r="F58" s="252"/>
      <c r="G58" s="252"/>
      <c r="H58" s="252"/>
      <c r="I58" s="251"/>
      <c r="J58" s="251"/>
      <c r="K58" s="252"/>
      <c r="L58" s="252"/>
      <c r="O58" s="239"/>
      <c r="P58" s="240"/>
      <c r="Q58" s="241"/>
    </row>
    <row r="59" ht="33.75" customHeight="1">
      <c r="B59" s="253">
        <v>15.0</v>
      </c>
      <c r="C59" s="250"/>
      <c r="D59" s="252"/>
      <c r="E59" s="252"/>
      <c r="F59" s="252"/>
      <c r="G59" s="252"/>
      <c r="H59" s="252"/>
      <c r="I59" s="251"/>
      <c r="J59" s="251"/>
      <c r="K59" s="252"/>
      <c r="L59" s="252"/>
      <c r="O59" s="242"/>
    </row>
    <row r="60" ht="33.75" customHeight="1">
      <c r="B60" s="253">
        <v>16.0</v>
      </c>
      <c r="C60" s="250"/>
      <c r="D60" s="252"/>
      <c r="E60" s="252"/>
      <c r="F60" s="252"/>
      <c r="G60" s="252"/>
      <c r="H60" s="252"/>
      <c r="I60" s="251"/>
      <c r="J60" s="251"/>
      <c r="K60" s="252"/>
      <c r="L60" s="252"/>
      <c r="O60" s="239"/>
      <c r="P60" s="240"/>
      <c r="Q60" s="241"/>
    </row>
    <row r="61" ht="33.75" customHeight="1">
      <c r="B61" s="253">
        <v>17.0</v>
      </c>
      <c r="C61" s="250"/>
      <c r="D61" s="252"/>
      <c r="E61" s="252"/>
      <c r="F61" s="252"/>
      <c r="G61" s="252"/>
      <c r="H61" s="252"/>
      <c r="I61" s="251"/>
      <c r="J61" s="251"/>
      <c r="K61" s="252"/>
      <c r="L61" s="252"/>
      <c r="O61" s="242"/>
    </row>
    <row r="62" ht="33.75" customHeight="1">
      <c r="B62" s="231">
        <v>18.0</v>
      </c>
      <c r="C62" s="250"/>
      <c r="D62" s="251"/>
      <c r="E62" s="251"/>
      <c r="F62" s="251"/>
      <c r="G62" s="251"/>
      <c r="H62" s="251"/>
      <c r="I62" s="251"/>
      <c r="J62" s="251"/>
      <c r="K62" s="251"/>
      <c r="L62" s="251"/>
      <c r="O62" s="239"/>
      <c r="P62" s="240"/>
      <c r="Q62" s="241"/>
    </row>
    <row r="63" ht="33.75" customHeight="1">
      <c r="B63" s="253">
        <v>19.0</v>
      </c>
      <c r="C63" s="250"/>
      <c r="D63" s="252"/>
      <c r="E63" s="252"/>
      <c r="F63" s="252"/>
      <c r="G63" s="252"/>
      <c r="H63" s="252"/>
      <c r="I63" s="251"/>
      <c r="J63" s="251"/>
      <c r="K63" s="252"/>
      <c r="L63" s="252"/>
      <c r="O63" s="242"/>
    </row>
    <row r="64" ht="33.75" customHeight="1">
      <c r="B64" s="231">
        <v>20.0</v>
      </c>
      <c r="C64" s="250"/>
      <c r="D64" s="251"/>
      <c r="E64" s="251"/>
      <c r="F64" s="251"/>
      <c r="G64" s="251"/>
      <c r="H64" s="251"/>
      <c r="I64" s="251"/>
      <c r="J64" s="251"/>
      <c r="K64" s="251"/>
      <c r="L64" s="251"/>
      <c r="O64" s="239"/>
      <c r="P64" s="240"/>
      <c r="Q64" s="241"/>
    </row>
    <row r="65" ht="33.75" customHeight="1">
      <c r="B65" s="253">
        <v>21.0</v>
      </c>
      <c r="C65" s="250"/>
      <c r="D65" s="252"/>
      <c r="E65" s="252"/>
      <c r="F65" s="252"/>
      <c r="G65" s="252"/>
      <c r="H65" s="252"/>
      <c r="I65" s="251"/>
      <c r="J65" s="251"/>
      <c r="K65" s="252"/>
      <c r="L65" s="252"/>
      <c r="O65" s="242"/>
    </row>
    <row r="66" ht="33.75" customHeight="1">
      <c r="B66" s="253">
        <v>22.0</v>
      </c>
      <c r="C66" s="250"/>
      <c r="D66" s="251"/>
      <c r="E66" s="251"/>
      <c r="F66" s="251"/>
      <c r="G66" s="251"/>
      <c r="H66" s="251"/>
      <c r="I66" s="251"/>
      <c r="J66" s="251"/>
      <c r="K66" s="251"/>
      <c r="L66" s="251"/>
      <c r="O66" s="239"/>
      <c r="P66" s="240"/>
      <c r="Q66" s="241"/>
    </row>
    <row r="67" ht="33.75" customHeight="1">
      <c r="B67" s="253">
        <v>23.0</v>
      </c>
      <c r="C67" s="250"/>
      <c r="D67" s="251"/>
      <c r="E67" s="251"/>
      <c r="F67" s="251"/>
      <c r="G67" s="251"/>
      <c r="H67" s="251"/>
      <c r="I67" s="251"/>
      <c r="J67" s="251"/>
      <c r="K67" s="251"/>
      <c r="L67" s="251"/>
      <c r="O67" s="242"/>
    </row>
    <row r="68" ht="33.75" customHeight="1">
      <c r="B68" s="253">
        <v>24.0</v>
      </c>
      <c r="C68" s="250"/>
      <c r="D68" s="251"/>
      <c r="E68" s="251"/>
      <c r="F68" s="251"/>
      <c r="G68" s="251"/>
      <c r="H68" s="251"/>
      <c r="I68" s="251"/>
      <c r="J68" s="251"/>
      <c r="K68" s="251"/>
      <c r="L68" s="251"/>
      <c r="O68" s="239"/>
      <c r="P68" s="240"/>
      <c r="Q68" s="241"/>
    </row>
    <row r="69" ht="33.75" customHeight="1">
      <c r="B69" s="253">
        <v>25.0</v>
      </c>
      <c r="C69" s="250"/>
      <c r="D69" s="251"/>
      <c r="E69" s="251"/>
      <c r="F69" s="251"/>
      <c r="G69" s="251"/>
      <c r="H69" s="251"/>
      <c r="I69" s="251"/>
      <c r="J69" s="251"/>
      <c r="K69" s="251"/>
      <c r="L69" s="251"/>
      <c r="O69" s="242"/>
    </row>
    <row r="70" ht="33.75" customHeight="1">
      <c r="B70" s="231">
        <v>26.0</v>
      </c>
      <c r="C70" s="250"/>
      <c r="D70" s="251"/>
      <c r="E70" s="251"/>
      <c r="F70" s="251"/>
      <c r="G70" s="251"/>
      <c r="H70" s="251"/>
      <c r="I70" s="251"/>
      <c r="J70" s="251"/>
      <c r="K70" s="251"/>
      <c r="L70" s="251"/>
      <c r="O70" s="239"/>
      <c r="P70" s="240"/>
      <c r="Q70" s="241"/>
    </row>
    <row r="71" ht="33.75" customHeight="1">
      <c r="B71" s="253">
        <v>27.0</v>
      </c>
      <c r="C71" s="250"/>
      <c r="D71" s="251"/>
      <c r="E71" s="251"/>
      <c r="F71" s="251"/>
      <c r="G71" s="251"/>
      <c r="H71" s="251"/>
      <c r="I71" s="251"/>
      <c r="J71" s="251"/>
      <c r="K71" s="251"/>
      <c r="L71" s="251"/>
      <c r="O71" s="242"/>
    </row>
    <row r="72" ht="33.75" customHeight="1">
      <c r="B72" s="253">
        <v>28.0</v>
      </c>
      <c r="C72" s="250"/>
      <c r="D72" s="251"/>
      <c r="E72" s="251"/>
      <c r="F72" s="251"/>
      <c r="G72" s="251"/>
      <c r="H72" s="251"/>
      <c r="I72" s="251"/>
      <c r="J72" s="251"/>
      <c r="K72" s="251"/>
      <c r="L72" s="251"/>
      <c r="O72" s="239"/>
      <c r="P72" s="240"/>
      <c r="Q72" s="241"/>
    </row>
    <row r="73" ht="33.75" customHeight="1">
      <c r="B73" s="253">
        <v>29.0</v>
      </c>
      <c r="C73" s="250"/>
      <c r="D73" s="251"/>
      <c r="E73" s="251"/>
      <c r="F73" s="251"/>
      <c r="G73" s="251"/>
      <c r="H73" s="251"/>
      <c r="I73" s="251"/>
      <c r="J73" s="251"/>
      <c r="K73" s="251"/>
      <c r="L73" s="251"/>
      <c r="O73" s="242"/>
    </row>
    <row r="74" ht="33.75" customHeight="1">
      <c r="B74" s="12"/>
      <c r="C74" s="230" t="s">
        <v>315</v>
      </c>
      <c r="O74" s="239"/>
      <c r="P74" s="240"/>
      <c r="Q74" s="241"/>
    </row>
    <row r="75" ht="33.75" customHeight="1">
      <c r="B75" s="12"/>
      <c r="C75" s="232" t="s">
        <v>0</v>
      </c>
      <c r="D75" s="99" t="s">
        <v>307</v>
      </c>
      <c r="E75" s="232" t="s">
        <v>308</v>
      </c>
      <c r="F75" s="233" t="s">
        <v>309</v>
      </c>
      <c r="G75" s="232" t="s">
        <v>310</v>
      </c>
      <c r="H75" s="232" t="s">
        <v>214</v>
      </c>
      <c r="I75" s="232" t="s">
        <v>311</v>
      </c>
      <c r="J75" s="99" t="s">
        <v>316</v>
      </c>
      <c r="K75" s="99" t="s">
        <v>313</v>
      </c>
      <c r="L75" s="232" t="s">
        <v>314</v>
      </c>
      <c r="O75" s="242"/>
    </row>
    <row r="76" ht="33.75" customHeight="1">
      <c r="B76" s="12"/>
      <c r="C76" s="254"/>
      <c r="D76" s="211"/>
      <c r="E76" s="211"/>
      <c r="F76" s="211"/>
      <c r="G76" s="211"/>
      <c r="H76" s="211"/>
      <c r="I76" s="211"/>
      <c r="J76" s="211"/>
      <c r="K76" s="211"/>
      <c r="L76" s="211"/>
      <c r="O76" s="239"/>
      <c r="P76" s="240"/>
      <c r="Q76" s="241"/>
    </row>
    <row r="77" ht="33.75" customHeight="1">
      <c r="B77" s="12"/>
      <c r="C77" s="254"/>
      <c r="D77" s="211"/>
      <c r="E77" s="211"/>
      <c r="F77" s="211"/>
      <c r="G77" s="211"/>
      <c r="H77" s="211"/>
      <c r="I77" s="211"/>
      <c r="J77" s="211"/>
      <c r="K77" s="211"/>
      <c r="L77" s="211"/>
      <c r="O77" s="242"/>
    </row>
    <row r="78" ht="33.75" customHeight="1">
      <c r="B78" s="12"/>
      <c r="C78" s="230" t="s">
        <v>317</v>
      </c>
      <c r="O78" s="239"/>
      <c r="P78" s="240"/>
      <c r="Q78" s="241"/>
    </row>
    <row r="79" ht="33.75" customHeight="1">
      <c r="B79" s="12"/>
      <c r="C79" s="230"/>
      <c r="O79" s="242"/>
    </row>
    <row r="80" ht="33.75" customHeight="1">
      <c r="B80" s="12"/>
      <c r="C80" s="255" t="s">
        <v>318</v>
      </c>
      <c r="E80" s="232"/>
      <c r="F80" s="233"/>
      <c r="G80" s="255" t="s">
        <v>319</v>
      </c>
      <c r="I80" s="232"/>
      <c r="J80" s="145" t="s">
        <v>320</v>
      </c>
      <c r="O80" s="239"/>
      <c r="P80" s="240"/>
      <c r="Q80" s="241"/>
    </row>
    <row r="81" ht="33.75" customHeight="1">
      <c r="B81" s="231" t="s">
        <v>321</v>
      </c>
      <c r="C81" s="256" t="s">
        <v>322</v>
      </c>
      <c r="E81" s="74"/>
      <c r="F81" s="257"/>
      <c r="G81" s="258" t="s">
        <v>323</v>
      </c>
      <c r="I81" s="257"/>
      <c r="J81" s="258"/>
      <c r="O81" s="242"/>
    </row>
    <row r="82" ht="33.75" customHeight="1">
      <c r="B82" s="231"/>
      <c r="C82" s="256" t="s">
        <v>324</v>
      </c>
      <c r="G82" s="258" t="s">
        <v>325</v>
      </c>
      <c r="J82" s="258"/>
      <c r="O82" s="239"/>
      <c r="P82" s="240"/>
      <c r="Q82" s="241"/>
    </row>
    <row r="83" ht="33.75" customHeight="1">
      <c r="B83" s="231"/>
      <c r="C83" s="256" t="s">
        <v>326</v>
      </c>
      <c r="G83" s="258" t="s">
        <v>327</v>
      </c>
      <c r="J83" s="258"/>
      <c r="O83" s="242"/>
    </row>
    <row r="84" ht="33.75" customHeight="1">
      <c r="B84" s="231"/>
      <c r="C84" s="256" t="s">
        <v>328</v>
      </c>
      <c r="G84" s="258"/>
      <c r="J84" s="258"/>
      <c r="O84" s="239"/>
      <c r="P84" s="240"/>
      <c r="Q84" s="241"/>
    </row>
    <row r="85" ht="33.75" customHeight="1">
      <c r="B85" s="231"/>
      <c r="C85" s="256" t="s">
        <v>329</v>
      </c>
      <c r="G85" s="258"/>
      <c r="J85" s="258"/>
      <c r="O85" s="242"/>
    </row>
    <row r="86" ht="33.75" customHeight="1">
      <c r="B86" s="231"/>
      <c r="C86" s="256" t="s">
        <v>330</v>
      </c>
      <c r="G86" s="258"/>
      <c r="J86" s="258"/>
      <c r="O86" s="239"/>
      <c r="P86" s="240"/>
      <c r="Q86" s="241"/>
    </row>
    <row r="87" ht="33.75" customHeight="1">
      <c r="B87" s="231"/>
      <c r="C87" s="256"/>
      <c r="F87" s="257" t="s">
        <v>331</v>
      </c>
      <c r="O87" s="242"/>
    </row>
    <row r="88" ht="33.75" customHeight="1">
      <c r="B88" s="231"/>
      <c r="C88" s="256"/>
      <c r="F88" s="259"/>
      <c r="O88" s="239"/>
      <c r="P88" s="240"/>
      <c r="Q88" s="241"/>
    </row>
    <row r="89" ht="33.75" customHeight="1">
      <c r="B89" s="231"/>
      <c r="C89" s="256"/>
      <c r="O89" s="242"/>
    </row>
    <row r="90" ht="33.75" customHeight="1">
      <c r="B90" s="231"/>
      <c r="C90" s="256"/>
      <c r="O90" s="239"/>
      <c r="P90" s="240"/>
      <c r="Q90" s="241"/>
    </row>
    <row r="91" ht="33.75" customHeight="1">
      <c r="B91" s="231"/>
      <c r="C91" s="256"/>
      <c r="O91" s="242"/>
    </row>
    <row r="92" ht="33.75" customHeight="1">
      <c r="B92" s="231"/>
      <c r="C92" s="256"/>
      <c r="O92" s="260"/>
      <c r="P92" s="261"/>
      <c r="Q92" s="262"/>
    </row>
    <row r="93" ht="33.75" customHeight="1">
      <c r="B93" s="231"/>
      <c r="C93" s="256"/>
      <c r="O93" s="242"/>
    </row>
    <row r="94">
      <c r="B94" s="12"/>
      <c r="C94" s="12"/>
    </row>
  </sheetData>
  <mergeCells count="184">
    <mergeCell ref="P62:P63"/>
    <mergeCell ref="O62:O63"/>
    <mergeCell ref="P38:P39"/>
    <mergeCell ref="P68:P69"/>
    <mergeCell ref="P66:P67"/>
    <mergeCell ref="O60:O61"/>
    <mergeCell ref="P60:P61"/>
    <mergeCell ref="O66:O67"/>
    <mergeCell ref="O68:O69"/>
    <mergeCell ref="O80:O81"/>
    <mergeCell ref="O78:O79"/>
    <mergeCell ref="O20:O21"/>
    <mergeCell ref="O18:O19"/>
    <mergeCell ref="O12:O13"/>
    <mergeCell ref="O22:O23"/>
    <mergeCell ref="O16:O17"/>
    <mergeCell ref="O14:O15"/>
    <mergeCell ref="N1:N93"/>
    <mergeCell ref="M43:M93"/>
    <mergeCell ref="O6:O7"/>
    <mergeCell ref="P26:P27"/>
    <mergeCell ref="O24:O25"/>
    <mergeCell ref="P8:P9"/>
    <mergeCell ref="P6:P7"/>
    <mergeCell ref="P10:P11"/>
    <mergeCell ref="P24:P25"/>
    <mergeCell ref="P12:P13"/>
    <mergeCell ref="P22:P23"/>
    <mergeCell ref="P20:P21"/>
    <mergeCell ref="P14:P15"/>
    <mergeCell ref="P64:P65"/>
    <mergeCell ref="O64:O65"/>
    <mergeCell ref="O72:O73"/>
    <mergeCell ref="O70:O71"/>
    <mergeCell ref="P70:P71"/>
    <mergeCell ref="P74:P75"/>
    <mergeCell ref="P76:P77"/>
    <mergeCell ref="P72:P73"/>
    <mergeCell ref="O76:O77"/>
    <mergeCell ref="O74:O75"/>
    <mergeCell ref="P16:P17"/>
    <mergeCell ref="P18:P19"/>
    <mergeCell ref="O32:O33"/>
    <mergeCell ref="P32:P33"/>
    <mergeCell ref="P30:P31"/>
    <mergeCell ref="P28:P29"/>
    <mergeCell ref="P34:P35"/>
    <mergeCell ref="P36:P37"/>
    <mergeCell ref="O10:O11"/>
    <mergeCell ref="C84:D84"/>
    <mergeCell ref="C86:D86"/>
    <mergeCell ref="C85:D85"/>
    <mergeCell ref="A1:A94"/>
    <mergeCell ref="C82:D82"/>
    <mergeCell ref="G83:H83"/>
    <mergeCell ref="G86:H86"/>
    <mergeCell ref="G81:H81"/>
    <mergeCell ref="G82:H82"/>
    <mergeCell ref="G85:H85"/>
    <mergeCell ref="F81:F86"/>
    <mergeCell ref="E81:E93"/>
    <mergeCell ref="C88:D88"/>
    <mergeCell ref="C89:D89"/>
    <mergeCell ref="C83:D83"/>
    <mergeCell ref="C93:D93"/>
    <mergeCell ref="C92:D92"/>
    <mergeCell ref="C87:D87"/>
    <mergeCell ref="C81:D81"/>
    <mergeCell ref="J83:L83"/>
    <mergeCell ref="J82:L82"/>
    <mergeCell ref="P84:P85"/>
    <mergeCell ref="O84:O85"/>
    <mergeCell ref="O86:O87"/>
    <mergeCell ref="I81:I86"/>
    <mergeCell ref="J84:L84"/>
    <mergeCell ref="O82:O83"/>
    <mergeCell ref="J81:L81"/>
    <mergeCell ref="J86:L86"/>
    <mergeCell ref="O34:O35"/>
    <mergeCell ref="O30:O31"/>
    <mergeCell ref="O26:O27"/>
    <mergeCell ref="O28:O29"/>
    <mergeCell ref="O40:O41"/>
    <mergeCell ref="O38:O39"/>
    <mergeCell ref="O36:O37"/>
    <mergeCell ref="O8:O9"/>
    <mergeCell ref="O56:O57"/>
    <mergeCell ref="O58:O59"/>
    <mergeCell ref="P40:P41"/>
    <mergeCell ref="P42:P43"/>
    <mergeCell ref="P44:P45"/>
    <mergeCell ref="P46:P47"/>
    <mergeCell ref="P50:P51"/>
    <mergeCell ref="P52:P53"/>
    <mergeCell ref="P48:P49"/>
    <mergeCell ref="C2:L3"/>
    <mergeCell ref="B1:B4"/>
    <mergeCell ref="C4:M4"/>
    <mergeCell ref="C1:M1"/>
    <mergeCell ref="O1:S1"/>
    <mergeCell ref="O2:S5"/>
    <mergeCell ref="C43:L43"/>
    <mergeCell ref="B40:J42"/>
    <mergeCell ref="L42:M42"/>
    <mergeCell ref="L40:M40"/>
    <mergeCell ref="L41:M41"/>
    <mergeCell ref="O42:O43"/>
    <mergeCell ref="O44:O45"/>
    <mergeCell ref="O52:O53"/>
    <mergeCell ref="O50:O51"/>
    <mergeCell ref="O54:O55"/>
    <mergeCell ref="O48:O49"/>
    <mergeCell ref="O46:O47"/>
    <mergeCell ref="Q12:S13"/>
    <mergeCell ref="Q10:S11"/>
    <mergeCell ref="Q8:S9"/>
    <mergeCell ref="Q6:S7"/>
    <mergeCell ref="P54:P55"/>
    <mergeCell ref="P56:P57"/>
    <mergeCell ref="Q54:S55"/>
    <mergeCell ref="Q56:S57"/>
    <mergeCell ref="Q44:S45"/>
    <mergeCell ref="Q58:S59"/>
    <mergeCell ref="P58:P59"/>
    <mergeCell ref="P90:P91"/>
    <mergeCell ref="Q90:S91"/>
    <mergeCell ref="C90:D90"/>
    <mergeCell ref="C91:D91"/>
    <mergeCell ref="C94:S94"/>
    <mergeCell ref="O92:O93"/>
    <mergeCell ref="P92:P93"/>
    <mergeCell ref="Q92:S93"/>
    <mergeCell ref="F88:L93"/>
    <mergeCell ref="Q88:S89"/>
    <mergeCell ref="Q86:S87"/>
    <mergeCell ref="J85:L85"/>
    <mergeCell ref="F87:L87"/>
    <mergeCell ref="Q80:S81"/>
    <mergeCell ref="Q82:S83"/>
    <mergeCell ref="P82:P83"/>
    <mergeCell ref="P80:P81"/>
    <mergeCell ref="P86:P87"/>
    <mergeCell ref="P88:P89"/>
    <mergeCell ref="Q84:S85"/>
    <mergeCell ref="G84:H84"/>
    <mergeCell ref="G80:H80"/>
    <mergeCell ref="J80:L80"/>
    <mergeCell ref="C80:D80"/>
    <mergeCell ref="P78:P79"/>
    <mergeCell ref="Q78:S79"/>
    <mergeCell ref="C78:L78"/>
    <mergeCell ref="C74:L74"/>
    <mergeCell ref="Q76:S77"/>
    <mergeCell ref="Q74:S75"/>
    <mergeCell ref="C79:L79"/>
    <mergeCell ref="O88:O89"/>
    <mergeCell ref="O90:O91"/>
    <mergeCell ref="Q52:S53"/>
    <mergeCell ref="Q62:S63"/>
    <mergeCell ref="Q60:S61"/>
    <mergeCell ref="Q50:S51"/>
    <mergeCell ref="Q14:S15"/>
    <mergeCell ref="Q34:S35"/>
    <mergeCell ref="Q38:S39"/>
    <mergeCell ref="Q36:S37"/>
    <mergeCell ref="T1:T94"/>
    <mergeCell ref="Q20:S21"/>
    <mergeCell ref="Q70:S71"/>
    <mergeCell ref="Q32:S33"/>
    <mergeCell ref="Q26:S27"/>
    <mergeCell ref="Q30:S31"/>
    <mergeCell ref="Q28:S29"/>
    <mergeCell ref="Q22:S23"/>
    <mergeCell ref="Q24:S25"/>
    <mergeCell ref="Q16:S17"/>
    <mergeCell ref="Q18:S19"/>
    <mergeCell ref="Q64:S65"/>
    <mergeCell ref="Q66:S67"/>
    <mergeCell ref="Q48:S49"/>
    <mergeCell ref="Q46:S47"/>
    <mergeCell ref="Q40:S41"/>
    <mergeCell ref="Q42:S43"/>
    <mergeCell ref="Q72:S73"/>
    <mergeCell ref="Q68:S69"/>
  </mergeCells>
  <conditionalFormatting sqref="C6:C39">
    <cfRule type="expression" dxfId="19" priority="1">
      <formula>H6="Noble"</formula>
    </cfRule>
  </conditionalFormatting>
  <conditionalFormatting sqref="C6:C39">
    <cfRule type="expression" dxfId="20" priority="2">
      <formula>H6="Mythical"</formula>
    </cfRule>
  </conditionalFormatting>
  <conditionalFormatting sqref="C6:C39">
    <cfRule type="expression" dxfId="21" priority="3">
      <formula>H6="Improvised"</formula>
    </cfRule>
  </conditionalFormatting>
  <conditionalFormatting sqref="C6:C39">
    <cfRule type="expression" dxfId="22" priority="4">
      <formula>H6="Poor"</formula>
    </cfRule>
  </conditionalFormatting>
  <conditionalFormatting sqref="C6:C39">
    <cfRule type="expression" dxfId="23" priority="5">
      <formula>H6="Superior"</formula>
    </cfRule>
  </conditionalFormatting>
  <conditionalFormatting sqref="D6:M39">
    <cfRule type="expression" dxfId="24" priority="6">
      <formula>ISEVEN(ROW())</formula>
    </cfRule>
  </conditionalFormatting>
  <conditionalFormatting sqref="O6:S93">
    <cfRule type="expression" dxfId="24" priority="7">
      <formula>MOD(ROW(),4)=0</formula>
    </cfRule>
  </conditionalFormatting>
  <conditionalFormatting sqref="C45:L73 C81:L93">
    <cfRule type="expression" dxfId="24" priority="8">
      <formula>ISEVEN(ROW())</formula>
    </cfRule>
  </conditionalFormatting>
  <conditionalFormatting sqref="C76:L77">
    <cfRule type="expression" dxfId="24" priority="9">
      <formula>ISEVEN(ROW())</formula>
    </cfRule>
  </conditionalFormatting>
  <dataValidations>
    <dataValidation type="list" allowBlank="1" showErrorMessage="1" sqref="P6 P8 P10 P12 P14 P16 P18 P20 P22 P24 P26 P28 P30 P32 P34 P36 P38 P40 P42 P44 P46 P48 P50 P52 P54 P56 P58 P60 P62 P64 P66 P68 P70 P72 P74 P76 P78 P80 P82 P84 P86 P88 P90 P92">
      <formula1>",Level I,Level II,Level III,Level IV,Level V"</formula1>
    </dataValidation>
    <dataValidation type="list" allowBlank="1" showErrorMessage="1" sqref="H6:H39">
      <formula1>"Improvised,Poor,Munitions,Superior,Noble,Mythical"</formula1>
    </dataValidation>
    <dataValidation type="list" allowBlank="1" showErrorMessage="1" sqref="D6:D39">
      <formula1>"Clothing,Light Armor,Heavy Armor,Small Shield,Medium Shield,Large Shield,Great Shield,Firearm,Bow,Sword,Great Weapon,Polearm,Knife,Exotic Weapon,Throwing Weapon,Small Container,Medium Container,Large Container,Huge Container,Wealth,Other"</formula1>
    </dataValidation>
  </dataValidations>
  <drawing r:id="rId1"/>
</worksheet>
</file>