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Inventory" sheetId="2" r:id="rId5"/>
  </sheets>
  <definedNames>
    <definedName name="Torso1">Main!$V$8:$AD$9</definedName>
    <definedName name="FOCUSREGEN">Main!$E$17</definedName>
    <definedName name="ARMORTYPE1">#REF!</definedName>
    <definedName name="WEIGHT">Inventory!$L$40:$M$40</definedName>
    <definedName name="Head">Main!$M$3:$O$4</definedName>
    <definedName name="CRITICAL">Main!$F$19</definedName>
    <definedName name="RightUpperLeg2">#REF!</definedName>
    <definedName name="APTMOD">Main!$C$18</definedName>
    <definedName name="RightLowerLeg">Main!$M$18</definedName>
    <definedName name="INT">Main!$D$13</definedName>
    <definedName name="FOCUS">Main!$G$14:$G$15</definedName>
    <definedName name="FIRE">Main!$Q$4</definedName>
    <definedName name="LeftUpperLeg3">#REF!</definedName>
    <definedName name="REGENMOD">Main!$I$11</definedName>
    <definedName name="AGE">Main!$C$7</definedName>
    <definedName name="LIFESPAN">Main!$E$7</definedName>
    <definedName name="ELECTRICITY3">#REF!</definedName>
    <definedName name="FIRE1">Main!$AF$4</definedName>
    <definedName name="RightLowerArm3">#REF!</definedName>
    <definedName name="DMGAMOUNT">Main!$I$18</definedName>
    <definedName name="LeftUpperArm1">Main!$AF$8</definedName>
    <definedName name="LeftLowerArm">Main!$Q$11</definedName>
    <definedName name="Torso">Main!$M$8:$O$9</definedName>
    <definedName name="LeftLowerArm1">Main!$AF$11</definedName>
    <definedName name="RightUpperLeg">Main!$M$13:$M$14</definedName>
    <definedName name="FIRE2">#REF!</definedName>
    <definedName name="RightUpperArm2">Main!$AK$8</definedName>
    <definedName name="LeftUpperArm">Main!$Q$8</definedName>
    <definedName name="LeftLowerLeg">Main!$O$18</definedName>
    <definedName name="REGEN">Main!$E$17</definedName>
    <definedName name="LeftLowerLeg1">Main!$AD$18</definedName>
    <definedName name="CON">Main!$D$12</definedName>
    <definedName name="RightLowerArm1">#REF!</definedName>
    <definedName name="ELECTRICITY">Main!$Q$5</definedName>
    <definedName name="ACID1">Main!$AF$6</definedName>
    <definedName name="LeftUpperLeg1">Main!$AD$13:$AD$14</definedName>
    <definedName name="ARMORTYPE3">#REF!</definedName>
    <definedName name="Torso2">#REF!</definedName>
    <definedName name="RightUpperLeg3">#REF!</definedName>
    <definedName name="LeftLowerLeg3">#REF!</definedName>
    <definedName name="RightLowerLeg1">Main!$V$18</definedName>
    <definedName name="CHA">Main!$D$15</definedName>
    <definedName name="LeftUpperLeg2">#REF!</definedName>
    <definedName name="ELECTRICITY2">#REF!</definedName>
    <definedName name="ACID3">#REF!</definedName>
    <definedName name="RightLowerArm2">Main!$AK$11</definedName>
    <definedName name="DMGTYPE">Main!$G$18</definedName>
    <definedName name="RightLowerLeg2">#REF!</definedName>
    <definedName name="Head3">#REF!</definedName>
    <definedName name="RightUpperArm3">#REF!</definedName>
    <definedName name="REFLEXES">Main!$C$17</definedName>
    <definedName name="FOCUSMOD">Main!$G$11</definedName>
    <definedName name="DEX">Main!$D$11</definedName>
    <definedName name="LeftLowerArm3">#REF!</definedName>
    <definedName name="Head2">#REF!</definedName>
    <definedName name="WIS">Main!$D$14</definedName>
    <definedName name="ARMORTYPE2">Main!$AK$5</definedName>
    <definedName name="LeftUpperArm2">#REF!</definedName>
    <definedName name="SPEEDMOD">Main!$C$19</definedName>
    <definedName name="RightUpperLeg1">Main!$V$13:$V$14</definedName>
    <definedName name="Head1">Main!$V$3:$AD$4</definedName>
    <definedName name="BEAUTY">Main!$H$7</definedName>
    <definedName name="Torso3">#REF!</definedName>
    <definedName name="ACID">Main!$Q$6</definedName>
    <definedName name="RightUpperArm1">#REF!</definedName>
    <definedName name="LeftUpperArm3">#REF!</definedName>
    <definedName name="STRESS">Main!$G$16:$H$16</definedName>
    <definedName name="RightUpperArm">Main!$K$8</definedName>
    <definedName name="FIRE3">#REF!</definedName>
    <definedName name="ELECTRICITY1">Main!$AF$5</definedName>
    <definedName name="ACID2">#REF!</definedName>
    <definedName name="MAXFOCUS">Main!$G$13:$H$13</definedName>
    <definedName name="RESISTMOD">Main!$H$10</definedName>
    <definedName name="STR">Main!$D$10</definedName>
    <definedName name="RightLowerLeg3">#REF!</definedName>
    <definedName name="LeftLowerArm2">#REF!</definedName>
    <definedName name="WOUNDED">Main!$I$14</definedName>
    <definedName name="WOUNDS">Main!$H$14:$H$15</definedName>
    <definedName name="LeftUpperLeg">Main!$O$13:$O$14</definedName>
    <definedName name="TARGET">Main!$H$18</definedName>
    <definedName name="LeftLowerLeg2">#REF!</definedName>
    <definedName name="RightLowerArm">Main!$K$11</definedName>
    <definedName name="STRAIN">Main!$G$16:$H$16</definedName>
  </definedNames>
  <calcPr/>
</workbook>
</file>

<file path=xl/sharedStrings.xml><?xml version="1.0" encoding="utf-8"?>
<sst xmlns="http://schemas.openxmlformats.org/spreadsheetml/2006/main" count="511" uniqueCount="236">
  <si>
    <t>Name</t>
  </si>
  <si>
    <t>Eve Calius</t>
  </si>
  <si>
    <t>Sex</t>
  </si>
  <si>
    <t>Female</t>
  </si>
  <si>
    <t>Weight</t>
  </si>
  <si>
    <t>KV</t>
  </si>
  <si>
    <t>Race</t>
  </si>
  <si>
    <t>Neo-Human</t>
  </si>
  <si>
    <t>Home</t>
  </si>
  <si>
    <t>Kether</t>
  </si>
  <si>
    <t>Height</t>
  </si>
  <si>
    <t>5'3"</t>
  </si>
  <si>
    <t>Undamaged</t>
  </si>
  <si>
    <t>Elemental Resistances</t>
  </si>
  <si>
    <t>Hard</t>
  </si>
  <si>
    <t>Destroyed</t>
  </si>
  <si>
    <t>Value</t>
  </si>
  <si>
    <t>Hair</t>
  </si>
  <si>
    <t>Black</t>
  </si>
  <si>
    <t>Eyes</t>
  </si>
  <si>
    <t>Lilac/Teal</t>
  </si>
  <si>
    <t>Karma</t>
  </si>
  <si>
    <t>Birth Month</t>
  </si>
  <si>
    <t>9th</t>
  </si>
  <si>
    <t>Age</t>
  </si>
  <si>
    <t>Life Span</t>
  </si>
  <si>
    <t>Immortal</t>
  </si>
  <si>
    <t>Beauty</t>
  </si>
  <si>
    <t>H</t>
  </si>
  <si>
    <t>D0</t>
  </si>
  <si>
    <t>Attributes</t>
  </si>
  <si>
    <t>Save Mod</t>
  </si>
  <si>
    <t>Save DR</t>
  </si>
  <si>
    <t>Focus Mod</t>
  </si>
  <si>
    <t>Resist Mod</t>
  </si>
  <si>
    <t>Regen Mod</t>
  </si>
  <si>
    <t>STR</t>
  </si>
  <si>
    <t xml:space="preserve"> </t>
  </si>
  <si>
    <t>DEX</t>
  </si>
  <si>
    <t>Focus</t>
  </si>
  <si>
    <t>CON</t>
  </si>
  <si>
    <t>Distressed</t>
  </si>
  <si>
    <t>INT</t>
  </si>
  <si>
    <t>Wounded</t>
  </si>
  <si>
    <t>WIS</t>
  </si>
  <si>
    <t>Unconscious</t>
  </si>
  <si>
    <t>CHA</t>
  </si>
  <si>
    <t>Dead</t>
  </si>
  <si>
    <t>Strain</t>
  </si>
  <si>
    <t>Reflexes</t>
  </si>
  <si>
    <t>None</t>
  </si>
  <si>
    <t>Focus Regen</t>
  </si>
  <si>
    <t>Combat Notes</t>
  </si>
  <si>
    <t>APT Mod</t>
  </si>
  <si>
    <t>APT</t>
  </si>
  <si>
    <t>Speed Mod</t>
  </si>
  <si>
    <t>Speed</t>
  </si>
  <si>
    <t>Unarmed Mod</t>
  </si>
  <si>
    <t>Unarmed DMG</t>
  </si>
  <si>
    <t>Weapons &amp; Tools</t>
  </si>
  <si>
    <t>Condition</t>
  </si>
  <si>
    <t>Resists</t>
  </si>
  <si>
    <t>B</t>
  </si>
  <si>
    <t>P</t>
  </si>
  <si>
    <t>S</t>
  </si>
  <si>
    <t>F</t>
  </si>
  <si>
    <t>E</t>
  </si>
  <si>
    <t>A</t>
  </si>
  <si>
    <t>Tech Level</t>
  </si>
  <si>
    <t>Left Hand</t>
  </si>
  <si>
    <t>5 - Transcendent</t>
  </si>
  <si>
    <t>Right Hand</t>
  </si>
  <si>
    <t>Skills</t>
  </si>
  <si>
    <t>Skill Level</t>
  </si>
  <si>
    <t>Governing Attributes</t>
  </si>
  <si>
    <t>Expertise</t>
  </si>
  <si>
    <t>Mods</t>
  </si>
  <si>
    <t>Skill Check</t>
  </si>
  <si>
    <t>Total Mods</t>
  </si>
  <si>
    <t>Failed</t>
  </si>
  <si>
    <t>Athletics</t>
  </si>
  <si>
    <t>Balance</t>
  </si>
  <si>
    <t>DEX
CON</t>
  </si>
  <si>
    <t>NO</t>
  </si>
  <si>
    <t>Swim</t>
  </si>
  <si>
    <t>STR
CON</t>
  </si>
  <si>
    <t>Jump</t>
  </si>
  <si>
    <t>STR
DEX</t>
  </si>
  <si>
    <t>Sneak</t>
  </si>
  <si>
    <t>DEX
WIS</t>
  </si>
  <si>
    <t>Sleight of Hand</t>
  </si>
  <si>
    <t>Climb</t>
  </si>
  <si>
    <t>STR DEX
CON</t>
  </si>
  <si>
    <t>Acrobatics</t>
  </si>
  <si>
    <t>STR  DEX
WIS</t>
  </si>
  <si>
    <t>Social Skills</t>
  </si>
  <si>
    <t>Seduction</t>
  </si>
  <si>
    <t>CHA
WIS</t>
  </si>
  <si>
    <t>Intimidation</t>
  </si>
  <si>
    <t>STR
CHA</t>
  </si>
  <si>
    <t>Negotiation</t>
  </si>
  <si>
    <t>CHA
INT</t>
  </si>
  <si>
    <t>Deception</t>
  </si>
  <si>
    <t>Martial Arts</t>
  </si>
  <si>
    <t>Knives</t>
  </si>
  <si>
    <t>Polearms</t>
  </si>
  <si>
    <t>Swordsmanship</t>
  </si>
  <si>
    <t>Firearms</t>
  </si>
  <si>
    <t>Exotic Weapons</t>
  </si>
  <si>
    <t>DEX INT
WIS</t>
  </si>
  <si>
    <t>Great Weapons</t>
  </si>
  <si>
    <t>Throwing</t>
  </si>
  <si>
    <t>STR DEX
WIS</t>
  </si>
  <si>
    <t>Archery</t>
  </si>
  <si>
    <t>Unarmed Combat</t>
  </si>
  <si>
    <t>STR  DEX
CON</t>
  </si>
  <si>
    <t>Performing Arts</t>
  </si>
  <si>
    <t>Sing</t>
  </si>
  <si>
    <t>Music</t>
  </si>
  <si>
    <t>Drama</t>
  </si>
  <si>
    <t>DEX CHA
WIS</t>
  </si>
  <si>
    <t>Dance</t>
  </si>
  <si>
    <t xml:space="preserve">STR  DEX
CHA </t>
  </si>
  <si>
    <t>Visual Arts</t>
  </si>
  <si>
    <t>Sculpt</t>
  </si>
  <si>
    <t>Paint</t>
  </si>
  <si>
    <t>Draw</t>
  </si>
  <si>
    <t>Literature</t>
  </si>
  <si>
    <t>INT CHA
WIS</t>
  </si>
  <si>
    <t>Photography/ Videography</t>
  </si>
  <si>
    <t>DEX  CHA
INT</t>
  </si>
  <si>
    <t>Social Sciences</t>
  </si>
  <si>
    <t>History</t>
  </si>
  <si>
    <t>INT
WIS</t>
  </si>
  <si>
    <t>Linguistics</t>
  </si>
  <si>
    <t>Economics</t>
  </si>
  <si>
    <t>Geography</t>
  </si>
  <si>
    <t>Education</t>
  </si>
  <si>
    <t>CHA INT
WIS</t>
  </si>
  <si>
    <t>Psychology</t>
  </si>
  <si>
    <t>Politics</t>
  </si>
  <si>
    <t>Law</t>
  </si>
  <si>
    <t xml:space="preserve"> CHA
INT  WIS</t>
  </si>
  <si>
    <t>Natural Sciences</t>
  </si>
  <si>
    <t>Biology</t>
  </si>
  <si>
    <t>Geoscience</t>
  </si>
  <si>
    <t>Chemistry</t>
  </si>
  <si>
    <t>Physics</t>
  </si>
  <si>
    <t>Astronomy</t>
  </si>
  <si>
    <t>Applied Sciences</t>
  </si>
  <si>
    <t>Civil Engineering</t>
  </si>
  <si>
    <t>Animal Husbandry</t>
  </si>
  <si>
    <t>Agriculture</t>
  </si>
  <si>
    <t>Electrical Engineering</t>
  </si>
  <si>
    <t>Software Engineering</t>
  </si>
  <si>
    <t>Mechanical Engineering</t>
  </si>
  <si>
    <t>Chemical Engineering</t>
  </si>
  <si>
    <t>CON INT
WIS</t>
  </si>
  <si>
    <t>Medicine</t>
  </si>
  <si>
    <t>DEX
INT  WIS</t>
  </si>
  <si>
    <t>Use Vehicle</t>
  </si>
  <si>
    <t>Sail</t>
  </si>
  <si>
    <t>Drive</t>
  </si>
  <si>
    <t>Pilot</t>
  </si>
  <si>
    <t>Handle Animal</t>
  </si>
  <si>
    <t>DEX CON
CHA</t>
  </si>
  <si>
    <t>Perception Skills</t>
  </si>
  <si>
    <t>Social Perception</t>
  </si>
  <si>
    <t>Environmental Perception</t>
  </si>
  <si>
    <t>Paranormal Perception</t>
  </si>
  <si>
    <t>Life Skills</t>
  </si>
  <si>
    <t>Cooking</t>
  </si>
  <si>
    <t>Textiles</t>
  </si>
  <si>
    <t>DEX
INT</t>
  </si>
  <si>
    <t>Leadership</t>
  </si>
  <si>
    <t>Survival</t>
  </si>
  <si>
    <t>DEX CON
WIS</t>
  </si>
  <si>
    <t>Theory Knowledge</t>
  </si>
  <si>
    <t>Philosophy</t>
  </si>
  <si>
    <t>Arcane Knowledge</t>
  </si>
  <si>
    <t>Theology</t>
  </si>
  <si>
    <t>Attunement</t>
  </si>
  <si>
    <t>Catalyst</t>
  </si>
  <si>
    <t>Counter DR</t>
  </si>
  <si>
    <t>Cast Check</t>
  </si>
  <si>
    <t>Can Train</t>
  </si>
  <si>
    <t>Domains of Magic</t>
  </si>
  <si>
    <t>Alteration</t>
  </si>
  <si>
    <t xml:space="preserve">+
</t>
  </si>
  <si>
    <t>Fortune</t>
  </si>
  <si>
    <t>Available Mana</t>
  </si>
  <si>
    <t>Enchantment</t>
  </si>
  <si>
    <t>Container</t>
  </si>
  <si>
    <t>Mana</t>
  </si>
  <si>
    <t>Divination</t>
  </si>
  <si>
    <t xml:space="preserve">N
</t>
  </si>
  <si>
    <t>Body</t>
  </si>
  <si>
    <t>Dissolution</t>
  </si>
  <si>
    <t>Restoration</t>
  </si>
  <si>
    <t>Illusion</t>
  </si>
  <si>
    <t>Abjuration</t>
  </si>
  <si>
    <t xml:space="preserve">-
</t>
  </si>
  <si>
    <t>Force</t>
  </si>
  <si>
    <t>Conjuration</t>
  </si>
  <si>
    <t>Inventory</t>
  </si>
  <si>
    <t>Exploits</t>
  </si>
  <si>
    <t>Sort</t>
  </si>
  <si>
    <t>Class</t>
  </si>
  <si>
    <t>Range</t>
  </si>
  <si>
    <t>B/P/S : F/E/A</t>
  </si>
  <si>
    <t>Grade</t>
  </si>
  <si>
    <t>Description &amp; Mods</t>
  </si>
  <si>
    <t>Quantity/ Uses</t>
  </si>
  <si>
    <t>In Bag</t>
  </si>
  <si>
    <t>Wealth</t>
  </si>
  <si>
    <t>Total Weight</t>
  </si>
  <si>
    <t>Total Value</t>
  </si>
  <si>
    <t>Bag Weight</t>
  </si>
  <si>
    <t>Woven Spells</t>
  </si>
  <si>
    <t>Domains</t>
  </si>
  <si>
    <t>DR</t>
  </si>
  <si>
    <t>Casting Speed</t>
  </si>
  <si>
    <t>Targets</t>
  </si>
  <si>
    <t>Description</t>
  </si>
  <si>
    <t>Spell Strength</t>
  </si>
  <si>
    <t>Duration</t>
  </si>
  <si>
    <t>C/D</t>
  </si>
  <si>
    <t>Passive Tasks</t>
  </si>
  <si>
    <t>Type</t>
  </si>
  <si>
    <t>Time</t>
  </si>
  <si>
    <t>Notes</t>
  </si>
  <si>
    <t>Roots, Branches, Blossoms, and Life Events</t>
  </si>
  <si>
    <t>Branches</t>
  </si>
  <si>
    <t>Life Events</t>
  </si>
  <si>
    <t>Blossoms</t>
  </si>
  <si>
    <t>Root</t>
  </si>
</sst>
</file>

<file path=xl/styles.xml><?xml version="1.0" encoding="utf-8"?>
<styleSheet xmlns="http://schemas.openxmlformats.org/spreadsheetml/2006/main" xmlns:x14ac="http://schemas.microsoft.com/office/spreadsheetml/2009/9/ac" xmlns:mc="http://schemas.openxmlformats.org/markup-compatibility/2006">
  <fonts count="39">
    <font>
      <sz val="10.0"/>
      <color rgb="FF000000"/>
      <name val="Arial"/>
    </font>
    <font>
      <name val="Inknut Antiqua"/>
    </font>
    <font>
      <sz val="14.0"/>
      <color rgb="FFFFFFFF"/>
      <name val="Inknut Antiqua"/>
    </font>
    <font>
      <sz val="12.0"/>
      <name val="Inknut Antiqua"/>
    </font>
    <font/>
    <font>
      <sz val="11.0"/>
      <color rgb="FFFFFFFF"/>
      <name val="Inknut Antiqua"/>
    </font>
    <font>
      <sz val="18.0"/>
      <color rgb="FFE69138"/>
      <name val="Inknut Antiqua"/>
    </font>
    <font>
      <sz val="24.0"/>
      <name val="Inknut Antiqua"/>
    </font>
    <font>
      <sz val="10.0"/>
      <color rgb="FF000000"/>
      <name val="Inknut Antiqua"/>
    </font>
    <font>
      <color rgb="FF000000"/>
    </font>
    <font>
      <sz val="9.0"/>
      <name val="Inknut Antiqua"/>
    </font>
    <font>
      <sz val="18.0"/>
      <color rgb="FFFFFFFF"/>
      <name val="Inknut Antiqua"/>
    </font>
    <font>
      <sz val="14.0"/>
      <name val="Inknut Antiqua"/>
    </font>
    <font>
      <b/>
      <sz val="18.0"/>
      <color rgb="FF000000"/>
      <name val="Inknut Antiqua"/>
    </font>
    <font>
      <b/>
      <sz val="18.0"/>
      <name val="Inknut Antiqua"/>
    </font>
    <font>
      <sz val="18.0"/>
      <name val="Inknut Antiqua"/>
    </font>
    <font>
      <name val="Arial"/>
    </font>
    <font>
      <sz val="18.0"/>
      <color rgb="FF000000"/>
      <name val="Inknut Antiqua"/>
    </font>
    <font>
      <color rgb="FF000000"/>
      <name val="Inknut Antiqua"/>
    </font>
    <font>
      <sz val="36.0"/>
      <color rgb="FF000000"/>
      <name val="Inknut Antiqua"/>
    </font>
    <font>
      <sz val="10.0"/>
      <name val="Inknut Antiqua"/>
    </font>
    <font>
      <sz val="8.0"/>
      <name val="Inknut Antiqua"/>
    </font>
    <font>
      <sz val="10.0"/>
      <color rgb="FFFFFFFF"/>
      <name val="Inknut Antiqua"/>
    </font>
    <font>
      <sz val="9.0"/>
    </font>
    <font>
      <sz val="12.0"/>
      <color rgb="FFFFFFFF"/>
      <name val="Inknut Antiqua"/>
    </font>
    <font>
      <color rgb="FFFFFFFF"/>
      <name val="Inknut Antiqua"/>
    </font>
    <font>
      <sz val="12.0"/>
      <color rgb="FF000000"/>
      <name val="Inknut Antiqua"/>
    </font>
    <font>
      <sz val="24.0"/>
      <color rgb="FFFFFFFF"/>
      <name val="Inknut Antiqua"/>
    </font>
    <font>
      <sz val="14.0"/>
      <color rgb="FF000000"/>
      <name val="Inknut Antiqua"/>
    </font>
    <font>
      <sz val="8.0"/>
      <color rgb="FFFFFFFF"/>
      <name val="Inknut Antiqua"/>
    </font>
    <font>
      <sz val="8.0"/>
      <color rgb="FF000000"/>
      <name val="Inknut Antiqua"/>
    </font>
    <font>
      <b/>
      <sz val="8.0"/>
    </font>
    <font>
      <sz val="8.0"/>
      <name val="Arial"/>
    </font>
    <font>
      <b/>
      <sz val="11.0"/>
      <color rgb="FF000000"/>
      <name val="Inknut Antiqua"/>
    </font>
    <font>
      <sz val="18.0"/>
    </font>
    <font>
      <b/>
      <name val="Inknut Antiqua"/>
    </font>
    <font>
      <b/>
      <sz val="10.0"/>
      <name val="Inknut Antiqua"/>
    </font>
    <font>
      <sz val="9.0"/>
      <color rgb="FF000000"/>
      <name val="&quot;Inknut Antiqua&quot;"/>
    </font>
    <font>
      <b/>
      <sz val="12.0"/>
      <name val="Inknut Antiqua"/>
    </font>
  </fonts>
  <fills count="24">
    <fill>
      <patternFill patternType="none"/>
    </fill>
    <fill>
      <patternFill patternType="lightGray"/>
    </fill>
    <fill>
      <patternFill patternType="solid">
        <fgColor rgb="FF000000"/>
        <bgColor rgb="FF000000"/>
      </patternFill>
    </fill>
    <fill>
      <patternFill patternType="solid">
        <fgColor rgb="FFC9DAF8"/>
        <bgColor rgb="FFC9DAF8"/>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990000"/>
        <bgColor rgb="FF990000"/>
      </patternFill>
    </fill>
    <fill>
      <patternFill patternType="solid">
        <fgColor rgb="FFF6B26B"/>
        <bgColor rgb="FFF6B26B"/>
      </patternFill>
    </fill>
    <fill>
      <patternFill patternType="solid">
        <fgColor rgb="FFBF9000"/>
        <bgColor rgb="FFBF9000"/>
      </patternFill>
    </fill>
    <fill>
      <patternFill patternType="solid">
        <fgColor rgb="FF38761D"/>
        <bgColor rgb="FF38761D"/>
      </patternFill>
    </fill>
    <fill>
      <patternFill patternType="solid">
        <fgColor rgb="FFFFD966"/>
        <bgColor rgb="FFFFD966"/>
      </patternFill>
    </fill>
    <fill>
      <patternFill patternType="solid">
        <fgColor rgb="FF434343"/>
        <bgColor rgb="FF434343"/>
      </patternFill>
    </fill>
    <fill>
      <patternFill patternType="solid">
        <fgColor rgb="FFD0E0E3"/>
        <bgColor rgb="FFD0E0E3"/>
      </patternFill>
    </fill>
    <fill>
      <patternFill patternType="solid">
        <fgColor rgb="FFB7E1CD"/>
        <bgColor rgb="FFB7E1CD"/>
      </patternFill>
    </fill>
    <fill>
      <patternFill patternType="solid">
        <fgColor rgb="FFD9D2E9"/>
        <bgColor rgb="FFD9D2E9"/>
      </patternFill>
    </fill>
    <fill>
      <patternFill patternType="solid">
        <fgColor rgb="FF93C47D"/>
        <bgColor rgb="FF93C47D"/>
      </patternFill>
    </fill>
    <fill>
      <patternFill patternType="solid">
        <fgColor rgb="FFCC4125"/>
        <bgColor rgb="FFCC4125"/>
      </patternFill>
    </fill>
    <fill>
      <patternFill patternType="solid">
        <fgColor rgb="FFD9D9D9"/>
        <bgColor rgb="FFD9D9D9"/>
      </patternFill>
    </fill>
    <fill>
      <patternFill patternType="solid">
        <fgColor rgb="FF45818E"/>
        <bgColor rgb="FF45818E"/>
      </patternFill>
    </fill>
    <fill>
      <patternFill patternType="solid">
        <fgColor rgb="FFCCCCCC"/>
        <bgColor rgb="FFCCCCCC"/>
      </patternFill>
    </fill>
    <fill>
      <patternFill patternType="solid">
        <fgColor rgb="FFF4C7C3"/>
        <bgColor rgb="FFF4C7C3"/>
      </patternFill>
    </fill>
    <fill>
      <patternFill patternType="solid">
        <fgColor rgb="FF666666"/>
        <bgColor rgb="FF666666"/>
      </patternFill>
    </fill>
    <fill>
      <patternFill patternType="solid">
        <fgColor rgb="FFEFEFEF"/>
        <bgColor rgb="FFEFEFEF"/>
      </patternFill>
    </fill>
  </fills>
  <borders count="25">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000000"/>
      </left>
    </border>
    <border>
      <left style="thin">
        <color rgb="FFFFFFFF"/>
      </left>
      <right style="thin">
        <color rgb="FFFFFFFF"/>
      </right>
    </border>
    <border>
      <left style="thin">
        <color rgb="FF000000"/>
      </left>
      <bottom style="thin">
        <color rgb="FFFFFFF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FFFFFF"/>
      </left>
      <right style="thin">
        <color rgb="FF000000"/>
      </right>
    </border>
    <border>
      <left style="thin">
        <color rgb="FFFFFFFF"/>
      </left>
      <right style="thin">
        <color rgb="FF000000"/>
      </right>
      <bottom style="thin">
        <color rgb="FFFFFFFF"/>
      </bottom>
    </border>
    <border>
      <left style="thin">
        <color rgb="FF000000"/>
      </left>
      <top style="thin">
        <color rgb="FF000000"/>
      </top>
    </border>
    <border>
      <top style="thin">
        <color rgb="FF000000"/>
      </top>
    </border>
    <border>
      <right style="thin">
        <color rgb="FF000000"/>
      </right>
    </border>
  </borders>
  <cellStyleXfs count="1">
    <xf borderId="0" fillId="0" fontId="0" numFmtId="0" applyAlignment="1" applyFont="1"/>
  </cellStyleXfs>
  <cellXfs count="265">
    <xf borderId="0" fillId="0" fontId="0" numFmtId="0" xfId="0" applyAlignment="1" applyFont="1">
      <alignment readingOrder="0" shrinkToFit="0" vertical="bottom" wrapText="0"/>
    </xf>
    <xf borderId="0" fillId="2" fontId="1" numFmtId="0" xfId="0" applyAlignment="1" applyFill="1" applyFont="1">
      <alignment readingOrder="0"/>
    </xf>
    <xf borderId="1" fillId="2" fontId="2" numFmtId="0" xfId="0" applyAlignment="1" applyBorder="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2" fillId="0" fontId="4" numFmtId="0" xfId="0" applyBorder="1" applyFont="1"/>
    <xf borderId="2" fillId="2" fontId="5"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3" fillId="2" fontId="6" numFmtId="0" xfId="0" applyAlignment="1" applyBorder="1" applyFont="1">
      <alignment horizontal="center" readingOrder="0" vertical="center"/>
    </xf>
    <xf borderId="4" fillId="2" fontId="5"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5" fillId="4" fontId="7" numFmtId="0" xfId="0" applyAlignment="1" applyBorder="1" applyFill="1" applyFont="1">
      <alignment horizontal="center" readingOrder="0" shrinkToFit="0" vertical="center" wrapText="1"/>
    </xf>
    <xf borderId="0" fillId="2" fontId="4" numFmtId="0" xfId="0" applyFont="1"/>
    <xf borderId="1" fillId="5" fontId="8" numFmtId="0" xfId="0" applyAlignment="1" applyBorder="1" applyFill="1" applyFont="1">
      <alignment horizontal="center" readingOrder="0" vertical="center"/>
    </xf>
    <xf borderId="3" fillId="0" fontId="4" numFmtId="0" xfId="0" applyBorder="1" applyFont="1"/>
    <xf borderId="0" fillId="2" fontId="9" numFmtId="0" xfId="0" applyFont="1"/>
    <xf borderId="1" fillId="5" fontId="1" numFmtId="0" xfId="0" applyAlignment="1" applyBorder="1" applyFont="1">
      <alignment horizontal="center" vertical="center"/>
    </xf>
    <xf borderId="2" fillId="6" fontId="8" numFmtId="0" xfId="0" applyAlignment="1" applyBorder="1" applyFill="1" applyFont="1">
      <alignment horizontal="center" readingOrder="0" vertical="center"/>
    </xf>
    <xf borderId="0" fillId="0" fontId="10" numFmtId="0" xfId="0" applyAlignment="1" applyFont="1">
      <alignment horizontal="center" readingOrder="0" shrinkToFit="0" vertical="center" wrapText="1"/>
    </xf>
    <xf borderId="5" fillId="0" fontId="4" numFmtId="0" xfId="0" applyBorder="1" applyFont="1"/>
    <xf borderId="4" fillId="0" fontId="4" numFmtId="0" xfId="0" applyBorder="1" applyFont="1"/>
    <xf borderId="0" fillId="7" fontId="1" numFmtId="0" xfId="0" applyAlignment="1" applyFill="1" applyFont="1">
      <alignment horizontal="center" readingOrder="0" shrinkToFit="0" vertical="center" wrapText="1"/>
    </xf>
    <xf borderId="5" fillId="2" fontId="11" numFmtId="0" xfId="0" applyAlignment="1" applyBorder="1" applyFont="1">
      <alignment horizontal="center" readingOrder="0" vertical="center"/>
    </xf>
    <xf borderId="4" fillId="8" fontId="12" numFmtId="0" xfId="0" applyAlignment="1" applyBorder="1" applyFill="1" applyFont="1">
      <alignment horizontal="center" vertical="center"/>
    </xf>
    <xf borderId="0" fillId="9" fontId="1" numFmtId="0" xfId="0" applyAlignment="1" applyFill="1" applyFont="1">
      <alignment horizontal="center" readingOrder="0" shrinkToFit="0" vertical="center" wrapText="1"/>
    </xf>
    <xf borderId="4" fillId="7" fontId="4" numFmtId="0" xfId="0" applyAlignment="1" applyBorder="1" applyFont="1">
      <alignment readingOrder="0"/>
    </xf>
    <xf borderId="0" fillId="9" fontId="4" numFmtId="0" xfId="0" applyFont="1"/>
    <xf borderId="0" fillId="10" fontId="4" numFmtId="0" xfId="0" applyFill="1" applyFont="1"/>
    <xf borderId="0" fillId="6" fontId="12" numFmtId="0" xfId="0" applyAlignment="1" applyFont="1">
      <alignment horizontal="center" readingOrder="0" vertical="center"/>
    </xf>
    <xf borderId="5" fillId="11" fontId="7" numFmtId="0" xfId="0" applyAlignment="1" applyBorder="1" applyFill="1" applyFont="1">
      <alignment horizontal="center" readingOrder="0" shrinkToFit="0" vertical="center" wrapText="1"/>
    </xf>
    <xf borderId="6" fillId="0" fontId="4" numFmtId="0" xfId="0" applyBorder="1" applyFont="1"/>
    <xf borderId="7" fillId="0" fontId="4" numFmtId="0" xfId="0" applyBorder="1" applyFont="1"/>
    <xf borderId="8" fillId="0" fontId="4" numFmtId="0" xfId="0" applyBorder="1" applyFont="1"/>
    <xf borderId="0" fillId="10" fontId="1" numFmtId="0" xfId="0" applyAlignment="1" applyFont="1">
      <alignment horizontal="center" readingOrder="0" shrinkToFit="0" vertical="center" wrapText="1"/>
    </xf>
    <xf borderId="6" fillId="2" fontId="5" numFmtId="0" xfId="0" applyAlignment="1" applyBorder="1" applyFont="1">
      <alignment horizontal="center" readingOrder="0" shrinkToFit="0" vertical="center" wrapText="1"/>
    </xf>
    <xf borderId="7" fillId="0" fontId="3" numFmtId="0" xfId="0" applyAlignment="1" applyBorder="1" applyFont="1">
      <alignment horizontal="center" readingOrder="0" shrinkToFit="0" vertical="center" wrapText="1"/>
    </xf>
    <xf borderId="7" fillId="2" fontId="5" numFmtId="0" xfId="0" applyAlignment="1" applyBorder="1" applyFont="1">
      <alignment horizontal="center" readingOrder="0" shrinkToFit="0" vertical="center" wrapText="1"/>
    </xf>
    <xf borderId="7" fillId="2" fontId="4" numFmtId="0" xfId="0" applyBorder="1" applyFont="1"/>
    <xf borderId="0" fillId="12" fontId="4" numFmtId="0" xfId="0" applyFill="1" applyFont="1"/>
    <xf borderId="9" fillId="5" fontId="8" numFmtId="0" xfId="0" applyAlignment="1" applyBorder="1" applyFont="1">
      <alignment horizontal="center" readingOrder="0" vertical="center"/>
    </xf>
    <xf borderId="0" fillId="12" fontId="12" numFmtId="0" xfId="0" applyAlignment="1" applyFont="1">
      <alignment horizontal="center" readingOrder="0" vertical="center"/>
    </xf>
    <xf borderId="2" fillId="6" fontId="1" numFmtId="0" xfId="0" applyAlignment="1" applyBorder="1" applyFont="1">
      <alignment horizontal="center" readingOrder="0" vertical="center"/>
    </xf>
    <xf borderId="0" fillId="2" fontId="12" numFmtId="0" xfId="0" applyAlignment="1" applyFont="1">
      <alignment horizontal="center" readingOrder="0" vertical="center"/>
    </xf>
    <xf borderId="0" fillId="2" fontId="4" numFmtId="0" xfId="0" applyFont="1"/>
    <xf borderId="10" fillId="2" fontId="5" numFmtId="0" xfId="0" applyAlignment="1" applyBorder="1" applyFont="1">
      <alignment horizontal="center" readingOrder="0" shrinkToFit="0" vertical="bottom" wrapText="1"/>
    </xf>
    <xf borderId="11" fillId="0" fontId="4" numFmtId="0" xfId="0" applyBorder="1" applyFont="1"/>
    <xf borderId="12" fillId="0" fontId="4" numFmtId="0" xfId="0" applyBorder="1" applyFont="1"/>
    <xf borderId="12" fillId="2" fontId="5" numFmtId="0" xfId="0" applyAlignment="1" applyBorder="1" applyFont="1">
      <alignment horizontal="center" readingOrder="0" shrinkToFit="0" vertical="bottom" wrapText="1"/>
    </xf>
    <xf borderId="1" fillId="2" fontId="5" numFmtId="0" xfId="0" applyAlignment="1" applyBorder="1" applyFont="1">
      <alignment horizontal="center" shrinkToFit="0" wrapText="1"/>
    </xf>
    <xf borderId="2" fillId="2" fontId="5" numFmtId="0" xfId="0" applyAlignment="1" applyBorder="1" applyFont="1">
      <alignment horizontal="center" shrinkToFit="0" wrapText="1"/>
    </xf>
    <xf borderId="3" fillId="2" fontId="5" numFmtId="0" xfId="0" applyAlignment="1" applyBorder="1" applyFont="1">
      <alignment horizontal="center" shrinkToFit="0" wrapText="1"/>
    </xf>
    <xf borderId="13" fillId="8" fontId="12" numFmtId="0" xfId="0" applyAlignment="1" applyBorder="1" applyFont="1">
      <alignment horizontal="center" vertical="center"/>
    </xf>
    <xf borderId="6" fillId="7" fontId="4" numFmtId="0" xfId="0" applyAlignment="1" applyBorder="1" applyFont="1">
      <alignment readingOrder="0"/>
    </xf>
    <xf borderId="7" fillId="9" fontId="4" numFmtId="0" xfId="0" applyAlignment="1" applyBorder="1" applyFont="1">
      <alignment readingOrder="0"/>
    </xf>
    <xf borderId="7" fillId="10" fontId="4" numFmtId="0" xfId="0" applyAlignment="1" applyBorder="1" applyFont="1">
      <alignment readingOrder="0"/>
    </xf>
    <xf borderId="8" fillId="6" fontId="1" numFmtId="0" xfId="0" applyAlignment="1" applyBorder="1" applyFont="1">
      <alignment horizontal="center" readingOrder="0" vertical="center"/>
    </xf>
    <xf borderId="4" fillId="13" fontId="13" numFmtId="0" xfId="0" applyAlignment="1" applyBorder="1" applyFill="1" applyFont="1">
      <alignment horizontal="center" readingOrder="0" vertical="center"/>
    </xf>
    <xf borderId="0" fillId="0" fontId="12" numFmtId="0" xfId="0" applyAlignment="1" applyFont="1">
      <alignment horizontal="center" readingOrder="0" vertical="center"/>
    </xf>
    <xf borderId="0" fillId="14" fontId="14" numFmtId="0" xfId="0" applyAlignment="1" applyFill="1" applyFont="1">
      <alignment horizontal="center" vertical="center"/>
    </xf>
    <xf borderId="14" fillId="0" fontId="12" numFmtId="0" xfId="0" applyAlignment="1" applyBorder="1" applyFont="1">
      <alignment horizontal="center" readingOrder="0" vertical="center"/>
    </xf>
    <xf borderId="5" fillId="14" fontId="14" numFmtId="0" xfId="0" applyAlignment="1" applyBorder="1" applyFont="1">
      <alignment horizontal="center" vertical="center"/>
    </xf>
    <xf borderId="4" fillId="0" fontId="15" numFmtId="0" xfId="0" applyAlignment="1" applyBorder="1" applyFont="1">
      <alignment horizontal="center" readingOrder="0" vertical="center"/>
    </xf>
    <xf borderId="0" fillId="0" fontId="15" numFmtId="0" xfId="0" applyAlignment="1" applyFont="1">
      <alignment horizontal="center" readingOrder="0" vertical="center"/>
    </xf>
    <xf borderId="5" fillId="0" fontId="15" numFmtId="0" xfId="0" applyAlignment="1" applyBorder="1" applyFont="1">
      <alignment horizontal="center" readingOrder="0" vertical="center"/>
    </xf>
    <xf borderId="0" fillId="12" fontId="4" numFmtId="0" xfId="0" applyAlignment="1" applyFont="1">
      <alignment readingOrder="0"/>
    </xf>
    <xf borderId="4" fillId="2" fontId="5" numFmtId="0" xfId="0" applyAlignment="1" applyBorder="1" applyFont="1">
      <alignment horizontal="center" vertical="bottom"/>
    </xf>
    <xf borderId="8" fillId="2" fontId="16" numFmtId="0" xfId="0" applyBorder="1" applyFont="1"/>
    <xf borderId="1" fillId="2" fontId="17" numFmtId="0" xfId="0" applyAlignment="1" applyBorder="1" applyFont="1">
      <alignment horizontal="center"/>
    </xf>
    <xf borderId="5" fillId="2" fontId="18" numFmtId="0" xfId="0" applyAlignment="1" applyBorder="1" applyFont="1">
      <alignment horizontal="center"/>
    </xf>
    <xf borderId="4" fillId="15" fontId="13" numFmtId="0" xfId="0" applyAlignment="1" applyBorder="1" applyFill="1" applyFont="1">
      <alignment horizontal="center" readingOrder="0" vertical="center"/>
    </xf>
    <xf borderId="0" fillId="14" fontId="13" numFmtId="0" xfId="0" applyAlignment="1" applyFont="1">
      <alignment horizontal="center" vertical="center"/>
    </xf>
    <xf borderId="4" fillId="16" fontId="19" numFmtId="0" xfId="0" applyAlignment="1" applyBorder="1" applyFill="1" applyFont="1">
      <alignment horizontal="center" readingOrder="0" vertical="center"/>
    </xf>
    <xf borderId="9" fillId="5" fontId="20" numFmtId="0" xfId="0" applyAlignment="1" applyBorder="1" applyFont="1">
      <alignment horizontal="center" readingOrder="0" vertical="center"/>
    </xf>
    <xf borderId="0" fillId="2" fontId="21" numFmtId="0" xfId="0" applyAlignment="1" applyFont="1">
      <alignment horizontal="center" readingOrder="0" shrinkToFit="0" wrapText="1"/>
    </xf>
    <xf borderId="1" fillId="5" fontId="1" numFmtId="0" xfId="0" applyAlignment="1" applyBorder="1" applyFont="1">
      <alignment horizontal="center" readingOrder="0" vertical="center"/>
    </xf>
    <xf borderId="0" fillId="2" fontId="20" numFmtId="0" xfId="0" applyAlignment="1" applyFont="1">
      <alignment horizontal="center" readingOrder="0" vertical="center"/>
    </xf>
    <xf borderId="0" fillId="4" fontId="14" numFmtId="0" xfId="0" applyAlignment="1" applyFont="1">
      <alignment horizontal="center" vertical="center"/>
    </xf>
    <xf borderId="15" fillId="0" fontId="4" numFmtId="0" xfId="0" applyBorder="1" applyFont="1"/>
    <xf borderId="6" fillId="15" fontId="13" numFmtId="0" xfId="0" applyAlignment="1" applyBorder="1" applyFont="1">
      <alignment horizontal="center" readingOrder="0" vertical="center"/>
    </xf>
    <xf borderId="7" fillId="0" fontId="12" numFmtId="0" xfId="0" applyAlignment="1" applyBorder="1" applyFont="1">
      <alignment horizontal="center" readingOrder="0" vertical="center"/>
    </xf>
    <xf borderId="7" fillId="4" fontId="14" numFmtId="0" xfId="0" applyAlignment="1" applyBorder="1" applyFont="1">
      <alignment horizontal="center" vertical="center"/>
    </xf>
    <xf borderId="16" fillId="0" fontId="12" numFmtId="0" xfId="0" applyAlignment="1" applyBorder="1" applyFont="1">
      <alignment horizontal="center" readingOrder="0" vertical="center"/>
    </xf>
    <xf borderId="8" fillId="14" fontId="14" numFmtId="0" xfId="0" applyAlignment="1" applyBorder="1" applyFont="1">
      <alignment horizontal="center" vertical="center"/>
    </xf>
    <xf borderId="6" fillId="17" fontId="17" numFmtId="0" xfId="0" applyAlignment="1" applyBorder="1" applyFill="1" applyFont="1">
      <alignment horizontal="center" readingOrder="0" vertical="center"/>
    </xf>
    <xf borderId="8" fillId="2" fontId="18" numFmtId="0" xfId="0" applyAlignment="1" applyBorder="1" applyFont="1">
      <alignment horizontal="center"/>
    </xf>
    <xf borderId="15" fillId="8" fontId="12" numFmtId="0" xfId="0" applyAlignment="1" applyBorder="1" applyFont="1">
      <alignment horizontal="center" vertical="center"/>
    </xf>
    <xf borderId="4" fillId="7" fontId="1" numFmtId="0" xfId="0" applyAlignment="1" applyBorder="1" applyFont="1">
      <alignment horizontal="center" readingOrder="0" vertical="center"/>
    </xf>
    <xf borderId="0" fillId="9" fontId="1" numFmtId="0" xfId="0" applyAlignment="1" applyFont="1">
      <alignment horizontal="center" readingOrder="0" vertical="center"/>
    </xf>
    <xf borderId="0" fillId="10" fontId="1" numFmtId="0" xfId="0" applyAlignment="1" applyFont="1">
      <alignment horizontal="center" readingOrder="0" vertical="center"/>
    </xf>
    <xf borderId="5" fillId="6" fontId="1" numFmtId="0" xfId="0" applyAlignment="1" applyBorder="1" applyFont="1">
      <alignment horizontal="center" readingOrder="0" vertical="center"/>
    </xf>
    <xf borderId="0" fillId="2" fontId="11" numFmtId="0" xfId="0" applyAlignment="1" applyFont="1">
      <alignment horizontal="center" readingOrder="0" vertical="center"/>
    </xf>
    <xf borderId="0" fillId="2" fontId="5" numFmtId="0" xfId="0" applyAlignment="1" applyFont="1">
      <alignment horizontal="center" readingOrder="0" vertical="top"/>
    </xf>
    <xf borderId="0" fillId="2" fontId="4" numFmtId="0" xfId="0" applyAlignment="1" applyFont="1">
      <alignment readingOrder="0"/>
    </xf>
    <xf borderId="13" fillId="0" fontId="4" numFmtId="0" xfId="0" applyBorder="1" applyFont="1"/>
    <xf borderId="1" fillId="2" fontId="22" numFmtId="0" xfId="0" applyAlignment="1" applyBorder="1" applyFont="1">
      <alignment horizontal="center" readingOrder="0" shrinkToFit="0" vertical="center" wrapText="1"/>
    </xf>
    <xf borderId="2" fillId="2" fontId="22" numFmtId="0" xfId="0" applyAlignment="1" applyBorder="1" applyFont="1">
      <alignment horizontal="center" readingOrder="0" shrinkToFit="0" vertical="center" wrapText="1"/>
    </xf>
    <xf borderId="3" fillId="6" fontId="3" numFmtId="0" xfId="0" applyAlignment="1" applyBorder="1" applyFont="1">
      <alignment horizontal="center" readingOrder="0" shrinkToFit="0" vertical="center" wrapText="1"/>
    </xf>
    <xf borderId="2" fillId="2" fontId="5" numFmtId="0" xfId="0" applyAlignment="1" applyBorder="1" applyFont="1">
      <alignment horizontal="center" readingOrder="0" vertical="center"/>
    </xf>
    <xf borderId="4" fillId="2" fontId="22" numFmtId="0" xfId="0" applyAlignment="1" applyBorder="1" applyFont="1">
      <alignment horizontal="center" readingOrder="0" shrinkToFit="0" vertical="center" wrapText="1"/>
    </xf>
    <xf borderId="0" fillId="2" fontId="22" numFmtId="0" xfId="0" applyAlignment="1" applyFont="1">
      <alignment horizontal="center" readingOrder="0" shrinkToFit="0" vertical="center" wrapText="1"/>
    </xf>
    <xf borderId="5" fillId="6" fontId="15" numFmtId="0" xfId="0" applyAlignment="1" applyBorder="1" applyFont="1">
      <alignment horizontal="center" readingOrder="0" shrinkToFit="0" vertical="center" wrapText="1"/>
    </xf>
    <xf borderId="0" fillId="4" fontId="23" numFmtId="0" xfId="0" applyFont="1"/>
    <xf borderId="5" fillId="6" fontId="3" numFmtId="0" xfId="0" applyAlignment="1" applyBorder="1" applyFont="1">
      <alignment horizontal="center" readingOrder="0" shrinkToFit="0" vertical="center" wrapText="1"/>
    </xf>
    <xf borderId="6" fillId="2" fontId="22" numFmtId="0" xfId="0" applyAlignment="1" applyBorder="1" applyFont="1">
      <alignment horizontal="center" readingOrder="0" shrinkToFit="0" vertical="center" wrapText="1"/>
    </xf>
    <xf borderId="7" fillId="2" fontId="22" numFmtId="0" xfId="0" applyAlignment="1" applyBorder="1" applyFont="1">
      <alignment horizontal="center" readingOrder="0" shrinkToFit="0" vertical="center" wrapText="1"/>
    </xf>
    <xf borderId="8" fillId="6" fontId="20" numFmtId="0" xfId="0" applyAlignment="1" applyBorder="1" applyFont="1">
      <alignment horizontal="center" readingOrder="0" shrinkToFit="0" vertical="center" wrapText="1"/>
    </xf>
    <xf borderId="0" fillId="2" fontId="24" numFmtId="0" xfId="0" applyAlignment="1" applyFont="1">
      <alignment horizontal="center" readingOrder="0" shrinkToFit="0" vertical="center" wrapText="1"/>
    </xf>
    <xf borderId="0" fillId="2" fontId="24" numFmtId="0" xfId="0" applyAlignment="1" applyFont="1">
      <alignment horizontal="center" readingOrder="0" vertical="center"/>
    </xf>
    <xf borderId="1" fillId="2" fontId="25" numFmtId="0" xfId="0" applyAlignment="1" applyBorder="1" applyFont="1">
      <alignment horizontal="center" readingOrder="0" vertical="center"/>
    </xf>
    <xf borderId="2" fillId="4" fontId="8" numFmtId="0" xfId="0" applyAlignment="1" applyBorder="1" applyFont="1">
      <alignment horizontal="center" readingOrder="0" shrinkToFit="0" vertical="center" wrapText="1"/>
    </xf>
    <xf borderId="2" fillId="6" fontId="20" numFmtId="0" xfId="0" applyAlignment="1" applyBorder="1" applyFont="1">
      <alignment horizontal="center" readingOrder="0" vertical="center"/>
    </xf>
    <xf borderId="2" fillId="5" fontId="1" numFmtId="0" xfId="0" applyAlignment="1" applyBorder="1" applyFont="1">
      <alignment horizontal="center" readingOrder="0" vertical="center"/>
    </xf>
    <xf borderId="2" fillId="7" fontId="1" numFmtId="0" xfId="0" applyAlignment="1" applyBorder="1" applyFont="1">
      <alignment horizontal="center" readingOrder="0" vertical="center"/>
    </xf>
    <xf borderId="2" fillId="9" fontId="1" numFmtId="0" xfId="0" applyAlignment="1" applyBorder="1" applyFont="1">
      <alignment horizontal="center" readingOrder="0" vertical="center"/>
    </xf>
    <xf borderId="2" fillId="10" fontId="1" numFmtId="0" xfId="0" applyAlignment="1" applyBorder="1" applyFont="1">
      <alignment horizontal="center" readingOrder="0" vertical="center"/>
    </xf>
    <xf borderId="2" fillId="2" fontId="4" numFmtId="0" xfId="0" applyBorder="1" applyFont="1"/>
    <xf borderId="2" fillId="18" fontId="26" numFmtId="0" xfId="0" applyAlignment="1" applyBorder="1" applyFill="1" applyFont="1">
      <alignment horizontal="center" readingOrder="0" shrinkToFit="0" vertical="center" wrapText="1"/>
    </xf>
    <xf borderId="2" fillId="2" fontId="26" numFmtId="0" xfId="0" applyAlignment="1" applyBorder="1" applyFont="1">
      <alignment horizontal="center" readingOrder="0" shrinkToFit="0" vertical="center" wrapText="1"/>
    </xf>
    <xf borderId="2" fillId="7" fontId="26" numFmtId="0" xfId="0" applyAlignment="1" applyBorder="1" applyFont="1">
      <alignment horizontal="center" readingOrder="0" shrinkToFit="0" vertical="center" wrapText="1"/>
    </xf>
    <xf borderId="2" fillId="9" fontId="26" numFmtId="0" xfId="0" applyAlignment="1" applyBorder="1" applyFont="1">
      <alignment horizontal="center" readingOrder="0" shrinkToFit="0" vertical="center" wrapText="1"/>
    </xf>
    <xf borderId="3" fillId="10" fontId="26" numFmtId="0" xfId="0" applyAlignment="1" applyBorder="1" applyFont="1">
      <alignment horizontal="center" readingOrder="0" shrinkToFit="0" vertical="center" wrapText="1"/>
    </xf>
    <xf borderId="6" fillId="2" fontId="25" numFmtId="0" xfId="0" applyAlignment="1" applyBorder="1" applyFont="1">
      <alignment horizontal="center" readingOrder="0" vertical="center"/>
    </xf>
    <xf borderId="7" fillId="4" fontId="8" numFmtId="0" xfId="0" applyAlignment="1" applyBorder="1" applyFont="1">
      <alignment horizontal="center" readingOrder="0" shrinkToFit="0" vertical="center" wrapText="1"/>
    </xf>
    <xf borderId="7" fillId="6" fontId="20" numFmtId="0" xfId="0" applyAlignment="1" applyBorder="1" applyFont="1">
      <alignment horizontal="center" readingOrder="0" vertical="center"/>
    </xf>
    <xf borderId="7" fillId="5" fontId="1" numFmtId="0" xfId="0" applyAlignment="1" applyBorder="1" applyFont="1">
      <alignment horizontal="center" readingOrder="0" vertical="center"/>
    </xf>
    <xf borderId="7" fillId="7" fontId="1" numFmtId="0" xfId="0" applyAlignment="1" applyBorder="1" applyFont="1">
      <alignment horizontal="center" readingOrder="0" vertical="center"/>
    </xf>
    <xf borderId="7" fillId="9" fontId="1" numFmtId="0" xfId="0" applyAlignment="1" applyBorder="1" applyFont="1">
      <alignment horizontal="center" readingOrder="0" vertical="center"/>
    </xf>
    <xf borderId="7" fillId="10" fontId="1" numFmtId="0" xfId="0" applyAlignment="1" applyBorder="1" applyFont="1">
      <alignment horizontal="center" readingOrder="0" vertical="center"/>
    </xf>
    <xf borderId="7" fillId="6" fontId="1" numFmtId="0" xfId="0" applyAlignment="1" applyBorder="1" applyFont="1">
      <alignment horizontal="center" readingOrder="0" vertical="center"/>
    </xf>
    <xf borderId="7" fillId="18" fontId="26" numFmtId="0" xfId="0" applyAlignment="1" applyBorder="1" applyFont="1">
      <alignment horizontal="center" readingOrder="0" shrinkToFit="0" vertical="center" wrapText="1"/>
    </xf>
    <xf borderId="7" fillId="7" fontId="26" numFmtId="0" xfId="0" applyAlignment="1" applyBorder="1" applyFont="1">
      <alignment horizontal="center" readingOrder="0" shrinkToFit="0" vertical="center" wrapText="1"/>
    </xf>
    <xf borderId="7" fillId="9" fontId="26" numFmtId="0" xfId="0" applyAlignment="1" applyBorder="1" applyFont="1">
      <alignment horizontal="center" readingOrder="0" shrinkToFit="0" vertical="center" wrapText="1"/>
    </xf>
    <xf borderId="8" fillId="10" fontId="26" numFmtId="0" xfId="0" applyAlignment="1" applyBorder="1" applyFont="1">
      <alignment horizontal="center" readingOrder="0" shrinkToFit="0" vertical="center" wrapText="1"/>
    </xf>
    <xf borderId="4" fillId="2" fontId="11" numFmtId="0" xfId="0" applyAlignment="1" applyBorder="1" applyFont="1">
      <alignment horizontal="center" readingOrder="0" shrinkToFit="0" vertical="center" wrapText="1"/>
    </xf>
    <xf borderId="1" fillId="2" fontId="1" numFmtId="0" xfId="0" applyAlignment="1" applyBorder="1" applyFont="1">
      <alignment readingOrder="0"/>
    </xf>
    <xf borderId="2" fillId="2" fontId="27" numFmtId="0" xfId="0" applyAlignment="1" applyBorder="1" applyFont="1">
      <alignment horizontal="left" readingOrder="0" vertical="top"/>
    </xf>
    <xf borderId="3" fillId="2" fontId="1" numFmtId="0" xfId="0" applyBorder="1" applyFont="1"/>
    <xf borderId="17" fillId="19" fontId="28" numFmtId="0" xfId="0" applyAlignment="1" applyBorder="1" applyFill="1" applyFont="1">
      <alignment horizontal="center" readingOrder="0" vertical="center"/>
    </xf>
    <xf borderId="17" fillId="19" fontId="28" numFmtId="0" xfId="0" applyAlignment="1" applyBorder="1" applyFont="1">
      <alignment horizontal="center" readingOrder="0" shrinkToFit="0" vertical="center" wrapText="1"/>
    </xf>
    <xf borderId="18" fillId="19" fontId="28" numFmtId="0" xfId="0" applyAlignment="1" applyBorder="1" applyFont="1">
      <alignment horizontal="center" readingOrder="0" vertical="center"/>
    </xf>
    <xf borderId="19" fillId="0" fontId="4" numFmtId="0" xfId="0" applyBorder="1" applyFont="1"/>
    <xf borderId="17" fillId="19" fontId="12" numFmtId="0" xfId="0" applyAlignment="1" applyBorder="1" applyFont="1">
      <alignment horizontal="center" readingOrder="0" vertical="center"/>
    </xf>
    <xf borderId="17" fillId="2" fontId="12" numFmtId="0" xfId="0" applyAlignment="1" applyBorder="1" applyFont="1">
      <alignment horizontal="center" readingOrder="0" vertical="center"/>
    </xf>
    <xf borderId="17" fillId="19" fontId="12" numFmtId="0" xfId="0" applyAlignment="1" applyBorder="1" applyFont="1">
      <alignment horizontal="center" readingOrder="0" shrinkToFit="0" vertical="center" wrapText="1"/>
    </xf>
    <xf borderId="17" fillId="2" fontId="12"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1" fillId="2" fontId="29" numFmtId="0" xfId="0" applyAlignment="1" applyBorder="1" applyFont="1">
      <alignment horizontal="center" shrinkToFit="0" vertical="center" wrapText="1"/>
    </xf>
    <xf borderId="2" fillId="0" fontId="21" numFmtId="0" xfId="0" applyAlignment="1" applyBorder="1" applyFont="1">
      <alignment horizontal="center" readingOrder="0" shrinkToFit="0" vertical="center" wrapText="1"/>
    </xf>
    <xf borderId="2" fillId="2" fontId="29" numFmtId="0" xfId="0" applyAlignment="1" applyBorder="1" applyFont="1">
      <alignment horizontal="center" shrinkToFit="0" vertical="center" wrapText="1"/>
    </xf>
    <xf borderId="2" fillId="20" fontId="30" numFmtId="0" xfId="0" applyAlignment="1" applyBorder="1" applyFill="1" applyFont="1">
      <alignment horizontal="center" shrinkToFit="0" vertical="center" wrapText="1"/>
    </xf>
    <xf borderId="2" fillId="12" fontId="16" numFmtId="0" xfId="0" applyAlignment="1" applyBorder="1" applyFont="1">
      <alignment vertical="center"/>
    </xf>
    <xf borderId="2" fillId="0" fontId="1" numFmtId="0" xfId="0" applyAlignment="1" applyBorder="1" applyFont="1">
      <alignment horizontal="center" readingOrder="0" vertical="center"/>
    </xf>
    <xf borderId="2" fillId="2" fontId="16" numFmtId="0" xfId="0" applyAlignment="1" applyBorder="1" applyFont="1">
      <alignment vertical="center"/>
    </xf>
    <xf borderId="2" fillId="14" fontId="21" numFmtId="0" xfId="0" applyAlignment="1" applyBorder="1" applyFont="1">
      <alignment horizontal="center" shrinkToFit="0" vertical="center" wrapText="1"/>
    </xf>
    <xf borderId="2" fillId="2" fontId="16" numFmtId="0" xfId="0" applyAlignment="1" applyBorder="1" applyFont="1">
      <alignment vertical="center"/>
    </xf>
    <xf borderId="2" fillId="12" fontId="1" numFmtId="0" xfId="0" applyAlignment="1" applyBorder="1" applyFont="1">
      <alignment horizontal="center" vertical="center"/>
    </xf>
    <xf borderId="3" fillId="21" fontId="1" numFmtId="0" xfId="0" applyAlignment="1" applyBorder="1" applyFill="1" applyFont="1">
      <alignment horizontal="center" shrinkToFit="0" vertical="center" wrapText="1"/>
    </xf>
    <xf borderId="4" fillId="2" fontId="29" numFmtId="0" xfId="0" applyAlignment="1" applyBorder="1" applyFont="1">
      <alignment horizontal="center" shrinkToFit="0" vertical="center" wrapText="1"/>
    </xf>
    <xf borderId="0" fillId="0" fontId="21" numFmtId="0" xfId="0" applyAlignment="1" applyFont="1">
      <alignment horizontal="center" readingOrder="0" shrinkToFit="0" vertical="center" wrapText="1"/>
    </xf>
    <xf borderId="0" fillId="2" fontId="29" numFmtId="0" xfId="0" applyAlignment="1" applyFont="1">
      <alignment horizontal="center" shrinkToFit="0" vertical="center" wrapText="1"/>
    </xf>
    <xf borderId="0" fillId="20" fontId="30" numFmtId="0" xfId="0" applyAlignment="1" applyFont="1">
      <alignment horizontal="center" shrinkToFit="0" vertical="center" wrapText="1"/>
    </xf>
    <xf borderId="0" fillId="12" fontId="16" numFmtId="0" xfId="0" applyAlignment="1" applyFont="1">
      <alignment vertical="center"/>
    </xf>
    <xf borderId="0" fillId="0" fontId="1" numFmtId="0" xfId="0" applyAlignment="1" applyFont="1">
      <alignment horizontal="center" readingOrder="0" vertical="center"/>
    </xf>
    <xf borderId="0" fillId="14" fontId="21" numFmtId="0" xfId="0" applyAlignment="1" applyFont="1">
      <alignment horizontal="center" shrinkToFit="0" vertical="center" wrapText="1"/>
    </xf>
    <xf borderId="0" fillId="12" fontId="1" numFmtId="0" xfId="0" applyAlignment="1" applyFont="1">
      <alignment horizontal="center" vertical="center"/>
    </xf>
    <xf borderId="5" fillId="21" fontId="1" numFmtId="0" xfId="0" applyAlignment="1" applyBorder="1" applyFont="1">
      <alignment horizontal="center" shrinkToFit="0" vertical="center" wrapText="1"/>
    </xf>
    <xf borderId="0" fillId="0" fontId="1" numFmtId="0" xfId="0" applyAlignment="1" applyFont="1">
      <alignment horizontal="center" vertical="center"/>
    </xf>
    <xf borderId="6" fillId="2" fontId="29" numFmtId="0" xfId="0" applyAlignment="1" applyBorder="1" applyFont="1">
      <alignment horizontal="center" shrinkToFit="0" vertical="center" wrapText="1"/>
    </xf>
    <xf borderId="7" fillId="0" fontId="21" numFmtId="0" xfId="0" applyAlignment="1" applyBorder="1" applyFont="1">
      <alignment horizontal="center" readingOrder="0" shrinkToFit="0" vertical="center" wrapText="1"/>
    </xf>
    <xf borderId="7" fillId="2" fontId="29" numFmtId="0" xfId="0" applyAlignment="1" applyBorder="1" applyFont="1">
      <alignment horizontal="center" shrinkToFit="0" vertical="center" wrapText="1"/>
    </xf>
    <xf borderId="7" fillId="20" fontId="30" numFmtId="0" xfId="0" applyAlignment="1" applyBorder="1" applyFont="1">
      <alignment horizontal="center" shrinkToFit="0" vertical="center" wrapText="1"/>
    </xf>
    <xf borderId="7" fillId="0" fontId="1" numFmtId="0" xfId="0" applyAlignment="1" applyBorder="1" applyFont="1">
      <alignment horizontal="center" readingOrder="0" vertical="center"/>
    </xf>
    <xf borderId="7" fillId="14" fontId="21" numFmtId="0" xfId="0" applyAlignment="1" applyBorder="1" applyFont="1">
      <alignment horizontal="center" shrinkToFit="0" vertical="center" wrapText="1"/>
    </xf>
    <xf borderId="7" fillId="12" fontId="1" numFmtId="0" xfId="0" applyAlignment="1" applyBorder="1" applyFont="1">
      <alignment horizontal="center" vertical="center"/>
    </xf>
    <xf borderId="8" fillId="21" fontId="1" numFmtId="0" xfId="0" applyAlignment="1" applyBorder="1" applyFont="1">
      <alignment horizontal="center" shrinkToFit="0" vertical="center" wrapText="1"/>
    </xf>
    <xf borderId="0" fillId="2" fontId="2" numFmtId="0" xfId="0" applyAlignment="1" applyFont="1">
      <alignment horizontal="center" shrinkToFit="0" vertical="center" wrapText="1"/>
    </xf>
    <xf borderId="2" fillId="12" fontId="30" numFmtId="0" xfId="0" applyAlignment="1" applyBorder="1" applyFont="1">
      <alignment horizontal="center" shrinkToFit="0" vertical="center" wrapText="1"/>
    </xf>
    <xf borderId="0" fillId="12" fontId="30" numFmtId="0" xfId="0" applyAlignment="1" applyFont="1">
      <alignment horizontal="center" shrinkToFit="0" vertical="center" wrapText="1"/>
    </xf>
    <xf borderId="7" fillId="12" fontId="16" numFmtId="0" xfId="0" applyAlignment="1" applyBorder="1" applyFont="1">
      <alignment vertical="center"/>
    </xf>
    <xf borderId="7" fillId="0" fontId="1" numFmtId="0" xfId="0" applyAlignment="1" applyBorder="1" applyFont="1">
      <alignment horizontal="center" vertical="center"/>
    </xf>
    <xf borderId="0" fillId="0" fontId="21" numFmtId="0" xfId="0" applyAlignment="1" applyFont="1">
      <alignment horizontal="center" shrinkToFit="0" vertical="center" wrapText="1"/>
    </xf>
    <xf borderId="7" fillId="0" fontId="21" numFmtId="0" xfId="0" applyAlignment="1" applyBorder="1" applyFont="1">
      <alignment horizontal="center" shrinkToFit="0" vertical="center" wrapText="1"/>
    </xf>
    <xf borderId="7" fillId="12" fontId="30" numFmtId="0" xfId="0" applyAlignment="1" applyBorder="1" applyFont="1">
      <alignment horizontal="center" shrinkToFit="0" vertical="center" wrapText="1"/>
    </xf>
    <xf borderId="2" fillId="0" fontId="1" numFmtId="0" xfId="0" applyAlignment="1" applyBorder="1" applyFont="1">
      <alignment horizontal="center" vertical="center"/>
    </xf>
    <xf borderId="0" fillId="2" fontId="29" numFmtId="0" xfId="0" applyAlignment="1" applyFont="1">
      <alignment horizontal="center" readingOrder="0" shrinkToFit="0" vertical="center" wrapText="1"/>
    </xf>
    <xf borderId="2" fillId="0" fontId="21" numFmtId="0" xfId="0" applyAlignment="1" applyBorder="1" applyFont="1">
      <alignment horizontal="center" shrinkToFit="0" vertical="center" wrapText="1"/>
    </xf>
    <xf borderId="0" fillId="19" fontId="12" numFmtId="0" xfId="0" applyAlignment="1" applyFont="1">
      <alignment horizontal="center" readingOrder="0" shrinkToFit="0" vertical="center" wrapText="1"/>
    </xf>
    <xf borderId="0" fillId="2" fontId="31" numFmtId="0" xfId="0" applyAlignment="1" applyFont="1">
      <alignment shrinkToFit="0" vertical="center" wrapText="1"/>
    </xf>
    <xf borderId="0" fillId="2" fontId="21" numFmtId="0" xfId="0" applyAlignment="1" applyFont="1">
      <alignment horizontal="center" shrinkToFit="0" vertical="center" wrapText="1"/>
    </xf>
    <xf borderId="0" fillId="2" fontId="31" numFmtId="0" xfId="0" applyAlignment="1" applyFont="1">
      <alignment readingOrder="0" shrinkToFit="0" vertical="center" wrapText="1"/>
    </xf>
    <xf borderId="1" fillId="2" fontId="29" numFmtId="0" xfId="0" applyAlignment="1" applyBorder="1" applyFont="1">
      <alignment horizontal="center" readingOrder="0" shrinkToFit="0" vertical="center" wrapText="1"/>
    </xf>
    <xf quotePrefix="1" borderId="2" fillId="2" fontId="29" numFmtId="0" xfId="0" applyAlignment="1" applyBorder="1" applyFont="1">
      <alignment horizontal="center" readingOrder="0" shrinkToFit="0" vertical="center" wrapText="1"/>
    </xf>
    <xf borderId="2" fillId="4" fontId="21" numFmtId="0" xfId="0" applyAlignment="1" applyBorder="1" applyFont="1">
      <alignment horizontal="center" readingOrder="0" shrinkToFit="0" vertical="center" wrapText="1"/>
    </xf>
    <xf borderId="2" fillId="20" fontId="21" numFmtId="0" xfId="0" applyAlignment="1" applyBorder="1" applyFont="1">
      <alignment horizontal="center" vertical="center"/>
    </xf>
    <xf borderId="2" fillId="2" fontId="4" numFmtId="0" xfId="0" applyAlignment="1" applyBorder="1" applyFont="1">
      <alignment vertical="center"/>
    </xf>
    <xf borderId="2" fillId="2" fontId="31" numFmtId="0" xfId="0" applyAlignment="1" applyBorder="1" applyFont="1">
      <alignment shrinkToFit="0" vertical="center" wrapText="1"/>
    </xf>
    <xf borderId="2" fillId="22" fontId="21" numFmtId="0" xfId="0" applyAlignment="1" applyBorder="1" applyFill="1" applyFont="1">
      <alignment horizontal="center" shrinkToFit="0" vertical="center" wrapText="1"/>
    </xf>
    <xf borderId="2" fillId="2" fontId="32" numFmtId="0" xfId="0" applyAlignment="1" applyBorder="1" applyFont="1">
      <alignment vertical="center"/>
    </xf>
    <xf borderId="2" fillId="2" fontId="21" numFmtId="0" xfId="0" applyAlignment="1" applyBorder="1" applyFont="1">
      <alignment horizontal="center" shrinkToFit="0" vertical="center" wrapText="1"/>
    </xf>
    <xf borderId="2" fillId="2" fontId="31" numFmtId="0" xfId="0" applyAlignment="1" applyBorder="1" applyFont="1">
      <alignment readingOrder="0" shrinkToFit="0" vertical="center" wrapText="1"/>
    </xf>
    <xf borderId="3" fillId="0" fontId="20" numFmtId="0" xfId="0" applyAlignment="1" applyBorder="1" applyFont="1">
      <alignment horizontal="center" readingOrder="0" shrinkToFit="0" vertical="center" wrapText="1"/>
    </xf>
    <xf borderId="4" fillId="2" fontId="29" numFmtId="0" xfId="0" applyAlignment="1" applyBorder="1" applyFont="1">
      <alignment horizontal="center" readingOrder="0" shrinkToFit="0" vertical="center" wrapText="1"/>
    </xf>
    <xf quotePrefix="1" borderId="0" fillId="2" fontId="29" numFmtId="0" xfId="0" applyAlignment="1" applyFont="1">
      <alignment horizontal="center" readingOrder="0" shrinkToFit="0" vertical="center" wrapText="1"/>
    </xf>
    <xf borderId="0" fillId="4" fontId="21" numFmtId="0" xfId="0" applyAlignment="1" applyFont="1">
      <alignment horizontal="center" readingOrder="0" shrinkToFit="0" vertical="center" wrapText="1"/>
    </xf>
    <xf borderId="0" fillId="20" fontId="21" numFmtId="0" xfId="0" applyAlignment="1" applyFont="1">
      <alignment horizontal="center" vertical="center"/>
    </xf>
    <xf borderId="0" fillId="2" fontId="4" numFmtId="0" xfId="0" applyAlignment="1" applyFont="1">
      <alignment vertical="center"/>
    </xf>
    <xf borderId="0" fillId="22" fontId="21" numFmtId="0" xfId="0" applyAlignment="1" applyFont="1">
      <alignment horizontal="center" shrinkToFit="0" vertical="center" wrapText="1"/>
    </xf>
    <xf borderId="0" fillId="2" fontId="32" numFmtId="0" xfId="0" applyAlignment="1" applyFont="1">
      <alignment vertical="center"/>
    </xf>
    <xf borderId="5" fillId="0" fontId="20" numFmtId="0" xfId="0" applyAlignment="1" applyBorder="1" applyFont="1">
      <alignment horizontal="center" readingOrder="0" shrinkToFit="0" vertical="center" wrapText="1"/>
    </xf>
    <xf borderId="10" fillId="2" fontId="2" numFmtId="0" xfId="0" applyAlignment="1" applyBorder="1" applyFont="1">
      <alignment horizontal="center" readingOrder="0" shrinkToFit="0" vertical="center" wrapText="1"/>
    </xf>
    <xf borderId="20" fillId="20" fontId="8" numFmtId="0" xfId="0" applyAlignment="1" applyBorder="1" applyFont="1">
      <alignment horizontal="center" readingOrder="0" shrinkToFit="0" vertical="center" wrapText="1"/>
    </xf>
    <xf borderId="0" fillId="4" fontId="1" numFmtId="0" xfId="0" applyAlignment="1" applyFont="1">
      <alignment horizontal="center" readingOrder="0" vertical="center"/>
    </xf>
    <xf borderId="20" fillId="4" fontId="8" numFmtId="0" xfId="0" applyAlignment="1" applyBorder="1" applyFont="1">
      <alignment horizontal="center" readingOrder="0" shrinkToFit="0" vertical="center" wrapText="1"/>
    </xf>
    <xf borderId="0" fillId="4" fontId="1" numFmtId="0" xfId="0" applyAlignment="1" applyFont="1">
      <alignment horizontal="center" vertical="center"/>
    </xf>
    <xf borderId="21" fillId="4" fontId="8" numFmtId="0" xfId="0" applyAlignment="1" applyBorder="1" applyFont="1">
      <alignment horizontal="center" readingOrder="0" shrinkToFit="0" vertical="center" wrapText="1"/>
    </xf>
    <xf borderId="7" fillId="4" fontId="1" numFmtId="0" xfId="0" applyAlignment="1" applyBorder="1" applyFont="1">
      <alignment horizontal="center" vertical="center"/>
    </xf>
    <xf borderId="6" fillId="2" fontId="29" numFmtId="0" xfId="0" applyAlignment="1" applyBorder="1" applyFont="1">
      <alignment horizontal="center" readingOrder="0" shrinkToFit="0" vertical="center" wrapText="1"/>
    </xf>
    <xf quotePrefix="1" borderId="7" fillId="2" fontId="29" numFmtId="0" xfId="0" applyAlignment="1" applyBorder="1" applyFont="1">
      <alignment horizontal="center" readingOrder="0" shrinkToFit="0" vertical="center" wrapText="1"/>
    </xf>
    <xf borderId="7" fillId="4" fontId="21" numFmtId="0" xfId="0" applyAlignment="1" applyBorder="1" applyFont="1">
      <alignment horizontal="center" readingOrder="0" shrinkToFit="0" vertical="center" wrapText="1"/>
    </xf>
    <xf borderId="7" fillId="20" fontId="21" numFmtId="0" xfId="0" applyAlignment="1" applyBorder="1" applyFont="1">
      <alignment horizontal="center" vertical="center"/>
    </xf>
    <xf borderId="7" fillId="2" fontId="4" numFmtId="0" xfId="0" applyAlignment="1" applyBorder="1" applyFont="1">
      <alignment vertical="center"/>
    </xf>
    <xf borderId="7" fillId="2" fontId="31" numFmtId="0" xfId="0" applyAlignment="1" applyBorder="1" applyFont="1">
      <alignment shrinkToFit="0" vertical="center" wrapText="1"/>
    </xf>
    <xf borderId="7" fillId="22" fontId="21" numFmtId="0" xfId="0" applyAlignment="1" applyBorder="1" applyFont="1">
      <alignment horizontal="center" shrinkToFit="0" vertical="center" wrapText="1"/>
    </xf>
    <xf borderId="7" fillId="2" fontId="32" numFmtId="0" xfId="0" applyAlignment="1" applyBorder="1" applyFont="1">
      <alignment vertical="center"/>
    </xf>
    <xf borderId="7" fillId="2" fontId="21" numFmtId="0" xfId="0" applyAlignment="1" applyBorder="1" applyFont="1">
      <alignment horizontal="center" shrinkToFit="0" vertical="center" wrapText="1"/>
    </xf>
    <xf borderId="7" fillId="2" fontId="31" numFmtId="0" xfId="0" applyAlignment="1" applyBorder="1" applyFont="1">
      <alignment readingOrder="0" shrinkToFit="0" vertical="center" wrapText="1"/>
    </xf>
    <xf borderId="8" fillId="0" fontId="20" numFmtId="0" xfId="0" applyAlignment="1" applyBorder="1" applyFont="1">
      <alignment horizontal="center" readingOrder="0" shrinkToFit="0" vertical="center" wrapText="1"/>
    </xf>
    <xf borderId="22" fillId="2" fontId="27" numFmtId="0" xfId="0" applyAlignment="1" applyBorder="1" applyFont="1">
      <alignment horizontal="center" readingOrder="0" vertical="center"/>
    </xf>
    <xf borderId="23" fillId="0" fontId="4" numFmtId="0" xfId="0" applyBorder="1" applyFont="1"/>
    <xf borderId="14" fillId="0" fontId="4" numFmtId="0" xfId="0" applyBorder="1" applyFont="1"/>
    <xf borderId="0" fillId="2" fontId="27" numFmtId="0" xfId="0" applyAlignment="1" applyFont="1">
      <alignment horizontal="center" readingOrder="0" vertical="center"/>
    </xf>
    <xf borderId="0" fillId="2" fontId="25" numFmtId="0" xfId="0" applyAlignment="1" applyFont="1">
      <alignment horizontal="center" readingOrder="0" vertical="center"/>
    </xf>
    <xf borderId="0" fillId="2" fontId="22" numFmtId="0" xfId="0" applyAlignment="1" applyFont="1">
      <alignment horizontal="center" readingOrder="0" vertical="center"/>
    </xf>
    <xf borderId="0" fillId="2" fontId="22" numFmtId="49" xfId="0" applyAlignment="1" applyFont="1" applyNumberFormat="1">
      <alignment horizontal="center" readingOrder="0" vertical="center"/>
    </xf>
    <xf borderId="0" fillId="4" fontId="33" numFmtId="49" xfId="0" applyAlignment="1" applyFont="1" applyNumberFormat="1">
      <alignment horizontal="center" readingOrder="0" shrinkToFit="0" vertical="center" wrapText="1"/>
    </xf>
    <xf borderId="0" fillId="4" fontId="10" numFmtId="49" xfId="0" applyAlignment="1" applyFont="1" applyNumberFormat="1">
      <alignment horizontal="center" readingOrder="0" vertical="center"/>
    </xf>
    <xf borderId="0" fillId="4" fontId="10" numFmtId="49" xfId="0" applyAlignment="1" applyFont="1" applyNumberFormat="1">
      <alignment horizontal="center" vertical="center"/>
    </xf>
    <xf borderId="0" fillId="4" fontId="10" numFmtId="49" xfId="0" applyAlignment="1" applyFont="1" applyNumberFormat="1">
      <alignment horizontal="center" readingOrder="0" shrinkToFit="0" vertical="center" wrapText="1"/>
    </xf>
    <xf borderId="0" fillId="4" fontId="10" numFmtId="4" xfId="0" applyAlignment="1" applyFont="1" applyNumberFormat="1">
      <alignment horizontal="center" readingOrder="0" vertical="center"/>
    </xf>
    <xf borderId="0" fillId="4" fontId="34" numFmtId="0" xfId="0" applyAlignment="1" applyFont="1">
      <alignment horizontal="center" readingOrder="0" vertical="center"/>
    </xf>
    <xf borderId="24" fillId="4" fontId="35" numFmtId="0" xfId="0" applyAlignment="1" applyBorder="1" applyFont="1">
      <alignment horizontal="center" readingOrder="0" shrinkToFit="0" vertical="center" wrapText="1"/>
    </xf>
    <xf borderId="0" fillId="4" fontId="36" numFmtId="0" xfId="0" applyAlignment="1" applyFont="1">
      <alignment horizontal="center" readingOrder="0" shrinkToFit="0" vertical="center" wrapText="1"/>
    </xf>
    <xf borderId="0" fillId="4" fontId="10" numFmtId="0" xfId="0" applyAlignment="1" applyFont="1">
      <alignment readingOrder="0" shrinkToFit="0" vertical="center" wrapText="1"/>
    </xf>
    <xf borderId="0" fillId="4" fontId="10" numFmtId="4" xfId="0" applyAlignment="1" applyFont="1" applyNumberFormat="1">
      <alignment horizontal="center" vertical="center"/>
    </xf>
    <xf borderId="24" fillId="0" fontId="4" numFmtId="0" xfId="0" applyBorder="1" applyFont="1"/>
    <xf borderId="24" fillId="23" fontId="35" numFmtId="0" xfId="0" applyAlignment="1" applyBorder="1" applyFill="1" applyFont="1">
      <alignment horizontal="center" readingOrder="0" shrinkToFit="0" vertical="center" wrapText="1"/>
    </xf>
    <xf borderId="0" fillId="4" fontId="10" numFmtId="49" xfId="0" applyAlignment="1" applyFont="1" applyNumberFormat="1">
      <alignment horizontal="center" shrinkToFit="0" vertical="center" wrapText="1"/>
    </xf>
    <xf borderId="0" fillId="4" fontId="37" numFmtId="49" xfId="0" applyAlignment="1" applyFont="1" applyNumberFormat="1">
      <alignment horizontal="center" readingOrder="0" vertical="center"/>
    </xf>
    <xf borderId="24" fillId="4" fontId="35" numFmtId="0" xfId="0" applyAlignment="1" applyBorder="1" applyFont="1">
      <alignment horizontal="center" shrinkToFit="0" vertical="center" wrapText="1"/>
    </xf>
    <xf borderId="24" fillId="23" fontId="35" numFmtId="0" xfId="0" applyAlignment="1" applyBorder="1" applyFont="1">
      <alignment horizontal="center" shrinkToFit="0" vertical="center" wrapText="1"/>
    </xf>
    <xf borderId="24" fillId="4" fontId="16" numFmtId="0" xfId="0" applyAlignment="1" applyBorder="1" applyFont="1">
      <alignment vertical="center"/>
    </xf>
    <xf borderId="0" fillId="18" fontId="15" numFmtId="4" xfId="0" applyAlignment="1" applyFont="1" applyNumberFormat="1">
      <alignment horizontal="center" vertical="center"/>
    </xf>
    <xf borderId="0" fillId="18" fontId="10" numFmtId="4" xfId="0" applyAlignment="1" applyFont="1" applyNumberFormat="1">
      <alignment horizontal="center" vertical="center"/>
    </xf>
    <xf borderId="24" fillId="4" fontId="38" numFmtId="0" xfId="0" applyAlignment="1" applyBorder="1" applyFont="1">
      <alignment horizontal="center" readingOrder="0" shrinkToFit="0" vertical="center" wrapText="1"/>
    </xf>
    <xf borderId="0" fillId="4" fontId="20" numFmtId="0" xfId="0" applyAlignment="1" applyFont="1">
      <alignment horizontal="center" readingOrder="0" shrinkToFit="0" vertical="center" wrapText="1"/>
    </xf>
    <xf borderId="0" fillId="4" fontId="20" numFmtId="0" xfId="0" applyAlignment="1" applyFont="1">
      <alignment horizontal="center" shrinkToFit="0" vertical="center" wrapText="1"/>
    </xf>
    <xf borderId="0" fillId="2" fontId="25" numFmtId="0" xfId="0" applyAlignment="1" applyFont="1">
      <alignment horizontal="center" readingOrder="0" vertical="center"/>
    </xf>
    <xf borderId="24" fillId="4" fontId="38" numFmtId="0" xfId="0" applyAlignment="1" applyBorder="1" applyFont="1">
      <alignment horizontal="center" readingOrder="0" vertical="center"/>
    </xf>
    <xf borderId="0" fillId="2" fontId="2" numFmtId="0" xfId="0" applyAlignment="1" applyFont="1">
      <alignment horizontal="center" readingOrder="0" vertical="center"/>
    </xf>
    <xf borderId="0" fillId="4" fontId="38" numFmtId="0" xfId="0" applyAlignment="1" applyFont="1">
      <alignment horizontal="center" readingOrder="0" vertical="center"/>
    </xf>
    <xf borderId="0" fillId="4" fontId="36" numFmtId="0" xfId="0" applyAlignment="1" applyFont="1">
      <alignment horizontal="center" readingOrder="0" vertical="center"/>
    </xf>
    <xf borderId="0" fillId="4" fontId="20" numFmtId="0" xfId="0" applyAlignment="1" applyFont="1">
      <alignment horizontal="left" readingOrder="0" shrinkToFit="0" vertical="top" wrapText="1"/>
    </xf>
    <xf borderId="24" fillId="23" fontId="16" numFmtId="0" xfId="0" applyBorder="1" applyFont="1"/>
    <xf borderId="0" fillId="23" fontId="16" numFmtId="0" xfId="0" applyFont="1"/>
    <xf borderId="0" fillId="2" fontId="10" numFmtId="0" xfId="0" applyAlignment="1" applyFont="1">
      <alignment readingOrder="0" shrinkToFit="0" vertical="center" wrapText="1"/>
    </xf>
  </cellXfs>
  <cellStyles count="1">
    <cellStyle xfId="0" name="Normal" builtinId="0"/>
  </cellStyles>
  <dxfs count="25">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000000"/>
          <bgColor rgb="FF000000"/>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FFFFF"/>
          <bgColor rgb="FFFFFFFF"/>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fill>
        <patternFill patternType="solid">
          <fgColor rgb="FFA4C2F4"/>
          <bgColor rgb="FFA4C2F4"/>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000000"/>
      </font>
      <fill>
        <patternFill patternType="solid">
          <fgColor rgb="FF000000"/>
          <bgColor rgb="FF000000"/>
        </patternFill>
      </fill>
      <border/>
    </dxf>
    <dxf>
      <font>
        <color rgb="FFFF0000"/>
      </font>
      <fill>
        <patternFill patternType="solid">
          <fgColor rgb="FF434343"/>
          <bgColor rgb="FF434343"/>
        </patternFill>
      </fill>
      <border/>
    </dxf>
    <dxf>
      <font/>
      <fill>
        <patternFill patternType="solid">
          <fgColor rgb="FF666666"/>
          <bgColor rgb="FF666666"/>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FF0000"/>
      </font>
      <fill>
        <patternFill patternType="solid">
          <fgColor rgb="FFF4CCCC"/>
          <bgColor rgb="FFF4CCCC"/>
        </patternFill>
      </fill>
      <border/>
    </dxf>
    <dxf>
      <font/>
      <fill>
        <patternFill patternType="solid">
          <fgColor rgb="FFF1C232"/>
          <bgColor rgb="FFF1C232"/>
        </patternFill>
      </fill>
      <border/>
    </dxf>
    <dxf>
      <font>
        <color rgb="FF0B8043"/>
      </font>
      <fill>
        <patternFill patternType="solid">
          <fgColor rgb="FFD9EAD3"/>
          <bgColor rgb="FFD9EAD3"/>
        </patternFill>
      </fill>
      <border/>
    </dxf>
    <dxf>
      <font>
        <color rgb="FF3C78D8"/>
      </font>
      <fill>
        <patternFill patternType="solid">
          <fgColor rgb="FFFFFFFF"/>
          <bgColor rgb="FFFFFFFF"/>
        </patternFill>
      </fill>
      <border/>
    </dxf>
    <dxf>
      <font>
        <color rgb="FFE69138"/>
      </font>
      <fill>
        <patternFill patternType="solid">
          <fgColor rgb="FFFFFFFF"/>
          <bgColor rgb="FFFFFFFF"/>
        </patternFill>
      </fill>
      <border/>
    </dxf>
    <dxf>
      <font>
        <color rgb="FFB7B7B7"/>
      </font>
      <fill>
        <patternFill patternType="solid">
          <fgColor rgb="FFFFFFFF"/>
          <bgColor rgb="FFFFFFFF"/>
        </patternFill>
      </fill>
      <border/>
    </dxf>
    <dxf>
      <font>
        <color rgb="FF666666"/>
      </font>
      <fill>
        <patternFill patternType="solid">
          <fgColor rgb="FFFFFFFF"/>
          <bgColor rgb="FFFFFFFF"/>
        </patternFill>
      </fill>
      <border/>
    </dxf>
    <dxf>
      <font>
        <color rgb="FF38761D"/>
      </font>
      <fill>
        <patternFill patternType="solid">
          <fgColor rgb="FFFFFFFF"/>
          <bgColor rgb="FFFFFFFF"/>
        </patternFill>
      </fill>
      <border/>
    </dxf>
    <dxf>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13</xdr:row>
      <xdr:rowOff>276225</xdr:rowOff>
    </xdr:from>
    <xdr:ext cx="962025" cy="276225"/>
    <xdr:sp>
      <xdr:nvSpPr>
        <xdr:cNvPr id="3" name="Shape 3"/>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-2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13</xdr:row>
      <xdr:rowOff>0</xdr:rowOff>
    </xdr:from>
    <xdr:ext cx="962025" cy="276225"/>
    <xdr:sp>
      <xdr:nvSpPr>
        <xdr:cNvPr id="4" name="Shape 4"/>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-1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14</xdr:row>
      <xdr:rowOff>171450</xdr:rowOff>
    </xdr:from>
    <xdr:ext cx="962025" cy="276225"/>
    <xdr:sp>
      <xdr:nvSpPr>
        <xdr:cNvPr id="5" name="Shape 5"/>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-3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15</xdr:row>
      <xdr:rowOff>66675</xdr:rowOff>
    </xdr:from>
    <xdr:ext cx="962025" cy="276225"/>
    <xdr:sp>
      <xdr:nvSpPr>
        <xdr:cNvPr id="6" name="Shape 6"/>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-4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15</xdr:row>
      <xdr:rowOff>342900</xdr:rowOff>
    </xdr:from>
    <xdr:ext cx="962025" cy="276225"/>
    <xdr:sp>
      <xdr:nvSpPr>
        <xdr:cNvPr id="7" name="Shape 7"/>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-5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16</xdr:row>
      <xdr:rowOff>266700</xdr:rowOff>
    </xdr:from>
    <xdr:ext cx="971550" cy="476250"/>
    <xdr:sp>
      <xdr:nvSpPr>
        <xdr:cNvPr id="8" name="Shape 8"/>
        <xdr:cNvSpPr/>
      </xdr:nvSpPr>
      <xdr:spPr>
        <a:xfrm>
          <a:off x="3486150" y="1243275"/>
          <a:ext cx="952500" cy="461700"/>
        </a:xfrm>
        <a:prstGeom prst="flowChartAlternateProcess">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New</a:t>
          </a:r>
          <a:endParaRPr sz="1200">
            <a:latin typeface="Inknut Antiqua"/>
            <a:ea typeface="Inknut Antiqua"/>
            <a:cs typeface="Inknut Antiqua"/>
            <a:sym typeface="Inknut Antiqua"/>
          </a:endParaRPr>
        </a:p>
        <a:p>
          <a:pPr indent="0" lvl="0" marL="0" rtl="0" algn="ctr">
            <a:spcBef>
              <a:spcPts val="0"/>
            </a:spcBef>
            <a:spcAft>
              <a:spcPts val="0"/>
            </a:spcAft>
            <a:buNone/>
          </a:pPr>
          <a:r>
            <a:rPr lang="en-US" sz="1200">
              <a:latin typeface="Inknut Antiqua"/>
              <a:ea typeface="Inknut Antiqua"/>
              <a:cs typeface="Inknut Antiqua"/>
              <a:sym typeface="Inknut Antiqua"/>
            </a:rPr>
            <a:t>Round</a:t>
          </a:r>
          <a:endParaRPr sz="1200">
            <a:latin typeface="Inknut Antiqua"/>
            <a:ea typeface="Inknut Antiqua"/>
            <a:cs typeface="Inknut Antiqua"/>
            <a:sym typeface="Inknut Antiqua"/>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9" width="13.88"/>
    <col customWidth="1" min="10" max="10" width="1.38"/>
    <col customWidth="1" min="11" max="11" width="13.88"/>
    <col customWidth="1" min="12" max="12" width="1.38"/>
    <col customWidth="1" min="13" max="13" width="13.88"/>
    <col customWidth="1" min="14" max="14" width="1.38"/>
    <col customWidth="1" min="15" max="15" width="13.88"/>
    <col customWidth="1" min="16" max="16" width="1.38"/>
    <col customWidth="1" min="17" max="17" width="13.88"/>
    <col customWidth="1" min="18" max="18" width="4.13"/>
    <col customWidth="1" min="19" max="22" width="3.5"/>
    <col customWidth="1" min="23" max="23" width="1.38"/>
    <col customWidth="1" min="24" max="27" width="3.5"/>
    <col customWidth="1" min="28" max="28" width="1.38"/>
    <col customWidth="1" min="29" max="32" width="3.5"/>
    <col customWidth="1" min="33" max="33" width="1.38"/>
    <col customWidth="1" min="34" max="37" width="3.5"/>
    <col customWidth="1" min="38" max="38" width="4.13"/>
    <col customWidth="1" min="39" max="42" width="3.5"/>
    <col customWidth="1" min="43" max="43" width="1.38"/>
    <col customWidth="1" min="44" max="47" width="3.5"/>
    <col customWidth="1" min="48" max="48" width="1.38"/>
    <col customWidth="1" min="49" max="52" width="3.5"/>
    <col customWidth="1" min="53" max="53" width="1.38"/>
    <col customWidth="1" min="54" max="78" width="3.5"/>
  </cols>
  <sheetData>
    <row r="1" ht="15.0" customHeight="1">
      <c r="A1" s="1"/>
      <c r="J1" s="1"/>
      <c r="BG1" s="1"/>
      <c r="BH1" s="1"/>
      <c r="BI1" s="1"/>
      <c r="BJ1" s="1"/>
      <c r="BK1" s="1"/>
      <c r="BL1" s="1"/>
      <c r="BM1" s="1"/>
      <c r="BN1" s="1"/>
      <c r="BO1" s="1"/>
      <c r="BP1" s="1"/>
      <c r="BQ1" s="1"/>
      <c r="BR1" s="1"/>
      <c r="BS1" s="1"/>
      <c r="BT1" s="1"/>
      <c r="BU1" s="1"/>
      <c r="BV1" s="1"/>
      <c r="BW1" s="1"/>
      <c r="BX1" s="1"/>
      <c r="BY1" s="1"/>
      <c r="BZ1" s="1"/>
    </row>
    <row r="2" ht="30.0" customHeight="1">
      <c r="A2" s="1"/>
      <c r="B2" s="2" t="s">
        <v>0</v>
      </c>
      <c r="C2" s="3" t="s">
        <v>1</v>
      </c>
      <c r="D2" s="4"/>
      <c r="E2" s="5" t="s">
        <v>2</v>
      </c>
      <c r="F2" s="6" t="s">
        <v>3</v>
      </c>
      <c r="G2" s="5" t="s">
        <v>4</v>
      </c>
      <c r="H2" s="6">
        <v>120.0</v>
      </c>
      <c r="I2" s="7" t="s">
        <v>5</v>
      </c>
      <c r="BG2" s="1"/>
      <c r="BH2" s="1"/>
      <c r="BI2" s="1"/>
      <c r="BJ2" s="1"/>
      <c r="BK2" s="1"/>
      <c r="BL2" s="1"/>
      <c r="BM2" s="1"/>
      <c r="BN2" s="1"/>
      <c r="BO2" s="1"/>
      <c r="BP2" s="1"/>
      <c r="BQ2" s="1"/>
      <c r="BR2" s="1"/>
      <c r="BS2" s="1"/>
      <c r="BT2" s="1"/>
      <c r="BU2" s="1"/>
      <c r="BV2" s="1"/>
      <c r="BW2" s="1"/>
      <c r="BX2" s="1"/>
      <c r="BY2" s="1"/>
      <c r="BZ2" s="1"/>
    </row>
    <row r="3" ht="30.0" customHeight="1">
      <c r="B3" s="8" t="s">
        <v>6</v>
      </c>
      <c r="C3" s="9" t="s">
        <v>7</v>
      </c>
      <c r="E3" s="10" t="s">
        <v>8</v>
      </c>
      <c r="F3" s="9" t="s">
        <v>9</v>
      </c>
      <c r="G3" s="10" t="s">
        <v>10</v>
      </c>
      <c r="H3" s="9" t="s">
        <v>11</v>
      </c>
      <c r="I3" s="11"/>
      <c r="J3" s="12"/>
      <c r="M3" s="13" t="s">
        <v>12</v>
      </c>
      <c r="N3" s="4"/>
      <c r="O3" s="14"/>
      <c r="P3" s="12"/>
      <c r="Q3" s="10" t="s">
        <v>13</v>
      </c>
      <c r="R3" s="15"/>
      <c r="X3" s="16" t="s">
        <v>14</v>
      </c>
      <c r="Y3" s="4"/>
      <c r="Z3" s="4"/>
      <c r="AA3" s="17" t="s">
        <v>15</v>
      </c>
      <c r="AB3" s="4"/>
      <c r="AC3" s="4"/>
      <c r="AD3" s="4"/>
      <c r="AE3" s="4"/>
      <c r="AF3" s="14"/>
      <c r="AG3" s="12"/>
      <c r="AR3" s="16" t="s">
        <v>14</v>
      </c>
      <c r="AS3" s="4"/>
      <c r="AT3" s="4"/>
      <c r="AU3" s="17" t="s">
        <v>15</v>
      </c>
      <c r="AV3" s="4"/>
      <c r="AW3" s="4"/>
      <c r="AX3" s="4"/>
      <c r="AY3" s="4"/>
      <c r="AZ3" s="14"/>
      <c r="BA3" s="12"/>
      <c r="BL3" s="16" t="s">
        <v>14</v>
      </c>
      <c r="BM3" s="4"/>
      <c r="BN3" s="4"/>
      <c r="BO3" s="17" t="s">
        <v>15</v>
      </c>
      <c r="BP3" s="4"/>
      <c r="BQ3" s="4"/>
      <c r="BR3" s="4"/>
      <c r="BS3" s="4"/>
      <c r="BT3" s="14"/>
      <c r="BU3" s="12"/>
    </row>
    <row r="4" ht="30.0" customHeight="1">
      <c r="B4" s="8" t="s">
        <v>16</v>
      </c>
      <c r="C4" s="18"/>
      <c r="G4" s="10" t="s">
        <v>17</v>
      </c>
      <c r="H4" s="9" t="s">
        <v>18</v>
      </c>
      <c r="I4" s="19"/>
      <c r="M4" s="20"/>
      <c r="O4" s="19"/>
      <c r="Q4" s="21" t="b">
        <v>0</v>
      </c>
      <c r="X4" s="20"/>
      <c r="AF4" s="19"/>
      <c r="AR4" s="20"/>
      <c r="AZ4" s="19"/>
      <c r="BL4" s="20"/>
      <c r="BT4" s="19"/>
    </row>
    <row r="5" ht="30.0" customHeight="1">
      <c r="B5" s="8" t="s">
        <v>16</v>
      </c>
      <c r="C5" s="18"/>
      <c r="G5" s="10" t="s">
        <v>19</v>
      </c>
      <c r="H5" s="9" t="s">
        <v>20</v>
      </c>
      <c r="I5" s="22" t="s">
        <v>21</v>
      </c>
      <c r="M5" s="23">
        <f>MAX(RESISTMOD*2+CON, 1)</f>
        <v>14</v>
      </c>
      <c r="O5" s="19"/>
      <c r="Q5" s="24" t="b">
        <v>0</v>
      </c>
      <c r="X5" s="25" t="b">
        <v>0</v>
      </c>
      <c r="Y5" s="26" t="b">
        <v>0</v>
      </c>
      <c r="Z5" s="27" t="b">
        <v>0</v>
      </c>
      <c r="AA5" s="28">
        <v>0.0</v>
      </c>
      <c r="AF5" s="19"/>
      <c r="AR5" s="25" t="b">
        <v>0</v>
      </c>
      <c r="AS5" s="26" t="b">
        <v>0</v>
      </c>
      <c r="AT5" s="27" t="b">
        <v>0</v>
      </c>
      <c r="AU5" s="28">
        <v>0.0</v>
      </c>
      <c r="AZ5" s="19"/>
      <c r="BL5" s="25" t="b">
        <v>0</v>
      </c>
      <c r="BM5" s="26" t="b">
        <v>0</v>
      </c>
      <c r="BN5" s="27" t="b">
        <v>0</v>
      </c>
      <c r="BO5" s="28">
        <v>0.0</v>
      </c>
      <c r="BT5" s="19"/>
    </row>
    <row r="6" ht="30.0" customHeight="1">
      <c r="B6" s="8" t="s">
        <v>16</v>
      </c>
      <c r="C6" s="18"/>
      <c r="G6" s="10" t="s">
        <v>22</v>
      </c>
      <c r="H6" s="9" t="s">
        <v>23</v>
      </c>
      <c r="I6" s="29">
        <v>10.0</v>
      </c>
      <c r="M6" s="30"/>
      <c r="N6" s="31"/>
      <c r="O6" s="32"/>
      <c r="Q6" s="33" t="b">
        <v>0</v>
      </c>
      <c r="X6" s="30"/>
      <c r="Y6" s="31"/>
      <c r="Z6" s="31"/>
      <c r="AA6" s="31"/>
      <c r="AB6" s="31"/>
      <c r="AC6" s="31"/>
      <c r="AD6" s="31"/>
      <c r="AE6" s="31"/>
      <c r="AF6" s="32"/>
      <c r="AR6" s="30"/>
      <c r="AS6" s="31"/>
      <c r="AT6" s="31"/>
      <c r="AU6" s="31"/>
      <c r="AV6" s="31"/>
      <c r="AW6" s="31"/>
      <c r="AX6" s="31"/>
      <c r="AY6" s="31"/>
      <c r="AZ6" s="32"/>
      <c r="BL6" s="30"/>
      <c r="BM6" s="31"/>
      <c r="BN6" s="31"/>
      <c r="BO6" s="31"/>
      <c r="BP6" s="31"/>
      <c r="BQ6" s="31"/>
      <c r="BR6" s="31"/>
      <c r="BS6" s="31"/>
      <c r="BT6" s="32"/>
    </row>
    <row r="7" ht="30.0" customHeight="1">
      <c r="B7" s="34" t="s">
        <v>24</v>
      </c>
      <c r="C7" s="35">
        <v>18.0</v>
      </c>
      <c r="D7" s="36" t="s">
        <v>25</v>
      </c>
      <c r="E7" s="35" t="s">
        <v>26</v>
      </c>
      <c r="F7" s="37"/>
      <c r="G7" s="36" t="s">
        <v>27</v>
      </c>
      <c r="H7" s="35">
        <v>10.0</v>
      </c>
      <c r="I7" s="32"/>
      <c r="M7" s="38"/>
      <c r="Q7" s="12"/>
      <c r="X7" s="38"/>
      <c r="AR7" s="38"/>
      <c r="BL7" s="38"/>
    </row>
    <row r="8" ht="30.0" customHeight="1">
      <c r="B8" s="12"/>
      <c r="J8" s="12"/>
      <c r="K8" s="39" t="s">
        <v>12</v>
      </c>
      <c r="L8" s="40"/>
      <c r="M8" s="13" t="s">
        <v>12</v>
      </c>
      <c r="N8" s="4"/>
      <c r="O8" s="14"/>
      <c r="P8" s="38"/>
      <c r="Q8" s="39" t="s">
        <v>12</v>
      </c>
      <c r="R8" s="15"/>
      <c r="S8" s="16" t="s">
        <v>28</v>
      </c>
      <c r="T8" s="4"/>
      <c r="U8" s="41" t="s">
        <v>29</v>
      </c>
      <c r="V8" s="14"/>
      <c r="W8" s="38"/>
      <c r="X8" s="16" t="s">
        <v>14</v>
      </c>
      <c r="Y8" s="4"/>
      <c r="Z8" s="4"/>
      <c r="AA8" s="17" t="s">
        <v>15</v>
      </c>
      <c r="AB8" s="4"/>
      <c r="AC8" s="4"/>
      <c r="AD8" s="4"/>
      <c r="AE8" s="4"/>
      <c r="AF8" s="14"/>
      <c r="AG8" s="38"/>
      <c r="AH8" s="16" t="s">
        <v>28</v>
      </c>
      <c r="AI8" s="4"/>
      <c r="AJ8" s="41" t="s">
        <v>29</v>
      </c>
      <c r="AK8" s="14"/>
      <c r="AL8" s="42"/>
      <c r="AM8" s="16" t="s">
        <v>28</v>
      </c>
      <c r="AN8" s="4"/>
      <c r="AO8" s="41" t="s">
        <v>29</v>
      </c>
      <c r="AP8" s="14"/>
      <c r="AQ8" s="38"/>
      <c r="AR8" s="16" t="s">
        <v>14</v>
      </c>
      <c r="AS8" s="4"/>
      <c r="AT8" s="4"/>
      <c r="AU8" s="17" t="s">
        <v>15</v>
      </c>
      <c r="AV8" s="4"/>
      <c r="AW8" s="4"/>
      <c r="AX8" s="4"/>
      <c r="AY8" s="4"/>
      <c r="AZ8" s="14"/>
      <c r="BA8" s="38"/>
      <c r="BB8" s="16" t="s">
        <v>28</v>
      </c>
      <c r="BC8" s="4"/>
      <c r="BD8" s="41" t="s">
        <v>29</v>
      </c>
      <c r="BE8" s="14"/>
      <c r="BF8" s="42"/>
      <c r="BG8" s="16" t="s">
        <v>28</v>
      </c>
      <c r="BH8" s="4"/>
      <c r="BI8" s="41" t="s">
        <v>29</v>
      </c>
      <c r="BJ8" s="14"/>
      <c r="BK8" s="38"/>
      <c r="BL8" s="16" t="s">
        <v>14</v>
      </c>
      <c r="BM8" s="4"/>
      <c r="BN8" s="4"/>
      <c r="BO8" s="17" t="s">
        <v>15</v>
      </c>
      <c r="BP8" s="4"/>
      <c r="BQ8" s="4"/>
      <c r="BR8" s="4"/>
      <c r="BS8" s="4"/>
      <c r="BT8" s="14"/>
      <c r="BU8" s="38"/>
      <c r="BV8" s="16" t="s">
        <v>28</v>
      </c>
      <c r="BW8" s="4"/>
      <c r="BX8" s="41" t="s">
        <v>29</v>
      </c>
      <c r="BY8" s="14"/>
      <c r="BZ8" s="43"/>
    </row>
    <row r="9" ht="30.0" customHeight="1">
      <c r="B9" s="44" t="s">
        <v>30</v>
      </c>
      <c r="C9" s="45"/>
      <c r="D9" s="46"/>
      <c r="E9" s="44" t="s">
        <v>31</v>
      </c>
      <c r="F9" s="47" t="s">
        <v>32</v>
      </c>
      <c r="G9" s="48" t="s">
        <v>33</v>
      </c>
      <c r="H9" s="49" t="s">
        <v>34</v>
      </c>
      <c r="I9" s="50" t="s">
        <v>35</v>
      </c>
      <c r="K9" s="51">
        <f>MAX(RESISTMOD+CON, 1)</f>
        <v>8</v>
      </c>
      <c r="M9" s="20"/>
      <c r="O9" s="19"/>
      <c r="Q9" s="51">
        <f>MAX(RESISTMOD+CON, 1)</f>
        <v>8</v>
      </c>
      <c r="S9" s="52" t="b">
        <v>0</v>
      </c>
      <c r="T9" s="53" t="b">
        <v>0</v>
      </c>
      <c r="U9" s="54" t="b">
        <v>0</v>
      </c>
      <c r="V9" s="55">
        <v>0.0</v>
      </c>
      <c r="X9" s="20"/>
      <c r="AF9" s="19"/>
      <c r="AH9" s="52" t="b">
        <v>0</v>
      </c>
      <c r="AI9" s="53" t="b">
        <v>0</v>
      </c>
      <c r="AJ9" s="54" t="b">
        <v>0</v>
      </c>
      <c r="AK9" s="55">
        <v>0.0</v>
      </c>
      <c r="AM9" s="52" t="b">
        <v>0</v>
      </c>
      <c r="AN9" s="53" t="b">
        <v>0</v>
      </c>
      <c r="AO9" s="54" t="b">
        <v>0</v>
      </c>
      <c r="AP9" s="55">
        <v>0.0</v>
      </c>
      <c r="AR9" s="20"/>
      <c r="AZ9" s="19"/>
      <c r="BB9" s="52" t="b">
        <v>0</v>
      </c>
      <c r="BC9" s="53" t="b">
        <v>0</v>
      </c>
      <c r="BD9" s="54" t="b">
        <v>0</v>
      </c>
      <c r="BE9" s="55">
        <v>0.0</v>
      </c>
      <c r="BG9" s="52" t="b">
        <v>0</v>
      </c>
      <c r="BH9" s="53" t="b">
        <v>0</v>
      </c>
      <c r="BI9" s="54" t="b">
        <v>0</v>
      </c>
      <c r="BJ9" s="55">
        <v>0.0</v>
      </c>
      <c r="BL9" s="20"/>
      <c r="BT9" s="19"/>
      <c r="BV9" s="52" t="b">
        <v>0</v>
      </c>
      <c r="BW9" s="53" t="b">
        <v>0</v>
      </c>
      <c r="BX9" s="54" t="b">
        <v>0</v>
      </c>
      <c r="BY9" s="55">
        <v>0.0</v>
      </c>
    </row>
    <row r="10" ht="30.0" customHeight="1">
      <c r="B10" s="56" t="s">
        <v>36</v>
      </c>
      <c r="C10" s="57">
        <v>7.0</v>
      </c>
      <c r="D10" s="58">
        <f>-5+C10-IF((LIFESPAN) = "Normal", IF((AGE)&lt;30,0,
IF(AGE &lt; 40,1,
IF(AGE &lt; 50,3,
IF(AGE &lt; 60,6,
IF(AGE &lt; 70,10,
IF(AGE &lt; 80,15,
IF(AGE &lt; 90,21,
IF(AGE &lt; 100,28,
IF(AGE &lt; 110,36,
IF(AGE &lt; 120,45,
IF(AGE &lt; 130,55,
IF(AGE &lt; 140,66,
IF(AGE &lt; 150,78,
IF(AGE &lt; 160,91,
IF(AGE &lt; 170,105,
IF(AGE &lt; 180,120,136)))))))))))))))),
IF((LIFESPAN) = "Extended",  IF((AGE)&lt;40,0,
IF(AGE &lt; 50,1,
IF(AGE &lt; 60,3,
IF(AGE &lt; 70,6,
IF(AGE &lt; 80,10,
IF(AGE &lt; 90,15,
IF(AGE &lt; 100,21,
IF(AGE &lt; 110,28,
IF(AGE &lt; 120,36,
IF(AGE &lt; 130,45,
IF(AGE &lt; 140,55,
IF(AGE &lt; 150,66,
IF(AGE &lt; 160,78,
IF(AGE &lt; 170,91,
IF(AGE &lt; 180,105,
IF(AGE &lt; 190,120,136)))))))))))))))),
IF((LIFESPAN) = "Long", IF((AGE)&lt;50,0,
IF(AGE &lt; 60,1,
IF(AGE &lt; 70,3,
IF(AGE &lt; 80,6,
IF(AGE &lt; 90,10,
IF(AGE &lt; 100,15,
IF(AGE &lt; 110,21,
IF(AGE &lt; 120,28,
IF(AGE &lt; 130,36,
IF(AGE &lt; 140,45,
IF(AGE &lt; 150,55,
IF(AGE &lt; 160,66,
IF(AGE &lt; 170,78,
IF(AGE &lt; 180,91,
IF(AGE &lt; 190,105,
IF(AGE &lt; 200,120,136)))))))))))))))),
IF((LIFESPAN) = "Epic", IF((AGE)&lt;80,0,
IF(AGE &lt; 90,1,
IF(AGE &lt; 100,3,
IF(AGE &lt; 110,6,
IF(AGE &lt; 120,10,
IF(AGE &lt; 130,15,
IF(AGE &lt; 140,21,
IF(AGE &lt; 150,28,
IF(AGE &lt; 160,36,
IF(AGE &lt; 170,45,
IF(AGE &lt; 180,55,
IF(AGE &lt; 190,66,
IF(AGE &lt; 200,78,
IF(AGE &lt; 210,91,
IF(AGE &lt; 220,105,
IF(AGE &lt; 230,120,136)))))))))))))))),
IF((LIFESPAN) = "Immortal", 0,0)))))</f>
        <v>2</v>
      </c>
      <c r="E10" s="59"/>
      <c r="F10" s="60">
        <f>(STR)+E10</f>
        <v>2</v>
      </c>
      <c r="G10" s="61">
        <v>40.0</v>
      </c>
      <c r="H10" s="62">
        <v>6.0</v>
      </c>
      <c r="I10" s="63">
        <v>7.0</v>
      </c>
      <c r="K10" s="38"/>
      <c r="L10" s="12"/>
      <c r="M10" s="23">
        <f>MAX(RESISTMOD+CON, 1)</f>
        <v>8</v>
      </c>
      <c r="O10" s="19"/>
      <c r="P10" s="12"/>
      <c r="Q10" s="38"/>
      <c r="S10" s="64" t="s">
        <v>37</v>
      </c>
      <c r="W10" s="12"/>
      <c r="X10" s="25" t="b">
        <v>0</v>
      </c>
      <c r="Y10" s="26" t="b">
        <v>0</v>
      </c>
      <c r="Z10" s="27" t="b">
        <v>0</v>
      </c>
      <c r="AA10" s="28">
        <v>0.0</v>
      </c>
      <c r="AF10" s="19"/>
      <c r="AG10" s="12"/>
      <c r="AH10" s="38"/>
      <c r="AM10" s="38"/>
      <c r="AQ10" s="12"/>
      <c r="AR10" s="25" t="b">
        <v>0</v>
      </c>
      <c r="AS10" s="26" t="b">
        <v>0</v>
      </c>
      <c r="AT10" s="27" t="b">
        <v>0</v>
      </c>
      <c r="AU10" s="28">
        <v>0.0</v>
      </c>
      <c r="AZ10" s="19"/>
      <c r="BA10" s="12"/>
      <c r="BB10" s="38"/>
      <c r="BG10" s="38"/>
      <c r="BK10" s="12"/>
      <c r="BL10" s="25" t="b">
        <v>0</v>
      </c>
      <c r="BM10" s="26" t="b">
        <v>0</v>
      </c>
      <c r="BN10" s="27" t="b">
        <v>0</v>
      </c>
      <c r="BO10" s="28">
        <v>0.0</v>
      </c>
      <c r="BT10" s="19"/>
      <c r="BU10" s="12"/>
      <c r="BV10" s="38"/>
    </row>
    <row r="11" ht="30.0" customHeight="1">
      <c r="B11" s="56" t="s">
        <v>38</v>
      </c>
      <c r="C11" s="57">
        <v>7.0</v>
      </c>
      <c r="D11" s="58">
        <f>-5+C11-IF((LIFESPAN) = "Normal", IF((AGE)&lt;40,0,
IF(AGE &lt; 50,1,
IF(AGE &lt; 60,3,
IF(AGE &lt; 70,6,
IF(AGE &lt; 80,10,
IF(AGE &lt; 90,15,
IF(AGE &lt; 100,21,
IF(AGE &lt; 110,28,
IF(AGE &lt; 120,36,
IF(AGE &lt; 130,45,
IF(AGE &lt; 140,55,
IF(AGE &lt; 150,66,
IF(AGE &lt; 160,78,
IF(AGE &lt; 170,91,
IF(AGE &lt; 180,105,120))))))))))))))),
IF((LIFESPAN) = "Extended",  IF((AGE)&lt;50,0,
IF(AGE &lt; 60,1,
IF(AGE &lt; 70,3,
IF(AGE &lt; 80,6,
IF(AGE &lt; 90,10,
IF(AGE &lt; 100,15,
IF(AGE &lt; 110,21,
IF(AGE &lt; 120,28,
IF(AGE &lt; 130,36,
IF(AGE &lt; 140,45,
IF(AGE &lt; 150,55,
IF(AGE &lt; 160,66,
IF(AGE &lt; 170,78,
IF(AGE &lt; 180,91,
IF(AGE &lt; 190,105,120))))))))))))))),
IF((LIFESPAN) = "Long", IF((AGE)&lt;60,0,
IF(AGE &lt; 70,1,
IF(AGE &lt; 80,3,
IF(AGE &lt; 90,6,
IF(AGE &lt; 100,10,
IF(AGE &lt; 110,15,
IF(AGE &lt; 120,21,
IF(AGE &lt; 130,28,
IF(AGE &lt; 140,36,
IF(AGE &lt; 150,45,
IF(AGE &lt; 160,55,
IF(AGE &lt; 170,66,
IF(AGE &lt; 180,78,
IF(AGE &lt; 190,91,
IF(AGE &lt; 200,105,120))))))))))))))),
IF((LIFESPAN) = "Epic", IF((AGE)&lt;90,0,
IF(AGE &lt; 100,1,
IF(AGE &lt; 110,3,
IF(AGE &lt; 120,6,
IF(AGE &lt; 130,10,
IF(AGE &lt; 140,15,
IF(AGE &lt; 150,21,
IF(AGE &lt; 160,28,
IF(AGE &lt; 170,36,
IF(AGE &lt; 180,45,
IF(AGE &lt; 190,55,
IF(AGE &lt; 200,66,
IF(AGE &lt; 210,78,
IF(AGE &lt; 220,91,
IF(AGE &lt; 230,105,120))))))))))))))),
IF((LIFESPAN) = "Immortal", 0,0)))))</f>
        <v>2</v>
      </c>
      <c r="E11" s="59"/>
      <c r="F11" s="60">
        <f>(DEX)+E11</f>
        <v>2</v>
      </c>
      <c r="G11" s="65" t="s">
        <v>39</v>
      </c>
      <c r="I11" s="66"/>
      <c r="K11" s="39" t="s">
        <v>12</v>
      </c>
      <c r="M11" s="30"/>
      <c r="N11" s="31"/>
      <c r="O11" s="32"/>
      <c r="Q11" s="39" t="s">
        <v>12</v>
      </c>
      <c r="S11" s="16" t="s">
        <v>28</v>
      </c>
      <c r="T11" s="4"/>
      <c r="U11" s="41" t="s">
        <v>29</v>
      </c>
      <c r="V11" s="14"/>
      <c r="X11" s="30"/>
      <c r="Y11" s="31"/>
      <c r="Z11" s="31"/>
      <c r="AA11" s="31"/>
      <c r="AB11" s="31"/>
      <c r="AC11" s="31"/>
      <c r="AD11" s="31"/>
      <c r="AE11" s="31"/>
      <c r="AF11" s="32"/>
      <c r="AH11" s="16" t="s">
        <v>28</v>
      </c>
      <c r="AI11" s="4"/>
      <c r="AJ11" s="41" t="s">
        <v>29</v>
      </c>
      <c r="AK11" s="14"/>
      <c r="AM11" s="16" t="s">
        <v>28</v>
      </c>
      <c r="AN11" s="4"/>
      <c r="AO11" s="41" t="s">
        <v>29</v>
      </c>
      <c r="AP11" s="14"/>
      <c r="AR11" s="30"/>
      <c r="AS11" s="31"/>
      <c r="AT11" s="31"/>
      <c r="AU11" s="31"/>
      <c r="AV11" s="31"/>
      <c r="AW11" s="31"/>
      <c r="AX11" s="31"/>
      <c r="AY11" s="31"/>
      <c r="AZ11" s="32"/>
      <c r="BB11" s="16" t="s">
        <v>28</v>
      </c>
      <c r="BC11" s="4"/>
      <c r="BD11" s="41" t="s">
        <v>29</v>
      </c>
      <c r="BE11" s="14"/>
      <c r="BG11" s="16" t="s">
        <v>28</v>
      </c>
      <c r="BH11" s="4"/>
      <c r="BI11" s="41" t="s">
        <v>29</v>
      </c>
      <c r="BJ11" s="14"/>
      <c r="BL11" s="30"/>
      <c r="BM11" s="31"/>
      <c r="BN11" s="31"/>
      <c r="BO11" s="31"/>
      <c r="BP11" s="31"/>
      <c r="BQ11" s="31"/>
      <c r="BR11" s="31"/>
      <c r="BS11" s="31"/>
      <c r="BT11" s="32"/>
      <c r="BV11" s="16" t="s">
        <v>28</v>
      </c>
      <c r="BW11" s="4"/>
      <c r="BX11" s="41" t="s">
        <v>29</v>
      </c>
      <c r="BY11" s="14"/>
    </row>
    <row r="12" ht="30.0" customHeight="1">
      <c r="B12" s="56" t="s">
        <v>40</v>
      </c>
      <c r="C12" s="57">
        <v>7.0</v>
      </c>
      <c r="D12" s="58">
        <f>-5+C12-IF((LIFESPAN) = "Normal", IF((AGE)&lt;50,0,
IF(AGE &lt; 60,1,
IF(AGE &lt; 70,3,
IF(AGE &lt; 80,6,
IF(AGE &lt; 90,10,
IF(AGE &lt; 100,15,
IF(AGE &lt; 110,21,
IF(AGE &lt; 120,28,
IF(AGE &lt; 130,36,
IF(AGE &lt; 140,45,
IF(AGE &lt; 150,55,
IF(AGE &lt; 160,66,
IF(AGE &lt; 170,78,
IF(AGE &lt; 180,91,136)))))))))))))),
IF((LIFESPAN) = "Extended",  IF((AGE)&lt;60,0,
IF(AGE &lt; 70,1,
IF(AGE &lt; 80,3,
IF(AGE &lt; 90,6,
IF(AGE &lt; 100,10,
IF(AGE &lt; 110,15,
IF(AGE &lt; 120,21,
IF(AGE &lt; 130,28,
IF(AGE &lt; 140,36,
IF(AGE &lt; 150,45,
IF(AGE &lt; 160,55,
IF(AGE &lt; 170,66,
IF(AGE &lt; 180,78,
IF(AGE &lt; 190,91,136)))))))))))))),
IF((LIFESPAN) = "Long", IF((AGE)&lt;70,0,
IF(AGE &lt; 80,1,
IF(AGE &lt; 90,3,
IF(AGE &lt; 100,6,
IF(AGE &lt; 110,10,
IF(AGE &lt; 120,15,
IF(AGE &lt; 130,21,
IF(AGE &lt; 140,28,
IF(AGE &lt; 150,36,
IF(AGE &lt; 160,45,
IF(AGE &lt; 170,55,
IF(AGE &lt; 180,66,
IF(AGE &lt; 190,78,
IF(AGE &lt; 200,91,120)))))))))))))),
IF((LIFESPAN) = "Epic", IF((AGE)&lt;100,0,
IF(AGE &lt; 110,1,
IF(AGE &lt; 120,3,
IF(AGE &lt; 130,6,
IF(AGE &lt; 140,10,
IF(AGE &lt; 150,15,
IF(AGE &lt; 160,21,
IF(AGE &lt; 170,28,
IF(AGE &lt; 180,36,
IF(AGE &lt; 190,45,
IF(AGE &lt; 200,55,
IF(AGE &lt; 210,66,
IF(AGE &lt; 220,78,
IF(AGE &lt; 230,91,120)))))))))))))),
IF((LIFESPAN) = "Immortal", 0,0)))))</f>
        <v>2</v>
      </c>
      <c r="E12" s="59"/>
      <c r="F12" s="58">
        <f>(CON)+E12</f>
        <v>2</v>
      </c>
      <c r="G12" s="67">
        <f>(CON)*5+(CHA)*5+G10</f>
        <v>60</v>
      </c>
      <c r="H12" s="14"/>
      <c r="I12" s="68" t="s">
        <v>41</v>
      </c>
      <c r="K12" s="51">
        <f>MAX(RESISTMOD+CON, 1)</f>
        <v>8</v>
      </c>
      <c r="M12" s="40"/>
      <c r="Q12" s="51">
        <f>MAX(RESISTMOD+CON, 1)</f>
        <v>8</v>
      </c>
      <c r="S12" s="52" t="b">
        <v>0</v>
      </c>
      <c r="T12" s="53" t="b">
        <v>0</v>
      </c>
      <c r="U12" s="54" t="b">
        <v>0</v>
      </c>
      <c r="V12" s="55">
        <v>0.0</v>
      </c>
      <c r="X12" s="40"/>
      <c r="AH12" s="52" t="b">
        <v>0</v>
      </c>
      <c r="AI12" s="53" t="b">
        <v>0</v>
      </c>
      <c r="AJ12" s="54" t="b">
        <v>0</v>
      </c>
      <c r="AK12" s="55">
        <v>0.0</v>
      </c>
      <c r="AM12" s="52" t="b">
        <v>0</v>
      </c>
      <c r="AN12" s="53" t="b">
        <v>0</v>
      </c>
      <c r="AO12" s="54" t="b">
        <v>0</v>
      </c>
      <c r="AP12" s="55">
        <v>0.0</v>
      </c>
      <c r="AR12" s="40"/>
      <c r="BB12" s="52" t="b">
        <v>0</v>
      </c>
      <c r="BC12" s="53" t="b">
        <v>0</v>
      </c>
      <c r="BD12" s="54" t="b">
        <v>0</v>
      </c>
      <c r="BE12" s="55">
        <v>0.0</v>
      </c>
      <c r="BG12" s="52" t="b">
        <v>0</v>
      </c>
      <c r="BH12" s="53" t="b">
        <v>0</v>
      </c>
      <c r="BI12" s="54" t="b">
        <v>0</v>
      </c>
      <c r="BJ12" s="55">
        <v>0.0</v>
      </c>
      <c r="BL12" s="40"/>
      <c r="BV12" s="52" t="b">
        <v>0</v>
      </c>
      <c r="BW12" s="53" t="b">
        <v>0</v>
      </c>
      <c r="BX12" s="54" t="b">
        <v>0</v>
      </c>
      <c r="BY12" s="55">
        <v>0.0</v>
      </c>
    </row>
    <row r="13" ht="30.0" customHeight="1">
      <c r="B13" s="69" t="s">
        <v>42</v>
      </c>
      <c r="C13" s="57">
        <v>7.0</v>
      </c>
      <c r="D13" s="70">
        <f>-5+C13-IF((LIFESPAN) = "Normal", IF((AGE)&lt;60,0,
IF(AGE &lt; 70,1,
IF(AGE &lt; 80,3,
IF(AGE &lt; 90,6,
IF(AGE &lt; 100,10,
IF(AGE &lt; 110,15,
IF(AGE &lt; 120,21,
IF(AGE &lt; 130,28,
IF(AGE &lt; 140,36,
IF(AGE &lt; 150,45,
IF(AGE &lt; 160,55,
IF(AGE &lt; 170,66,
IF(AGE &lt; 180,78,105))))))))))))),
IF((LIFESPAN) = "Extended",  IF((AGE)&lt;70,0,
IF(AGE &lt; 80,1,
IF(AGE &lt; 90,3,
IF(AGE &lt; 100,6,
IF(AGE &lt; 110,10,
IF(AGE &lt; 120,15,
IF(AGE &lt; 130,21,
IF(AGE &lt; 140,28,
IF(AGE &lt; 150,36,
IF(AGE &lt; 160,45,
IF(AGE &lt; 170,55,
IF(AGE &lt; 180,66,
IF(AGE &lt; 190,78,136))))))))))))),
IF((LIFESPAN) = "Long", IF((AGE)&lt;70,0,
IF(AGE &lt; 80,1,
IF(AGE &lt; 90,3,
IF(AGE &lt; 100,6,
IF(AGE &lt; 110,10,
IF(AGE &lt; 120,15,
IF(AGE &lt; 130,21,
IF(AGE &lt; 140,28,
IF(AGE &lt; 150,36,
IF(AGE &lt; 160,45,
IF(AGE &lt; 170,55,
IF(AGE &lt; 180,66,
IF(AGE &lt; 190,78,
IF(AGE &lt; 200,91,120)))))))))))))),
IF((LIFESPAN) = "Epic", IF((AGE)&lt;100,0,
IF(AGE &lt; 110,1,
IF(AGE &lt; 120,3,
IF(AGE &lt; 130,6,
IF(AGE &lt; 140,10,
IF(AGE &lt; 150,15,
IF(AGE &lt; 160,21,
IF(AGE &lt; 170,28,
IF(AGE &lt; 180,36,
IF(AGE &lt; 190,45,
IF(AGE &lt; 200,55,
IF(AGE &lt; 210,66,
IF(AGE &lt; 220,78,
IF(AGE &lt; 230,91,120)))))))))))))),
IF((LIFESPAN) = "Immortal", 0,0)))))</f>
        <v>2</v>
      </c>
      <c r="E13" s="59"/>
      <c r="F13" s="60">
        <f>(INT)+E13</f>
        <v>2</v>
      </c>
      <c r="G13" s="71">
        <v>60.0</v>
      </c>
      <c r="H13" s="19"/>
      <c r="I13" s="68" t="s">
        <v>43</v>
      </c>
      <c r="J13" s="12"/>
      <c r="M13" s="72" t="s">
        <v>12</v>
      </c>
      <c r="N13" s="12"/>
      <c r="O13" s="72" t="s">
        <v>12</v>
      </c>
      <c r="P13" s="73"/>
      <c r="X13" s="74" t="s">
        <v>28</v>
      </c>
      <c r="Y13" s="4"/>
      <c r="Z13" s="41" t="s">
        <v>29</v>
      </c>
      <c r="AA13" s="14"/>
      <c r="AB13" s="75"/>
      <c r="AC13" s="74" t="s">
        <v>28</v>
      </c>
      <c r="AD13" s="4"/>
      <c r="AE13" s="41" t="s">
        <v>29</v>
      </c>
      <c r="AF13" s="14"/>
      <c r="AG13" s="12"/>
      <c r="AR13" s="74" t="s">
        <v>28</v>
      </c>
      <c r="AS13" s="4"/>
      <c r="AT13" s="41" t="s">
        <v>29</v>
      </c>
      <c r="AU13" s="14"/>
      <c r="AV13" s="75"/>
      <c r="AW13" s="74" t="s">
        <v>28</v>
      </c>
      <c r="AX13" s="4"/>
      <c r="AY13" s="41" t="s">
        <v>29</v>
      </c>
      <c r="AZ13" s="14"/>
      <c r="BA13" s="12"/>
      <c r="BL13" s="74" t="s">
        <v>28</v>
      </c>
      <c r="BM13" s="4"/>
      <c r="BN13" s="41" t="s">
        <v>29</v>
      </c>
      <c r="BO13" s="14"/>
      <c r="BP13" s="75"/>
      <c r="BQ13" s="74" t="s">
        <v>28</v>
      </c>
      <c r="BR13" s="4"/>
      <c r="BS13" s="41" t="s">
        <v>29</v>
      </c>
      <c r="BT13" s="14"/>
      <c r="BU13" s="12"/>
    </row>
    <row r="14" ht="30.0" customHeight="1">
      <c r="B14" s="69" t="s">
        <v>44</v>
      </c>
      <c r="C14" s="57">
        <v>7.0</v>
      </c>
      <c r="D14" s="76">
        <f>-5+C14-IF((LIFESPAN) = "Normal", IF((AGE)&lt;70,0,
IF(AGE &lt; 80,1,
IF(AGE &lt; 90,3,
IF(AGE &lt; 100,6,
IF(AGE &lt; 110,10,
IF(AGE &lt; 120,15,
IF(AGE &lt; 130,21,
IF(AGE &lt; 140,28,
IF(AGE &lt; 150,36,
IF(AGE &lt; 160,45,
IF(AGE &lt; 170,55,
IF(AGE &lt; 180,66,105)))))))))))),
IF((LIFESPAN) = "Extended",  IF((AGE)&lt;80,0,
IF(AGE &lt; 90,1,
IF(AGE &lt; 100,3,
IF(AGE &lt; 110,6,
IF(AGE &lt; 120,10,
IF(AGE &lt; 130,15,
IF(AGE &lt; 140,21,
IF(AGE &lt; 150,28,
IF(AGE &lt; 160,36,
IF(AGE &lt; 170,45,
IF(AGE &lt; 180,55,
IF(AGE &lt; 190,66,136)))))))))))),
IF((LIFESPAN) = "Long", IF((AGE)&lt;80,0,
IF(AGE &lt; 90,1,
IF(AGE &lt; 100,3,
IF(AGE &lt; 110,6,
IF(AGE &lt; 120,10,
IF(AGE &lt; 130,15,
IF(AGE &lt; 140,21,
IF(AGE &lt; 150,28,
IF(AGE &lt; 160,36,
IF(AGE &lt; 170,45,
IF(AGE &lt; 180,55,
IF(AGE &lt; 190,66,
IF(AGE &lt; 200,78,120))))))))))))),
IF((LIFESPAN) = "Epic", IF((AGE)&lt;110,0,
IF(AGE &lt; 120,1,
IF(AGE &lt; 130,3,
IF(AGE &lt; 140,6,
IF(AGE &lt; 150,10,
IF(AGE &lt; 160,15,
IF(AGE &lt; 170,21,
IF(AGE &lt; 180,28,
IF(AGE &lt; 190,36,
IF(AGE &lt; 200,45,
IF(AGE &lt; 210,55,
IF(AGE &lt; 220,66,
IF(AGE &lt; 230,78,120))))))))))))),
IF((LIFESPAN) = "Immortal", 0,0)))))</f>
        <v>2</v>
      </c>
      <c r="E14" s="59"/>
      <c r="F14" s="60">
        <f>(WIS)+E14</f>
        <v>2</v>
      </c>
      <c r="G14" s="20"/>
      <c r="H14" s="19"/>
      <c r="I14" s="68" t="s">
        <v>45</v>
      </c>
      <c r="M14" s="77"/>
      <c r="O14" s="77"/>
      <c r="X14" s="20"/>
      <c r="AA14" s="19"/>
      <c r="AC14" s="20"/>
      <c r="AF14" s="19"/>
      <c r="AR14" s="20"/>
      <c r="AU14" s="19"/>
      <c r="AW14" s="20"/>
      <c r="AZ14" s="19"/>
      <c r="BL14" s="20"/>
      <c r="BO14" s="19"/>
      <c r="BQ14" s="20"/>
      <c r="BT14" s="19"/>
    </row>
    <row r="15" ht="30.0" customHeight="1">
      <c r="B15" s="78" t="s">
        <v>46</v>
      </c>
      <c r="C15" s="79">
        <v>7.0</v>
      </c>
      <c r="D15" s="80">
        <f>-5+C15-IF((LIFESPAN) = "Normal", IF((AGE)&lt;80,0,
IF(AGE &lt; 90,1,
IF(AGE &lt; 100,3,
IF(AGE &lt; 110,6,
IF(AGE &lt; 120,10,
IF(AGE &lt; 130,15,
IF(AGE &lt; 140,21,
IF(AGE &lt; 150,28,
IF(AGE &lt; 160,36,
IF(AGE &lt; 170,45,
IF(AGE &lt; 180,55,105))))))))))),
IF((LIFESPAN) = "Extended",  IF((AGE)&lt;90,0,
IF(AGE &lt; 100,1,
IF(AGE &lt; 110,3,
IF(AGE &lt; 120,6,
IF(AGE &lt; 130,10,
IF(AGE &lt; 140,15,
IF(AGE &lt; 150,21,
IF(AGE &lt; 160,28,
IF(AGE &lt; 170,36,
IF(AGE &lt; 180,45,
IF(AGE &lt; 190,55,136))))))))))),
IF((LIFESPAN) = "Long", IF((AGE)&lt;90,0,
IF(AGE &lt; 100,1,
IF(AGE &lt; 110,3,
IF(AGE &lt; 120,6,
IF(AGE &lt; 130,10,
IF(AGE &lt; 140,15,
IF(AGE &lt; 150,21,
IF(AGE &lt; 160,28,
IF(AGE &lt; 170,36,
IF(AGE &lt; 180,45,
IF(AGE &lt; 190,55,
IF(AGE &lt; 200,66,120)))))))))))),
IF((LIFESPAN) = "Epic", IF((AGE)&lt;120,0,
IF(AGE &lt; 130,1,
IF(AGE &lt; 140,3,
IF(AGE &lt; 150,6,
IF(AGE &lt; 160,10,
IF(AGE &lt; 170,15,
IF(AGE &lt; 180,21,
IF(AGE &lt; 190,28,
IF(AGE &lt; 200,36,
IF(AGE &lt; 210,45,
IF(AGE &lt; 220,55,
IF(AGE &lt; 230,66,120)))))))))))),
IF((LIFESPAN) = "Immortal", 0,0)))))</f>
        <v>2</v>
      </c>
      <c r="E15" s="81"/>
      <c r="F15" s="82">
        <f>(CHA)+E15</f>
        <v>2</v>
      </c>
      <c r="G15" s="83">
        <v>0.0</v>
      </c>
      <c r="H15" s="32"/>
      <c r="I15" s="84" t="s">
        <v>47</v>
      </c>
      <c r="M15" s="85">
        <f>MAX(RESISTMOD*2+CON, 1)</f>
        <v>14</v>
      </c>
      <c r="O15" s="85">
        <f>MAX(RESISTMOD*2+CON, 1)</f>
        <v>14</v>
      </c>
      <c r="X15" s="86" t="b">
        <v>0</v>
      </c>
      <c r="Y15" s="87" t="b">
        <v>0</v>
      </c>
      <c r="Z15" s="88" t="b">
        <v>0</v>
      </c>
      <c r="AA15" s="89">
        <v>0.0</v>
      </c>
      <c r="AC15" s="86" t="b">
        <v>0</v>
      </c>
      <c r="AD15" s="87" t="b">
        <v>0</v>
      </c>
      <c r="AE15" s="88" t="b">
        <v>0</v>
      </c>
      <c r="AF15" s="89">
        <v>0.0</v>
      </c>
      <c r="AR15" s="86" t="b">
        <v>0</v>
      </c>
      <c r="AS15" s="87" t="b">
        <v>0</v>
      </c>
      <c r="AT15" s="88" t="b">
        <v>0</v>
      </c>
      <c r="AU15" s="89">
        <v>0.0</v>
      </c>
      <c r="AW15" s="86" t="b">
        <v>0</v>
      </c>
      <c r="AX15" s="87" t="b">
        <v>0</v>
      </c>
      <c r="AY15" s="88" t="b">
        <v>0</v>
      </c>
      <c r="AZ15" s="89">
        <v>0.0</v>
      </c>
      <c r="BL15" s="86" t="b">
        <v>0</v>
      </c>
      <c r="BM15" s="87" t="b">
        <v>0</v>
      </c>
      <c r="BN15" s="88" t="b">
        <v>0</v>
      </c>
      <c r="BO15" s="89">
        <v>0.0</v>
      </c>
      <c r="BQ15" s="86" t="b">
        <v>0</v>
      </c>
      <c r="BR15" s="87" t="b">
        <v>0</v>
      </c>
      <c r="BS15" s="88" t="b">
        <v>0</v>
      </c>
      <c r="BT15" s="89">
        <v>0.0</v>
      </c>
    </row>
    <row r="16" ht="30.0" customHeight="1">
      <c r="B16" s="90"/>
      <c r="G16" s="91" t="s">
        <v>48</v>
      </c>
      <c r="I16" s="92"/>
      <c r="M16" s="93"/>
      <c r="O16" s="93"/>
      <c r="X16" s="30"/>
      <c r="Y16" s="31"/>
      <c r="Z16" s="31"/>
      <c r="AA16" s="32"/>
      <c r="AC16" s="30"/>
      <c r="AD16" s="31"/>
      <c r="AE16" s="31"/>
      <c r="AF16" s="32"/>
      <c r="AR16" s="30"/>
      <c r="AS16" s="31"/>
      <c r="AT16" s="31"/>
      <c r="AU16" s="32"/>
      <c r="AW16" s="30"/>
      <c r="AX16" s="31"/>
      <c r="AY16" s="31"/>
      <c r="AZ16" s="32"/>
      <c r="BL16" s="30"/>
      <c r="BM16" s="31"/>
      <c r="BN16" s="31"/>
      <c r="BO16" s="32"/>
      <c r="BQ16" s="30"/>
      <c r="BR16" s="31"/>
      <c r="BS16" s="31"/>
      <c r="BT16" s="32"/>
    </row>
    <row r="17" ht="30.0" customHeight="1">
      <c r="B17" s="94" t="s">
        <v>49</v>
      </c>
      <c r="C17" s="6" t="s">
        <v>50</v>
      </c>
      <c r="D17" s="95" t="s">
        <v>51</v>
      </c>
      <c r="E17" s="96">
        <f>2*ROUNDDOWN(MAX(MAX(CON+CHA,0)+I10, 0)/2,0)</f>
        <v>10</v>
      </c>
      <c r="F17" s="97" t="s">
        <v>52</v>
      </c>
      <c r="G17" s="4"/>
      <c r="H17" s="4"/>
      <c r="I17" s="14"/>
      <c r="M17" s="40"/>
      <c r="O17" s="40"/>
      <c r="X17" s="40"/>
      <c r="AC17" s="40"/>
      <c r="AR17" s="40"/>
      <c r="AW17" s="40"/>
      <c r="BL17" s="40"/>
      <c r="BQ17" s="40"/>
    </row>
    <row r="18" ht="30.0" customHeight="1">
      <c r="B18" s="98" t="s">
        <v>53</v>
      </c>
      <c r="C18" s="9">
        <v>1.0</v>
      </c>
      <c r="D18" s="99" t="s">
        <v>54</v>
      </c>
      <c r="E18" s="100">
        <f>ROUNDDOWN(1+(APTMOD)+
IF((REFLEXES) = "None", IF(MIN((STR),(WIS),(DEX)) &lt; 0, 0, MIN((STR),(WIS),(DEX))), 
IF((REFLEXES) = "Level 1", IF(AVERAGE((STR),(WIS),(DEX)) &lt; 0, 0, AVERAGE((STR),(WIS),(DEX))), 
IF(OR((REFLEXES) = "Level 2", (REFLEXES) = "Level 3"), IF(MAX((STR),(WIS),(DEX)) &lt; 0, 0, MAX((STR),(WIS),(DEX))), 0))),0)</f>
        <v>4</v>
      </c>
      <c r="F18" s="101"/>
      <c r="I18" s="19"/>
      <c r="M18" s="39" t="s">
        <v>12</v>
      </c>
      <c r="O18" s="39" t="s">
        <v>12</v>
      </c>
      <c r="X18" s="16" t="s">
        <v>28</v>
      </c>
      <c r="Y18" s="4"/>
      <c r="Z18" s="41" t="s">
        <v>29</v>
      </c>
      <c r="AA18" s="14"/>
      <c r="AC18" s="16" t="s">
        <v>28</v>
      </c>
      <c r="AD18" s="4"/>
      <c r="AE18" s="41" t="s">
        <v>29</v>
      </c>
      <c r="AF18" s="14"/>
      <c r="AR18" s="16" t="s">
        <v>28</v>
      </c>
      <c r="AS18" s="4"/>
      <c r="AT18" s="41" t="s">
        <v>29</v>
      </c>
      <c r="AU18" s="14"/>
      <c r="AW18" s="16" t="s">
        <v>28</v>
      </c>
      <c r="AX18" s="4"/>
      <c r="AY18" s="41" t="s">
        <v>29</v>
      </c>
      <c r="AZ18" s="14"/>
      <c r="BL18" s="16" t="s">
        <v>28</v>
      </c>
      <c r="BM18" s="4"/>
      <c r="BN18" s="41" t="s">
        <v>29</v>
      </c>
      <c r="BO18" s="14"/>
      <c r="BQ18" s="16" t="s">
        <v>28</v>
      </c>
      <c r="BR18" s="4"/>
      <c r="BS18" s="41" t="s">
        <v>29</v>
      </c>
      <c r="BT18" s="14"/>
    </row>
    <row r="19" ht="30.0" customHeight="1">
      <c r="B19" s="98" t="s">
        <v>55</v>
      </c>
      <c r="C19" s="9">
        <v>0.0</v>
      </c>
      <c r="D19" s="99" t="s">
        <v>56</v>
      </c>
      <c r="E19" s="102" t="str">
        <f t="array" ref="E19:F19">IF((STR)*20 + 100 &gt;= (WEIGHT), (SPEEDMOD*5)+30+(DEX)*5 &amp; "ft (" &amp; 6+(DEX) &amp; ")", ROUND((SPEEDMOD*5)+30+(DEX)*5 - ((WEIGHT)-((STR)*20+100))/5*5 +1,0) &amp; "ft (" &amp; ROUND(5+(DEX)- ((WEIGHT)-((STR)*20+100))/5,0) &amp; ")*")</f>
        <v>40ft (8)</v>
      </c>
      <c r="I19" s="19"/>
      <c r="M19" s="51">
        <f>MAX(RESISTMOD+CON, 1)</f>
        <v>8</v>
      </c>
      <c r="O19" s="51">
        <f>MAX(RESISTMOD+CON, 1)</f>
        <v>8</v>
      </c>
      <c r="X19" s="52" t="b">
        <v>0</v>
      </c>
      <c r="Y19" s="53" t="b">
        <v>0</v>
      </c>
      <c r="Z19" s="54" t="b">
        <v>0</v>
      </c>
      <c r="AA19" s="55">
        <v>0.0</v>
      </c>
      <c r="AC19" s="52" t="b">
        <v>0</v>
      </c>
      <c r="AD19" s="53" t="b">
        <v>0</v>
      </c>
      <c r="AE19" s="54" t="b">
        <v>0</v>
      </c>
      <c r="AF19" s="55">
        <v>0.0</v>
      </c>
      <c r="AR19" s="52" t="b">
        <v>0</v>
      </c>
      <c r="AS19" s="53" t="b">
        <v>0</v>
      </c>
      <c r="AT19" s="54" t="b">
        <v>0</v>
      </c>
      <c r="AU19" s="55">
        <v>0.0</v>
      </c>
      <c r="AW19" s="52" t="b">
        <v>0</v>
      </c>
      <c r="AX19" s="53" t="b">
        <v>0</v>
      </c>
      <c r="AY19" s="54" t="b">
        <v>0</v>
      </c>
      <c r="AZ19" s="55">
        <v>0.0</v>
      </c>
      <c r="BL19" s="52" t="b">
        <v>0</v>
      </c>
      <c r="BM19" s="53" t="b">
        <v>0</v>
      </c>
      <c r="BN19" s="54" t="b">
        <v>0</v>
      </c>
      <c r="BO19" s="55">
        <v>0.0</v>
      </c>
      <c r="BQ19" s="52" t="b">
        <v>0</v>
      </c>
      <c r="BR19" s="53" t="b">
        <v>0</v>
      </c>
      <c r="BS19" s="54" t="b">
        <v>0</v>
      </c>
      <c r="BT19" s="55">
        <v>0.0</v>
      </c>
    </row>
    <row r="20" ht="30.0" customHeight="1">
      <c r="B20" s="103" t="s">
        <v>57</v>
      </c>
      <c r="C20" s="35">
        <v>0.0</v>
      </c>
      <c r="D20" s="104" t="s">
        <v>58</v>
      </c>
      <c r="E20" s="105" t="str">
        <f>STR+5+C20 &amp;"/0/0 : 0/0/0"</f>
        <v>7/0/0 : 0/0/0</v>
      </c>
      <c r="F20" s="31"/>
      <c r="G20" s="31"/>
      <c r="H20" s="31"/>
      <c r="I20" s="32"/>
      <c r="M20" s="106"/>
      <c r="X20" s="106"/>
      <c r="AG20" s="12"/>
    </row>
    <row r="21" ht="30.0" customHeight="1">
      <c r="B21" s="99"/>
      <c r="D21" s="99"/>
      <c r="J21" s="99"/>
      <c r="K21" s="107" t="s">
        <v>59</v>
      </c>
      <c r="N21" s="106" t="s">
        <v>60</v>
      </c>
      <c r="Q21" s="73"/>
      <c r="S21" s="106" t="s">
        <v>61</v>
      </c>
      <c r="W21" s="73"/>
      <c r="Y21" s="106" t="s">
        <v>62</v>
      </c>
      <c r="Z21" s="106" t="s">
        <v>63</v>
      </c>
      <c r="AA21" s="106" t="s">
        <v>64</v>
      </c>
      <c r="AB21" s="106"/>
      <c r="AC21" s="106" t="s">
        <v>65</v>
      </c>
      <c r="AD21" s="106" t="s">
        <v>66</v>
      </c>
      <c r="AE21" s="106" t="s">
        <v>67</v>
      </c>
      <c r="AF21" s="106"/>
    </row>
    <row r="22" ht="30.0" customHeight="1">
      <c r="B22" s="10" t="s">
        <v>68</v>
      </c>
      <c r="J22" s="99"/>
      <c r="K22" s="108" t="s">
        <v>69</v>
      </c>
      <c r="L22" s="14"/>
      <c r="M22" s="109"/>
      <c r="N22" s="110" t="s">
        <v>12</v>
      </c>
      <c r="O22" s="4"/>
      <c r="P22" s="4"/>
      <c r="Q22" s="111" t="s">
        <v>14</v>
      </c>
      <c r="R22" s="4"/>
      <c r="S22" s="112" t="b">
        <v>0</v>
      </c>
      <c r="T22" s="113" t="b">
        <v>0</v>
      </c>
      <c r="U22" s="114" t="b">
        <v>0</v>
      </c>
      <c r="V22" s="41">
        <v>0.0</v>
      </c>
      <c r="W22" s="115"/>
      <c r="X22" s="4"/>
      <c r="Y22" s="116"/>
      <c r="Z22" s="116"/>
      <c r="AA22" s="116"/>
      <c r="AB22" s="117"/>
      <c r="AC22" s="118"/>
      <c r="AD22" s="119"/>
      <c r="AE22" s="120"/>
    </row>
    <row r="23" ht="30.0" customHeight="1">
      <c r="B23" s="9" t="s">
        <v>70</v>
      </c>
      <c r="J23" s="99"/>
      <c r="K23" s="121" t="s">
        <v>71</v>
      </c>
      <c r="L23" s="32"/>
      <c r="M23" s="122"/>
      <c r="N23" s="123" t="s">
        <v>12</v>
      </c>
      <c r="O23" s="31"/>
      <c r="P23" s="31"/>
      <c r="Q23" s="124" t="s">
        <v>14</v>
      </c>
      <c r="R23" s="31"/>
      <c r="S23" s="125" t="b">
        <v>0</v>
      </c>
      <c r="T23" s="126" t="b">
        <v>0</v>
      </c>
      <c r="U23" s="127" t="b">
        <v>0</v>
      </c>
      <c r="V23" s="128">
        <v>0.0</v>
      </c>
      <c r="W23" s="31"/>
      <c r="X23" s="31"/>
      <c r="Y23" s="129"/>
      <c r="Z23" s="129"/>
      <c r="AA23" s="129"/>
      <c r="AB23" s="31"/>
      <c r="AC23" s="130"/>
      <c r="AD23" s="131"/>
      <c r="AE23" s="132"/>
    </row>
    <row r="24" ht="30.0" customHeight="1">
      <c r="A24" s="133" t="s">
        <v>72</v>
      </c>
      <c r="Q24" s="12"/>
      <c r="AM24" s="12"/>
    </row>
    <row r="25" ht="7.5" customHeight="1">
      <c r="A25" s="134"/>
      <c r="B25" s="135"/>
      <c r="C25" s="4"/>
      <c r="D25" s="4"/>
      <c r="E25" s="4"/>
      <c r="F25" s="4"/>
      <c r="G25" s="4"/>
      <c r="H25" s="4"/>
      <c r="I25" s="4"/>
      <c r="J25" s="4"/>
      <c r="K25" s="4"/>
      <c r="L25" s="4"/>
      <c r="M25" s="4"/>
      <c r="N25" s="4"/>
      <c r="O25" s="4"/>
      <c r="P25" s="136"/>
    </row>
    <row r="26" ht="30.0" customHeight="1">
      <c r="A26" s="20"/>
      <c r="B26" s="137" t="s">
        <v>72</v>
      </c>
      <c r="C26" s="138" t="s">
        <v>73</v>
      </c>
      <c r="D26" s="139" t="s">
        <v>74</v>
      </c>
      <c r="E26" s="140"/>
      <c r="F26" s="140"/>
      <c r="G26" s="140"/>
      <c r="H26" s="141" t="s">
        <v>75</v>
      </c>
      <c r="I26" s="141" t="s">
        <v>76</v>
      </c>
      <c r="J26" s="142"/>
      <c r="K26" s="143" t="s">
        <v>77</v>
      </c>
      <c r="L26" s="144"/>
      <c r="M26" s="143" t="s">
        <v>78</v>
      </c>
      <c r="N26" s="144"/>
      <c r="O26" s="143" t="s">
        <v>79</v>
      </c>
      <c r="P26" s="19"/>
    </row>
    <row r="27" ht="1.5" customHeight="1">
      <c r="A27" s="20"/>
      <c r="B27" s="145" t="s">
        <v>80</v>
      </c>
      <c r="P27" s="19"/>
    </row>
    <row r="28" ht="15.0" customHeight="1">
      <c r="A28" s="20"/>
      <c r="B28" s="146" t="s">
        <v>81</v>
      </c>
      <c r="C28" s="147">
        <v>2.0</v>
      </c>
      <c r="D28" s="148" t="s">
        <v>82</v>
      </c>
      <c r="E28" s="149">
        <f>DEX</f>
        <v>2</v>
      </c>
      <c r="F28" s="149">
        <f>CON</f>
        <v>2</v>
      </c>
      <c r="G28" s="150"/>
      <c r="H28" s="147" t="s">
        <v>50</v>
      </c>
      <c r="I28" s="151"/>
      <c r="J28" s="152"/>
      <c r="K28" s="153" t="str">
        <f t="shared" ref="K28:K34" si="1">IF(AND(C28 &lt; 4, C28 &gt; 0), IF(OR(H28 = "Expert",H28 = "Master"), IF(MAX(E28:H28)&gt;-1,"+","-"), IF(H28 = "Natural", IF(ROUNDDOWN(AVERAGE(E28:H28),0)&gt;-1,"+","-"), IF(MIN(E28:H28)&gt;-1,"+","-"))) &amp; 
ABS(IF(OR(H28 = "Expert",H28 = "Master"), MAX(E28:H28) , IF(H28 = "Natural", ROUNDDOWN(AVERAGE(E28:H28),0), MIN(E28:H28)))) +1 &amp; " Coin",
IF(AND(C28 &lt; 20, C28 &gt; 12), IF(OR(H28 = "Expert",H28 = "Master"), IF(MAX(E28:H28)&gt;-1,"+","-"), IF(H28 = "Natural", IF(ROUNDDOWN(AVERAGE(E28:H28),0)&gt;-1,"+","-"), IF(MIN(E28:H28)&gt;-1,"+","-"))) &amp; 
ABS(IF(OR(H28 = "Expert",H28 = "Master"), MAX(E28:H28) , IF(H28 = "Natural", ROUNDDOWN(AVERAGE(E28:H28),0), MIN(E28:H28)))) +1 &amp; "d12",
IF(C28 = 0, "No Skill", IF(OR(H28 = "Expert",H28 = "Master"), IF(MAX(E28:H28)&gt;-1,"+","-"), IF(H28 = "Natural", IF(ROUNDDOWN(AVERAGE(E28:H28),0)&gt;-1,"+","-"), IF(MIN(E28:H28)&gt;-1,"+","-"))) &amp; 
ABS(IF(OR(H28 = "Expert",H28 = "Master"), MAX(E28:H28) , IF(H28 = "Natural", ROUNDDOWN(AVERAGE(E28:H28),0), MIN(E28:H28)))) +1 &amp; "d" &amp; 2*ROUNDDOWN(C28/2,0))))</f>
        <v>+3 Coin</v>
      </c>
      <c r="L28" s="154"/>
      <c r="M28" s="155">
        <f t="shared" ref="M28:M34" si="2">IF(H28 = "Master", "+1", "") + I28</f>
        <v>0</v>
      </c>
      <c r="N28" s="152"/>
      <c r="O28" s="156" t="s">
        <v>83</v>
      </c>
      <c r="P28" s="19"/>
    </row>
    <row r="29" ht="15.0" customHeight="1">
      <c r="A29" s="20"/>
      <c r="B29" s="157" t="s">
        <v>84</v>
      </c>
      <c r="C29" s="158">
        <v>2.0</v>
      </c>
      <c r="D29" s="159" t="s">
        <v>85</v>
      </c>
      <c r="E29" s="160">
        <f>STR</f>
        <v>2</v>
      </c>
      <c r="F29" s="160">
        <f>CON</f>
        <v>2</v>
      </c>
      <c r="G29" s="161"/>
      <c r="H29" s="158" t="s">
        <v>50</v>
      </c>
      <c r="I29" s="162"/>
      <c r="K29" s="163" t="str">
        <f t="shared" si="1"/>
        <v>+3 Coin</v>
      </c>
      <c r="M29" s="164">
        <f t="shared" si="2"/>
        <v>0</v>
      </c>
      <c r="O29" s="165" t="s">
        <v>83</v>
      </c>
      <c r="P29" s="19"/>
    </row>
    <row r="30" ht="15.0" customHeight="1">
      <c r="A30" s="20"/>
      <c r="B30" s="157" t="s">
        <v>86</v>
      </c>
      <c r="C30" s="158">
        <v>2.0</v>
      </c>
      <c r="D30" s="159" t="s">
        <v>87</v>
      </c>
      <c r="E30" s="160">
        <f>STR</f>
        <v>2</v>
      </c>
      <c r="F30" s="160">
        <f>DEX</f>
        <v>2</v>
      </c>
      <c r="G30" s="161"/>
      <c r="H30" s="158" t="s">
        <v>50</v>
      </c>
      <c r="I30" s="166"/>
      <c r="K30" s="163" t="str">
        <f t="shared" si="1"/>
        <v>+3 Coin</v>
      </c>
      <c r="M30" s="164">
        <f t="shared" si="2"/>
        <v>0</v>
      </c>
      <c r="O30" s="165" t="s">
        <v>83</v>
      </c>
      <c r="P30" s="19"/>
    </row>
    <row r="31" ht="15.0" customHeight="1">
      <c r="A31" s="20"/>
      <c r="B31" s="157" t="s">
        <v>88</v>
      </c>
      <c r="C31" s="158">
        <v>0.0</v>
      </c>
      <c r="D31" s="159" t="s">
        <v>89</v>
      </c>
      <c r="E31" s="160">
        <f>DEX</f>
        <v>2</v>
      </c>
      <c r="F31" s="160">
        <f>WIS</f>
        <v>2</v>
      </c>
      <c r="G31" s="161"/>
      <c r="H31" s="158" t="s">
        <v>50</v>
      </c>
      <c r="I31" s="162"/>
      <c r="K31" s="163" t="str">
        <f t="shared" si="1"/>
        <v>No Skill</v>
      </c>
      <c r="M31" s="164">
        <f t="shared" si="2"/>
        <v>0</v>
      </c>
      <c r="O31" s="165" t="s">
        <v>83</v>
      </c>
      <c r="P31" s="19"/>
    </row>
    <row r="32" ht="15.0" customHeight="1">
      <c r="A32" s="20"/>
      <c r="B32" s="157" t="s">
        <v>90</v>
      </c>
      <c r="C32" s="158">
        <v>3.0</v>
      </c>
      <c r="D32" s="159" t="s">
        <v>89</v>
      </c>
      <c r="E32" s="160">
        <f>DEX</f>
        <v>2</v>
      </c>
      <c r="F32" s="160">
        <f>WIS</f>
        <v>2</v>
      </c>
      <c r="G32" s="161"/>
      <c r="H32" s="158" t="s">
        <v>50</v>
      </c>
      <c r="I32" s="166"/>
      <c r="K32" s="163" t="str">
        <f t="shared" si="1"/>
        <v>+3 Coin</v>
      </c>
      <c r="M32" s="164">
        <f t="shared" si="2"/>
        <v>0</v>
      </c>
      <c r="O32" s="165" t="s">
        <v>83</v>
      </c>
      <c r="P32" s="19"/>
    </row>
    <row r="33" ht="15.0" customHeight="1">
      <c r="A33" s="20"/>
      <c r="B33" s="157" t="s">
        <v>91</v>
      </c>
      <c r="C33" s="158">
        <v>2.0</v>
      </c>
      <c r="D33" s="159" t="s">
        <v>92</v>
      </c>
      <c r="E33" s="160">
        <f>STR</f>
        <v>2</v>
      </c>
      <c r="F33" s="160">
        <f>DEX</f>
        <v>2</v>
      </c>
      <c r="G33" s="160">
        <f>CON</f>
        <v>2</v>
      </c>
      <c r="H33" s="158" t="s">
        <v>50</v>
      </c>
      <c r="I33" s="166"/>
      <c r="K33" s="163" t="str">
        <f t="shared" si="1"/>
        <v>+3 Coin</v>
      </c>
      <c r="M33" s="164">
        <f t="shared" si="2"/>
        <v>0</v>
      </c>
      <c r="O33" s="165" t="s">
        <v>83</v>
      </c>
      <c r="P33" s="19"/>
    </row>
    <row r="34" ht="15.0" customHeight="1">
      <c r="A34" s="20"/>
      <c r="B34" s="167" t="s">
        <v>93</v>
      </c>
      <c r="C34" s="168">
        <v>0.0</v>
      </c>
      <c r="D34" s="169" t="s">
        <v>94</v>
      </c>
      <c r="E34" s="170">
        <f>STR</f>
        <v>2</v>
      </c>
      <c r="F34" s="170">
        <f>DEX</f>
        <v>2</v>
      </c>
      <c r="G34" s="170">
        <f>CON</f>
        <v>2</v>
      </c>
      <c r="H34" s="168" t="s">
        <v>50</v>
      </c>
      <c r="I34" s="171"/>
      <c r="J34" s="31"/>
      <c r="K34" s="172" t="str">
        <f t="shared" si="1"/>
        <v>No Skill</v>
      </c>
      <c r="L34" s="31"/>
      <c r="M34" s="173">
        <f t="shared" si="2"/>
        <v>0</v>
      </c>
      <c r="N34" s="31"/>
      <c r="O34" s="174" t="s">
        <v>83</v>
      </c>
      <c r="P34" s="19"/>
    </row>
    <row r="35" ht="1.5" customHeight="1">
      <c r="A35" s="20"/>
      <c r="B35" s="175" t="s">
        <v>95</v>
      </c>
      <c r="P35" s="19"/>
    </row>
    <row r="36" ht="15.0" customHeight="1">
      <c r="A36" s="20"/>
      <c r="B36" s="146" t="s">
        <v>96</v>
      </c>
      <c r="C36" s="147">
        <v>1.0</v>
      </c>
      <c r="D36" s="148" t="s">
        <v>97</v>
      </c>
      <c r="E36" s="149">
        <f>CHA</f>
        <v>2</v>
      </c>
      <c r="F36" s="149">
        <f>WIS</f>
        <v>2</v>
      </c>
      <c r="G36" s="150"/>
      <c r="H36" s="147" t="s">
        <v>50</v>
      </c>
      <c r="I36" s="151"/>
      <c r="J36" s="152"/>
      <c r="K36" s="153" t="str">
        <f t="shared" ref="K36:K39" si="3">IF(AND(C36 &lt; 4, C36 &gt; 0), IF(OR(H36 = "Expert",H36 = "Master"), IF(MAX(E36:H36)&gt;-1,"+","-"), IF(H36 = "Natural", IF(ROUNDDOWN(AVERAGE(E36:H36),0)&gt;-1,"+","-"), IF(MIN(E36:H36)&gt;-1,"+","-"))) &amp; 
ABS(IF(OR(H36 = "Expert",H36 = "Master"), MAX(E36:H36) , IF(H36 = "Natural", ROUNDDOWN(AVERAGE(E36:H36),0), MIN(E36:H36)))) +1 &amp; " Coin",
IF(AND(C36 &lt; 20, C36 &gt; 12), IF(OR(H36 = "Expert",H36 = "Master"), IF(MAX(E36:H36)&gt;-1,"+","-"), IF(H36 = "Natural", IF(ROUNDDOWN(AVERAGE(E36:H36),0)&gt;-1,"+","-"), IF(MIN(E36:H36)&gt;-1,"+","-"))) &amp; 
ABS(IF(OR(H36 = "Expert",H36 = "Master"), MAX(E36:H36) , IF(H36 = "Natural", ROUNDDOWN(AVERAGE(E36:H36),0), MIN(E36:H36)))) +1 &amp; "d12",
IF(C36 = 0, "No Skill", IF(OR(H36 = "Expert",H36 = "Master"), IF(MAX(E36:H36)&gt;-1,"+","-"), IF(H36 = "Natural", IF(ROUNDDOWN(AVERAGE(E36:H36),0)&gt;-1,"+","-"), IF(MIN(E36:H36)&gt;-1,"+","-"))) &amp; 
ABS(IF(OR(H36 = "Expert",H36 = "Master"), MAX(E36:H36) , IF(H36 = "Natural", ROUNDDOWN(AVERAGE(E36:H36),0), MIN(E36:H36)))) +1 &amp; "d" &amp; 2*ROUNDDOWN(C36/2,0))))</f>
        <v>+3 Coin</v>
      </c>
      <c r="L36" s="154"/>
      <c r="M36" s="176">
        <f>IF(H36 = "Master",IF(BEAUTY &lt;&gt; 5,IF(BEAUTY &gt; 4, "+", "") &amp; 1+IF(BEAUTY&lt;=1,-3,IF(BEAUTY=2,-2,IF(BEAUTY=3,-2,IF(BEAUTY=4,-1,IF(BEAUTY=5,0,IF(BEAUTY=6,1,IF(BEAUTY=7,2,IF(BEAUTY=8,2,IF(BEAUTY&gt;8,3))))))))),"+1"),
IF(BEAUTY &lt;&gt; 5,IF(BEAUTY &gt; 4, "+", "") &amp; IF(BEAUTY&lt;=1,-3,IF(BEAUTY=2,-2,IF(BEAUTY=3,-2,IF(BEAUTY=4,-1,IF(BEAUTY=5,0,IF(BEAUTY=6,1,IF(BEAUTY=7,2,IF(BEAUTY=8,2,IF(BEAUTY&gt;8,3))))))))),"")) + I36</f>
        <v>3</v>
      </c>
      <c r="N36" s="152"/>
      <c r="O36" s="156" t="s">
        <v>83</v>
      </c>
      <c r="P36" s="19"/>
    </row>
    <row r="37" ht="15.0" customHeight="1">
      <c r="A37" s="20"/>
      <c r="B37" s="157" t="s">
        <v>98</v>
      </c>
      <c r="C37" s="158">
        <v>2.0</v>
      </c>
      <c r="D37" s="159" t="s">
        <v>99</v>
      </c>
      <c r="E37" s="160">
        <f>STR</f>
        <v>2</v>
      </c>
      <c r="F37" s="160">
        <f>CHA</f>
        <v>2</v>
      </c>
      <c r="G37" s="161"/>
      <c r="H37" s="158" t="s">
        <v>50</v>
      </c>
      <c r="I37" s="162"/>
      <c r="K37" s="163" t="str">
        <f t="shared" si="3"/>
        <v>+3 Coin</v>
      </c>
      <c r="M37" s="177">
        <f>IF(H37 = "Master",IF(BEAUTY &lt;&gt; 5,IF(BEAUTY &gt; 4, "", "+") &amp; 1+IF(BEAUTY&lt;=1,3,IF(BEAUTY=2,2,IF(BEAUTY=3,2,IF(BEAUTY=4,1,IF(BEAUTY=5,0,IF(BEAUTY=6,-1,IF(BEAUTY=7,-2,IF(BEAUTY=8,-2,IF(BEAUTY&gt;8,-3))))))))),"+1"),
IF(BEAUTY &lt;&gt; 5,IF(BEAUTY &gt; 4, "", "+") &amp; IF(BEAUTY&lt;=1,3,IF(BEAUTY=2,2,IF(BEAUTY=3,2,IF(BEAUTY=4,1,IF(BEAUTY=5,0,IF(BEAUTY=6,-1,IF(BEAUTY=7,-2,IF(BEAUTY=8,-2,IF(BEAUTY&gt;8,-3))))))))),""))+I37</f>
        <v>-3</v>
      </c>
      <c r="O37" s="165" t="s">
        <v>83</v>
      </c>
      <c r="P37" s="19"/>
    </row>
    <row r="38" ht="15.0" customHeight="1">
      <c r="A38" s="20"/>
      <c r="B38" s="157" t="s">
        <v>100</v>
      </c>
      <c r="C38" s="158">
        <v>1.0</v>
      </c>
      <c r="D38" s="159" t="s">
        <v>101</v>
      </c>
      <c r="E38" s="160">
        <f>CHA</f>
        <v>2</v>
      </c>
      <c r="F38" s="160">
        <f>INT</f>
        <v>2</v>
      </c>
      <c r="G38" s="161"/>
      <c r="H38" s="158" t="s">
        <v>50</v>
      </c>
      <c r="I38" s="166"/>
      <c r="K38" s="163" t="str">
        <f t="shared" si="3"/>
        <v>+3 Coin</v>
      </c>
      <c r="M38" s="177">
        <f>IF(H38 = "Master",IF(BEAUTY &lt;&gt; 5,IF(BEAUTY &gt; 4, "+", "") &amp; 1+IF(BEAUTY&lt;=1,-3,IF(BEAUTY=2,-2,IF(BEAUTY=3,-2,IF(BEAUTY=4,-1,IF(BEAUTY=5,0,IF(BEAUTY=6,1,IF(BEAUTY=7,2,IF(BEAUTY=8,2,IF(BEAUTY&gt;8,3))))))))),"+1"),
IF(BEAUTY &lt;&gt; 5,IF(BEAUTY &gt; 4, "+", "") &amp; IF(BEAUTY&lt;=1,-3,IF(BEAUTY=2,-2,IF(BEAUTY=3,-2,IF(BEAUTY=4,-1,IF(BEAUTY=5,0,IF(BEAUTY=6,1,IF(BEAUTY=7,2,IF(BEAUTY=8,2,IF(BEAUTY&gt;8,3))))))))),""))+I38</f>
        <v>3</v>
      </c>
      <c r="O38" s="165" t="s">
        <v>83</v>
      </c>
      <c r="P38" s="19"/>
    </row>
    <row r="39" ht="1.5" customHeight="1">
      <c r="A39" s="20"/>
      <c r="B39" s="167" t="s">
        <v>102</v>
      </c>
      <c r="C39" s="168">
        <v>1.0</v>
      </c>
      <c r="D39" s="169" t="s">
        <v>101</v>
      </c>
      <c r="E39" s="170">
        <f>CHA</f>
        <v>2</v>
      </c>
      <c r="F39" s="170">
        <f>INT</f>
        <v>2</v>
      </c>
      <c r="G39" s="178"/>
      <c r="H39" s="168" t="s">
        <v>50</v>
      </c>
      <c r="I39" s="179"/>
      <c r="J39" s="31"/>
      <c r="K39" s="172" t="str">
        <f t="shared" si="3"/>
        <v>+3 Coin</v>
      </c>
      <c r="L39" s="31"/>
      <c r="M39" s="173">
        <f>IF(H39 = "Master", "+1", "") + I39</f>
        <v>0</v>
      </c>
      <c r="N39" s="31"/>
      <c r="O39" s="174" t="s">
        <v>83</v>
      </c>
      <c r="P39" s="19"/>
    </row>
    <row r="40" ht="1.5" customHeight="1">
      <c r="A40" s="20"/>
      <c r="B40" s="175" t="s">
        <v>103</v>
      </c>
      <c r="P40" s="19"/>
    </row>
    <row r="41" ht="1.5" customHeight="1">
      <c r="A41" s="20"/>
      <c r="B41" s="146" t="s">
        <v>104</v>
      </c>
      <c r="C41" s="147">
        <v>0.0</v>
      </c>
      <c r="D41" s="148" t="s">
        <v>89</v>
      </c>
      <c r="E41" s="149">
        <f>DEX</f>
        <v>2</v>
      </c>
      <c r="F41" s="149">
        <f>WIS</f>
        <v>2</v>
      </c>
      <c r="G41" s="150"/>
      <c r="H41" s="147" t="s">
        <v>50</v>
      </c>
      <c r="I41" s="151"/>
      <c r="J41" s="152"/>
      <c r="K41" s="153" t="str">
        <f t="shared" ref="K41:K49" si="4">IF(AND(C41 &lt; 4, C41 &gt; 0), IF(OR(H41 = "Expert",H41 = "Master"), IF(MAX(E41:H41)&gt;-1,"+","-"), IF(H41 = "Natural", IF(ROUNDDOWN(AVERAGE(E41:H41),0)&gt;-1,"+","-"), IF(MIN(E41:H41)&gt;-1,"+","-"))) &amp; 
ABS(IF(OR(H41 = "Expert",H41 = "Master"), MAX(E41:H41) , IF(H41 = "Natural", ROUNDDOWN(AVERAGE(E41:H41),0), MIN(E41:H41)))) +1 &amp; " Coin",
IF(AND(C41 &lt; 20, C41 &gt; 12), IF(OR(H41 = "Expert",H41 = "Master"), IF(MAX(E41:H41)&gt;-1,"+","-"), IF(H41 = "Natural", IF(ROUNDDOWN(AVERAGE(E41:H41),0)&gt;-1,"+","-"), IF(MIN(E41:H41)&gt;-1,"+","-"))) &amp; 
ABS(IF(OR(H41 = "Expert",H41 = "Master"), MAX(E41:H41) , IF(H41 = "Natural", ROUNDDOWN(AVERAGE(E41:H41),0), MIN(E41:H41)))) +1 &amp; "d12",
IF(C41 = 0, "No Skill", IF(OR(H41 = "Expert",H41 = "Master"), IF(MAX(E41:H41)&gt;-1,"+","-"), IF(H41 = "Natural", IF(ROUNDDOWN(AVERAGE(E41:H41),0)&gt;-1,"+","-"), IF(MIN(E41:H41)&gt;-1,"+","-"))) &amp; 
ABS(IF(OR(H41 = "Expert",H41 = "Master"), MAX(E41:H41) , IF(H41 = "Natural", ROUNDDOWN(AVERAGE(E41:H41),0), MIN(E41:H41)))) +1 &amp; "d" &amp; 2*ROUNDDOWN(C41/2,0))))</f>
        <v>No Skill</v>
      </c>
      <c r="L41" s="154"/>
      <c r="M41" s="155">
        <f t="shared" ref="M41:M49" si="5">IF(H41 = "Master", "+1", "") + I41</f>
        <v>0</v>
      </c>
      <c r="N41" s="152"/>
      <c r="O41" s="156" t="s">
        <v>83</v>
      </c>
      <c r="P41" s="19"/>
    </row>
    <row r="42" ht="1.5" customHeight="1">
      <c r="A42" s="20"/>
      <c r="B42" s="157" t="s">
        <v>105</v>
      </c>
      <c r="C42" s="158">
        <v>0.0</v>
      </c>
      <c r="D42" s="159" t="s">
        <v>87</v>
      </c>
      <c r="E42" s="160">
        <f>STR</f>
        <v>2</v>
      </c>
      <c r="F42" s="160">
        <f>DEX</f>
        <v>2</v>
      </c>
      <c r="G42" s="161"/>
      <c r="H42" s="158" t="s">
        <v>50</v>
      </c>
      <c r="I42" s="166"/>
      <c r="K42" s="163" t="str">
        <f t="shared" si="4"/>
        <v>No Skill</v>
      </c>
      <c r="M42" s="164">
        <f t="shared" si="5"/>
        <v>0</v>
      </c>
      <c r="O42" s="165" t="s">
        <v>83</v>
      </c>
      <c r="P42" s="19"/>
    </row>
    <row r="43" ht="1.5" customHeight="1">
      <c r="A43" s="20"/>
      <c r="B43" s="157" t="s">
        <v>106</v>
      </c>
      <c r="C43" s="180">
        <v>0.0</v>
      </c>
      <c r="D43" s="159" t="s">
        <v>87</v>
      </c>
      <c r="E43" s="160">
        <f>STR</f>
        <v>2</v>
      </c>
      <c r="F43" s="160">
        <f>DEX</f>
        <v>2</v>
      </c>
      <c r="G43" s="161"/>
      <c r="H43" s="158" t="s">
        <v>50</v>
      </c>
      <c r="I43" s="166"/>
      <c r="K43" s="163" t="str">
        <f t="shared" si="4"/>
        <v>No Skill</v>
      </c>
      <c r="M43" s="164">
        <f t="shared" si="5"/>
        <v>0</v>
      </c>
      <c r="O43" s="165" t="s">
        <v>83</v>
      </c>
      <c r="P43" s="19"/>
    </row>
    <row r="44" ht="1.5" customHeight="1">
      <c r="A44" s="20"/>
      <c r="B44" s="157" t="s">
        <v>107</v>
      </c>
      <c r="C44" s="158">
        <v>5.0</v>
      </c>
      <c r="D44" s="159" t="s">
        <v>89</v>
      </c>
      <c r="E44" s="160">
        <f>DEX</f>
        <v>2</v>
      </c>
      <c r="F44" s="160">
        <f>WIS</f>
        <v>2</v>
      </c>
      <c r="G44" s="161"/>
      <c r="H44" s="158" t="s">
        <v>50</v>
      </c>
      <c r="I44" s="162"/>
      <c r="K44" s="163" t="str">
        <f t="shared" si="4"/>
        <v>+3d4</v>
      </c>
      <c r="M44" s="164">
        <f t="shared" si="5"/>
        <v>0</v>
      </c>
      <c r="O44" s="165" t="s">
        <v>83</v>
      </c>
      <c r="P44" s="19"/>
    </row>
    <row r="45" ht="1.5" customHeight="1">
      <c r="A45" s="20"/>
      <c r="B45" s="157" t="s">
        <v>108</v>
      </c>
      <c r="C45" s="180">
        <v>0.0</v>
      </c>
      <c r="D45" s="159" t="s">
        <v>109</v>
      </c>
      <c r="E45" s="160">
        <f>DEX</f>
        <v>2</v>
      </c>
      <c r="F45" s="160">
        <f>INT</f>
        <v>2</v>
      </c>
      <c r="G45" s="160">
        <f>WIS</f>
        <v>2</v>
      </c>
      <c r="H45" s="158" t="s">
        <v>50</v>
      </c>
      <c r="I45" s="162"/>
      <c r="K45" s="163" t="str">
        <f t="shared" si="4"/>
        <v>No Skill</v>
      </c>
      <c r="M45" s="164">
        <f t="shared" si="5"/>
        <v>0</v>
      </c>
      <c r="O45" s="165" t="s">
        <v>83</v>
      </c>
      <c r="P45" s="19"/>
    </row>
    <row r="46" ht="1.5" customHeight="1">
      <c r="A46" s="20"/>
      <c r="B46" s="157" t="s">
        <v>110</v>
      </c>
      <c r="C46" s="158">
        <v>0.0</v>
      </c>
      <c r="D46" s="159" t="s">
        <v>92</v>
      </c>
      <c r="E46" s="160">
        <f>STR</f>
        <v>2</v>
      </c>
      <c r="F46" s="160">
        <f>DEX</f>
        <v>2</v>
      </c>
      <c r="G46" s="160">
        <f>CON</f>
        <v>2</v>
      </c>
      <c r="H46" s="158" t="s">
        <v>50</v>
      </c>
      <c r="I46" s="166"/>
      <c r="K46" s="163" t="str">
        <f t="shared" si="4"/>
        <v>No Skill</v>
      </c>
      <c r="M46" s="164">
        <f t="shared" si="5"/>
        <v>0</v>
      </c>
      <c r="O46" s="165" t="s">
        <v>83</v>
      </c>
      <c r="P46" s="19"/>
    </row>
    <row r="47" ht="1.5" customHeight="1">
      <c r="A47" s="20"/>
      <c r="B47" s="157" t="s">
        <v>111</v>
      </c>
      <c r="C47" s="158">
        <v>0.0</v>
      </c>
      <c r="D47" s="159" t="s">
        <v>112</v>
      </c>
      <c r="E47" s="160">
        <f>STR</f>
        <v>2</v>
      </c>
      <c r="F47" s="160">
        <f>DEX</f>
        <v>2</v>
      </c>
      <c r="G47" s="160">
        <f>WIS</f>
        <v>2</v>
      </c>
      <c r="H47" s="158" t="s">
        <v>50</v>
      </c>
      <c r="I47" s="166"/>
      <c r="K47" s="163" t="str">
        <f t="shared" si="4"/>
        <v>No Skill</v>
      </c>
      <c r="M47" s="164">
        <f t="shared" si="5"/>
        <v>0</v>
      </c>
      <c r="O47" s="165" t="s">
        <v>83</v>
      </c>
      <c r="P47" s="19"/>
    </row>
    <row r="48" ht="1.5" customHeight="1">
      <c r="A48" s="20"/>
      <c r="B48" s="157" t="s">
        <v>113</v>
      </c>
      <c r="C48" s="158">
        <v>0.0</v>
      </c>
      <c r="D48" s="159" t="s">
        <v>94</v>
      </c>
      <c r="E48" s="160">
        <f>STR</f>
        <v>2</v>
      </c>
      <c r="F48" s="160">
        <f>DEX</f>
        <v>2</v>
      </c>
      <c r="G48" s="160">
        <f>WIS</f>
        <v>2</v>
      </c>
      <c r="H48" s="158" t="s">
        <v>50</v>
      </c>
      <c r="I48" s="166"/>
      <c r="K48" s="163" t="str">
        <f t="shared" si="4"/>
        <v>No Skill</v>
      </c>
      <c r="M48" s="164">
        <f t="shared" si="5"/>
        <v>0</v>
      </c>
      <c r="O48" s="165" t="s">
        <v>83</v>
      </c>
      <c r="P48" s="19"/>
    </row>
    <row r="49" ht="1.5" customHeight="1">
      <c r="A49" s="20"/>
      <c r="B49" s="167" t="s">
        <v>114</v>
      </c>
      <c r="C49" s="168">
        <v>0.0</v>
      </c>
      <c r="D49" s="169" t="s">
        <v>115</v>
      </c>
      <c r="E49" s="170">
        <f>STR</f>
        <v>2</v>
      </c>
      <c r="F49" s="170">
        <f>DEX</f>
        <v>2</v>
      </c>
      <c r="G49" s="170">
        <f>CON</f>
        <v>2</v>
      </c>
      <c r="H49" s="168" t="s">
        <v>50</v>
      </c>
      <c r="I49" s="179"/>
      <c r="J49" s="31"/>
      <c r="K49" s="172" t="str">
        <f t="shared" si="4"/>
        <v>No Skill</v>
      </c>
      <c r="L49" s="31"/>
      <c r="M49" s="173">
        <f t="shared" si="5"/>
        <v>0</v>
      </c>
      <c r="N49" s="31"/>
      <c r="O49" s="174" t="s">
        <v>83</v>
      </c>
      <c r="P49" s="19"/>
    </row>
    <row r="50" ht="1.5" customHeight="1">
      <c r="A50" s="20"/>
      <c r="B50" s="175" t="s">
        <v>116</v>
      </c>
      <c r="P50" s="19"/>
    </row>
    <row r="51" ht="1.5" customHeight="1">
      <c r="A51" s="20"/>
      <c r="B51" s="146" t="s">
        <v>117</v>
      </c>
      <c r="C51" s="147">
        <v>0.0</v>
      </c>
      <c r="D51" s="148" t="s">
        <v>97</v>
      </c>
      <c r="E51" s="149">
        <f>CHA</f>
        <v>2</v>
      </c>
      <c r="F51" s="149">
        <f>WIS</f>
        <v>2</v>
      </c>
      <c r="G51" s="150"/>
      <c r="H51" s="147" t="s">
        <v>50</v>
      </c>
      <c r="I51" s="151"/>
      <c r="J51" s="152"/>
      <c r="K51" s="153" t="str">
        <f t="shared" ref="K51:K54" si="6">IF(AND(C51 &lt; 4, C51 &gt; 0), IF(OR(H51 = "Expert",H51 = "Master"), IF(MAX(E51:H51)&gt;-1,"+","-"), IF(H51 = "Natural", IF(ROUNDDOWN(AVERAGE(E51:H51),0)&gt;-1,"+","-"), IF(MIN(E51:H51)&gt;-1,"+","-"))) &amp; 
ABS(IF(OR(H51 = "Expert",H51 = "Master"), MAX(E51:H51) , IF(H51 = "Natural", ROUNDDOWN(AVERAGE(E51:H51),0), MIN(E51:H51)))) +1 &amp; " Coin",
IF(AND(C51 &lt; 20, C51 &gt; 12), IF(OR(H51 = "Expert",H51 = "Master"), IF(MAX(E51:H51)&gt;-1,"+","-"), IF(H51 = "Natural", IF(ROUNDDOWN(AVERAGE(E51:H51),0)&gt;-1,"+","-"), IF(MIN(E51:H51)&gt;-1,"+","-"))) &amp; 
ABS(IF(OR(H51 = "Expert",H51 = "Master"), MAX(E51:H51) , IF(H51 = "Natural", ROUNDDOWN(AVERAGE(E51:H51),0), MIN(E51:H51)))) +1 &amp; "d12",
IF(C51 = 0, "No Skill", IF(OR(H51 = "Expert",H51 = "Master"), IF(MAX(E51:H51)&gt;-1,"+","-"), IF(H51 = "Natural", IF(ROUNDDOWN(AVERAGE(E51:H51),0)&gt;-1,"+","-"), IF(MIN(E51:H51)&gt;-1,"+","-"))) &amp; 
ABS(IF(OR(H51 = "Expert",H51 = "Master"), MAX(E51:H51) , IF(H51 = "Natural", ROUNDDOWN(AVERAGE(E51:H51),0), MIN(E51:H51)))) +1 &amp; "d" &amp; 2*ROUNDDOWN(C51/2,0))))</f>
        <v>No Skill</v>
      </c>
      <c r="L51" s="154"/>
      <c r="M51" s="176">
        <f>IF(H51 = "Master",IF(BEAUTY &lt;&gt; 5,IF(BEAUTY &gt; 4, "+", "") &amp; 1+IF(BEAUTY&lt;=1,-3,IF(BEAUTY=2,-2,IF(BEAUTY=3,-2,IF(BEAUTY=4,-1,IF(BEAUTY=5,0,IF(BEAUTY=6,1,IF(BEAUTY=7,2,IF(BEAUTY=8,2,IF(BEAUTY&gt;8,3))))))))),"+1"),
IF(BEAUTY &lt;&gt; 5,IF(BEAUTY &gt; 4, "+", "") &amp; IF(BEAUTY&lt;=1,-3,IF(BEAUTY=2,-2,IF(BEAUTY=3,-2,IF(BEAUTY=4,-1,IF(BEAUTY=5,0,IF(BEAUTY=6,1,IF(BEAUTY=7,2,IF(BEAUTY=8,2,IF(BEAUTY&gt;8,3))))))))),""))+I51</f>
        <v>3</v>
      </c>
      <c r="N51" s="152"/>
      <c r="O51" s="156" t="s">
        <v>83</v>
      </c>
      <c r="P51" s="19"/>
    </row>
    <row r="52" ht="1.5" customHeight="1">
      <c r="A52" s="20"/>
      <c r="B52" s="157" t="s">
        <v>118</v>
      </c>
      <c r="C52" s="180">
        <v>0.0</v>
      </c>
      <c r="D52" s="159" t="s">
        <v>101</v>
      </c>
      <c r="E52" s="160">
        <f>CHA</f>
        <v>2</v>
      </c>
      <c r="F52" s="160">
        <f>INT</f>
        <v>2</v>
      </c>
      <c r="G52" s="161"/>
      <c r="H52" s="158" t="s">
        <v>50</v>
      </c>
      <c r="I52" s="166"/>
      <c r="K52" s="163" t="str">
        <f t="shared" si="6"/>
        <v>No Skill</v>
      </c>
      <c r="M52" s="177">
        <f>IF(H52 = "Master",IF(BEAUTY &lt;&gt; 5,IF(BEAUTY &gt; 4, "+", "") &amp; 1+IF(BEAUTY&lt;=1,-3,IF(BEAUTY=2,-2,IF(BEAUTY=3,-2,IF(BEAUTY=4,-1,IF(BEAUTY=5,0,IF(BEAUTY=6,1,IF(BEAUTY=7,2,IF(BEAUTY=8,2,IF(BEAUTY&gt;8,3))))))))),"+1"),
IF(BEAUTY &lt;&gt; 5,IF(BEAUTY &gt; 4, "+", "") &amp; IF(BEAUTY&lt;=1,-3,IF(BEAUTY=2,-2,IF(BEAUTY=3,-2,IF(BEAUTY=4,-1,IF(BEAUTY=5,0,IF(BEAUTY=6,1,IF(BEAUTY=7,2,IF(BEAUTY=8,2,IF(BEAUTY&gt;8,3))))))))),""))+I52</f>
        <v>3</v>
      </c>
      <c r="O52" s="165" t="s">
        <v>83</v>
      </c>
      <c r="P52" s="19"/>
    </row>
    <row r="53" ht="1.5" customHeight="1">
      <c r="A53" s="20"/>
      <c r="B53" s="157" t="s">
        <v>119</v>
      </c>
      <c r="C53" s="158">
        <v>0.0</v>
      </c>
      <c r="D53" s="159" t="s">
        <v>120</v>
      </c>
      <c r="E53" s="160">
        <f>DEX</f>
        <v>2</v>
      </c>
      <c r="F53" s="160">
        <f>CHA</f>
        <v>2</v>
      </c>
      <c r="G53" s="160">
        <f>WIS</f>
        <v>2</v>
      </c>
      <c r="H53" s="158" t="s">
        <v>50</v>
      </c>
      <c r="I53" s="166"/>
      <c r="K53" s="163" t="str">
        <f t="shared" si="6"/>
        <v>No Skill</v>
      </c>
      <c r="M53" s="177">
        <f>IF(H53 = "Master",IF(BEAUTY &lt;&gt; 5,IF(BEAUTY &gt; 4, "+", "") &amp; 1+IF(BEAUTY&lt;=1,-3,IF(BEAUTY=2,-2,IF(BEAUTY=3,-2,IF(BEAUTY=4,-1,IF(BEAUTY=5,0,IF(BEAUTY=6,1,IF(BEAUTY=7,2,IF(BEAUTY=8,2,IF(BEAUTY&gt;8,3))))))))),"+1"),
IF(BEAUTY &lt;&gt; 5,IF(BEAUTY &gt; 4, "+", "") &amp; IF(BEAUTY&lt;=1,-3,IF(BEAUTY=2,-2,IF(BEAUTY=3,-2,IF(BEAUTY=4,-1,IF(BEAUTY=5,0,IF(BEAUTY=6,1,IF(BEAUTY=7,2,IF(BEAUTY=8,2,IF(BEAUTY&gt;8,3))))))))),""))+I53</f>
        <v>3</v>
      </c>
      <c r="O53" s="165" t="s">
        <v>83</v>
      </c>
      <c r="P53" s="19"/>
    </row>
    <row r="54" ht="1.5" customHeight="1">
      <c r="A54" s="20"/>
      <c r="B54" s="167" t="s">
        <v>121</v>
      </c>
      <c r="C54" s="181">
        <v>0.0</v>
      </c>
      <c r="D54" s="169" t="s">
        <v>122</v>
      </c>
      <c r="E54" s="170">
        <f>STR</f>
        <v>2</v>
      </c>
      <c r="F54" s="170">
        <f>DEX</f>
        <v>2</v>
      </c>
      <c r="G54" s="170">
        <f>CHA</f>
        <v>2</v>
      </c>
      <c r="H54" s="168" t="s">
        <v>50</v>
      </c>
      <c r="I54" s="179"/>
      <c r="J54" s="31"/>
      <c r="K54" s="172" t="str">
        <f t="shared" si="6"/>
        <v>No Skill</v>
      </c>
      <c r="L54" s="31"/>
      <c r="M54" s="182">
        <f>IF(H54 = "Master",IF(BEAUTY &lt;&gt; 5,IF(BEAUTY &gt; 4, "+", "") &amp; 1+IF(BEAUTY&lt;=1,-3,IF(BEAUTY=2,-2,IF(BEAUTY=3,-2,IF(BEAUTY=4,-1,IF(BEAUTY=5,0,IF(BEAUTY=6,1,IF(BEAUTY=7,2,IF(BEAUTY=8,2,IF(BEAUTY&gt;8,3))))))))),"+1"),
IF(BEAUTY &lt;&gt; 5,IF(BEAUTY &gt; 4, "+", "") &amp; IF(BEAUTY&lt;=1,-3,IF(BEAUTY=2,-2,IF(BEAUTY=3,-2,IF(BEAUTY=4,-1,IF(BEAUTY=5,0,IF(BEAUTY=6,1,IF(BEAUTY=7,2,IF(BEAUTY=8,2,IF(BEAUTY&gt;8,3))))))))),""))+I54</f>
        <v>3</v>
      </c>
      <c r="N54" s="31"/>
      <c r="O54" s="174" t="s">
        <v>83</v>
      </c>
      <c r="P54" s="19"/>
    </row>
    <row r="55" ht="1.5" customHeight="1">
      <c r="A55" s="20"/>
      <c r="B55" s="175" t="s">
        <v>123</v>
      </c>
      <c r="P55" s="19"/>
    </row>
    <row r="56" ht="1.5" customHeight="1">
      <c r="A56" s="20"/>
      <c r="B56" s="146" t="s">
        <v>124</v>
      </c>
      <c r="C56" s="147">
        <v>0.0</v>
      </c>
      <c r="D56" s="148" t="s">
        <v>120</v>
      </c>
      <c r="E56" s="149">
        <f>DEX</f>
        <v>2</v>
      </c>
      <c r="F56" s="149">
        <f>CHA</f>
        <v>2</v>
      </c>
      <c r="G56" s="149">
        <f>WIS</f>
        <v>2</v>
      </c>
      <c r="H56" s="147" t="s">
        <v>50</v>
      </c>
      <c r="I56" s="183"/>
      <c r="J56" s="152"/>
      <c r="K56" s="153" t="str">
        <f t="shared" ref="K56:K60" si="7">IF(AND(C56 &lt; 4, C56 &gt; 0), IF(OR(H56 = "Expert",H56 = "Master"), IF(MAX(E56:H56)&gt;-1,"+","-"), IF(H56 = "Natural", IF(ROUNDDOWN(AVERAGE(E56:H56),0)&gt;-1,"+","-"), IF(MIN(E56:H56)&gt;-1,"+","-"))) &amp; 
ABS(IF(OR(H56 = "Expert",H56 = "Master"), MAX(E56:H56) , IF(H56 = "Natural", ROUNDDOWN(AVERAGE(E56:H56),0), MIN(E56:H56)))) +1 &amp; " Coin",
IF(AND(C56 &lt; 20, C56 &gt; 12), IF(OR(H56 = "Expert",H56 = "Master"), IF(MAX(E56:H56)&gt;-1,"+","-"), IF(H56 = "Natural", IF(ROUNDDOWN(AVERAGE(E56:H56),0)&gt;-1,"+","-"), IF(MIN(E56:H56)&gt;-1,"+","-"))) &amp; 
ABS(IF(OR(H56 = "Expert",H56 = "Master"), MAX(E56:H56) , IF(H56 = "Natural", ROUNDDOWN(AVERAGE(E56:H56),0), MIN(E56:H56)))) +1 &amp; "d12",
IF(C56 = 0, "No Skill", IF(OR(H56 = "Expert",H56 = "Master"), IF(MAX(E56:H56)&gt;-1,"+","-"), IF(H56 = "Natural", IF(ROUNDDOWN(AVERAGE(E56:H56),0)&gt;-1,"+","-"), IF(MIN(E56:H56)&gt;-1,"+","-"))) &amp; 
ABS(IF(OR(H56 = "Expert",H56 = "Master"), MAX(E56:H56) , IF(H56 = "Natural", ROUNDDOWN(AVERAGE(E56:H56),0), MIN(E56:H56)))) +1 &amp; "d" &amp; 2*ROUNDDOWN(C56/2,0))))</f>
        <v>No Skill</v>
      </c>
      <c r="L56" s="154"/>
      <c r="M56" s="155">
        <f t="shared" ref="M56:M60" si="8">IF(H56 = "Master", "+1", "") + I56</f>
        <v>0</v>
      </c>
      <c r="N56" s="152"/>
      <c r="O56" s="156" t="s">
        <v>83</v>
      </c>
      <c r="P56" s="19"/>
    </row>
    <row r="57" ht="1.5" customHeight="1">
      <c r="A57" s="20"/>
      <c r="B57" s="157" t="s">
        <v>125</v>
      </c>
      <c r="C57" s="158">
        <v>0.0</v>
      </c>
      <c r="D57" s="159" t="s">
        <v>120</v>
      </c>
      <c r="E57" s="160">
        <f>DEX</f>
        <v>2</v>
      </c>
      <c r="F57" s="160">
        <f>CHA</f>
        <v>2</v>
      </c>
      <c r="G57" s="160">
        <f>WIS</f>
        <v>2</v>
      </c>
      <c r="H57" s="158" t="s">
        <v>50</v>
      </c>
      <c r="I57" s="166"/>
      <c r="K57" s="163" t="str">
        <f t="shared" si="7"/>
        <v>No Skill</v>
      </c>
      <c r="M57" s="164">
        <f t="shared" si="8"/>
        <v>0</v>
      </c>
      <c r="O57" s="165" t="s">
        <v>83</v>
      </c>
      <c r="P57" s="19"/>
    </row>
    <row r="58" ht="1.5" customHeight="1">
      <c r="A58" s="20"/>
      <c r="B58" s="157" t="s">
        <v>126</v>
      </c>
      <c r="C58" s="158">
        <v>0.0</v>
      </c>
      <c r="D58" s="159" t="s">
        <v>120</v>
      </c>
      <c r="E58" s="160">
        <f>DEX</f>
        <v>2</v>
      </c>
      <c r="F58" s="160">
        <f>CHA</f>
        <v>2</v>
      </c>
      <c r="G58" s="160">
        <f>WIS</f>
        <v>2</v>
      </c>
      <c r="H58" s="158" t="s">
        <v>50</v>
      </c>
      <c r="I58" s="166"/>
      <c r="K58" s="163" t="str">
        <f t="shared" si="7"/>
        <v>No Skill</v>
      </c>
      <c r="M58" s="164">
        <f t="shared" si="8"/>
        <v>0</v>
      </c>
      <c r="O58" s="165" t="s">
        <v>83</v>
      </c>
      <c r="P58" s="19"/>
    </row>
    <row r="59" ht="1.5" customHeight="1">
      <c r="A59" s="20"/>
      <c r="B59" s="157" t="s">
        <v>127</v>
      </c>
      <c r="C59" s="180">
        <v>0.0</v>
      </c>
      <c r="D59" s="184" t="s">
        <v>128</v>
      </c>
      <c r="E59" s="160">
        <f>CHA</f>
        <v>2</v>
      </c>
      <c r="F59" s="160">
        <f>INT</f>
        <v>2</v>
      </c>
      <c r="G59" s="160">
        <f>WIS</f>
        <v>2</v>
      </c>
      <c r="H59" s="158" t="s">
        <v>50</v>
      </c>
      <c r="I59" s="166"/>
      <c r="K59" s="163" t="str">
        <f t="shared" si="7"/>
        <v>No Skill</v>
      </c>
      <c r="M59" s="164">
        <f t="shared" si="8"/>
        <v>0</v>
      </c>
      <c r="O59" s="165" t="s">
        <v>83</v>
      </c>
      <c r="P59" s="19"/>
    </row>
    <row r="60" ht="1.5" customHeight="1">
      <c r="A60" s="20"/>
      <c r="B60" s="167" t="s">
        <v>129</v>
      </c>
      <c r="C60" s="181">
        <v>0.0</v>
      </c>
      <c r="D60" s="169" t="s">
        <v>130</v>
      </c>
      <c r="E60" s="170">
        <f>DEX</f>
        <v>2</v>
      </c>
      <c r="F60" s="170">
        <f>CHA</f>
        <v>2</v>
      </c>
      <c r="G60" s="170">
        <f>INT</f>
        <v>2</v>
      </c>
      <c r="H60" s="168" t="s">
        <v>50</v>
      </c>
      <c r="I60" s="179"/>
      <c r="J60" s="31"/>
      <c r="K60" s="172" t="str">
        <f t="shared" si="7"/>
        <v>No Skill</v>
      </c>
      <c r="L60" s="31"/>
      <c r="M60" s="173">
        <f t="shared" si="8"/>
        <v>0</v>
      </c>
      <c r="N60" s="31"/>
      <c r="O60" s="174" t="s">
        <v>83</v>
      </c>
      <c r="P60" s="19"/>
    </row>
    <row r="61" ht="1.5" customHeight="1">
      <c r="A61" s="20"/>
      <c r="B61" s="175" t="s">
        <v>131</v>
      </c>
      <c r="P61" s="19"/>
    </row>
    <row r="62" ht="1.5" customHeight="1">
      <c r="A62" s="20"/>
      <c r="B62" s="146" t="s">
        <v>132</v>
      </c>
      <c r="C62" s="147">
        <v>0.0</v>
      </c>
      <c r="D62" s="148" t="s">
        <v>133</v>
      </c>
      <c r="E62" s="149">
        <f>INT</f>
        <v>2</v>
      </c>
      <c r="F62" s="149">
        <f>WIS</f>
        <v>2</v>
      </c>
      <c r="G62" s="150"/>
      <c r="H62" s="147" t="s">
        <v>50</v>
      </c>
      <c r="I62" s="183"/>
      <c r="J62" s="152"/>
      <c r="K62" s="153" t="str">
        <f t="shared" ref="K62:K69" si="9">IF(AND(C62 &lt; 4, C62 &gt; 0), IF(OR(H62 = "Expert",H62 = "Master"), IF(MAX(E62:H62)&gt;-1,"+","-"), IF(H62 = "Natural", IF(ROUNDDOWN(AVERAGE(E62:H62),0)&gt;-1,"+","-"), IF(MIN(E62:H62)&gt;-1,"+","-"))) &amp; 
ABS(IF(OR(H62 = "Expert",H62 = "Master"), MAX(E62:H62) , IF(H62 = "Natural", ROUNDDOWN(AVERAGE(E62:H62),0), MIN(E62:H62)))) +1 &amp; " Coin",
IF(AND(C62 &lt; 20, C62 &gt; 12), IF(OR(H62 = "Expert",H62 = "Master"), IF(MAX(E62:H62)&gt;-1,"+","-"), IF(H62 = "Natural", IF(ROUNDDOWN(AVERAGE(E62:H62),0)&gt;-1,"+","-"), IF(MIN(E62:H62)&gt;-1,"+","-"))) &amp; 
ABS(IF(OR(H62 = "Expert",H62 = "Master"), MAX(E62:H62) , IF(H62 = "Natural", ROUNDDOWN(AVERAGE(E62:H62),0), MIN(E62:H62)))) +1 &amp; "d12",
IF(C62 = 0, "No Skill", IF(OR(H62 = "Expert",H62 = "Master"), IF(MAX(E62:H62)&gt;-1,"+","-"), IF(H62 = "Natural", IF(ROUNDDOWN(AVERAGE(E62:H62),0)&gt;-1,"+","-"), IF(MIN(E62:H62)&gt;-1,"+","-"))) &amp; 
ABS(IF(OR(H62 = "Expert",H62 = "Master"), MAX(E62:H62) , IF(H62 = "Natural", ROUNDDOWN(AVERAGE(E62:H62),0), MIN(E62:H62)))) +1 &amp; "d" &amp; 2*ROUNDDOWN(C62/2,0))))</f>
        <v>No Skill</v>
      </c>
      <c r="L62" s="154"/>
      <c r="M62" s="155">
        <f t="shared" ref="M62:M67" si="10">IF(H62 = "Master", "+1", "") + I62</f>
        <v>0</v>
      </c>
      <c r="N62" s="152"/>
      <c r="O62" s="156" t="s">
        <v>83</v>
      </c>
      <c r="P62" s="19"/>
    </row>
    <row r="63" ht="1.5" customHeight="1">
      <c r="A63" s="20"/>
      <c r="B63" s="157" t="s">
        <v>134</v>
      </c>
      <c r="C63" s="158">
        <v>0.0</v>
      </c>
      <c r="D63" s="159" t="s">
        <v>101</v>
      </c>
      <c r="E63" s="160">
        <f>CHA</f>
        <v>2</v>
      </c>
      <c r="F63" s="160">
        <f>INT</f>
        <v>2</v>
      </c>
      <c r="G63" s="161"/>
      <c r="H63" s="158" t="s">
        <v>50</v>
      </c>
      <c r="I63" s="166"/>
      <c r="K63" s="163" t="str">
        <f t="shared" si="9"/>
        <v>No Skill</v>
      </c>
      <c r="M63" s="164">
        <f t="shared" si="10"/>
        <v>0</v>
      </c>
      <c r="O63" s="165" t="s">
        <v>83</v>
      </c>
      <c r="P63" s="19"/>
    </row>
    <row r="64" ht="1.5" customHeight="1">
      <c r="A64" s="20"/>
      <c r="B64" s="157" t="s">
        <v>135</v>
      </c>
      <c r="C64" s="158">
        <v>0.0</v>
      </c>
      <c r="D64" s="159" t="s">
        <v>133</v>
      </c>
      <c r="E64" s="160">
        <f>INT</f>
        <v>2</v>
      </c>
      <c r="F64" s="160">
        <f>WIS</f>
        <v>2</v>
      </c>
      <c r="G64" s="161"/>
      <c r="H64" s="158" t="s">
        <v>50</v>
      </c>
      <c r="I64" s="166"/>
      <c r="K64" s="163" t="str">
        <f t="shared" si="9"/>
        <v>No Skill</v>
      </c>
      <c r="M64" s="164">
        <f t="shared" si="10"/>
        <v>0</v>
      </c>
      <c r="O64" s="165" t="s">
        <v>83</v>
      </c>
      <c r="P64" s="19"/>
    </row>
    <row r="65" ht="1.5" customHeight="1">
      <c r="A65" s="20"/>
      <c r="B65" s="157" t="s">
        <v>136</v>
      </c>
      <c r="C65" s="158">
        <v>0.0</v>
      </c>
      <c r="D65" s="159" t="s">
        <v>133</v>
      </c>
      <c r="E65" s="160">
        <f>INT</f>
        <v>2</v>
      </c>
      <c r="F65" s="160">
        <f>WIS</f>
        <v>2</v>
      </c>
      <c r="G65" s="161"/>
      <c r="H65" s="158" t="s">
        <v>50</v>
      </c>
      <c r="I65" s="166"/>
      <c r="K65" s="163" t="str">
        <f t="shared" si="9"/>
        <v>No Skill</v>
      </c>
      <c r="M65" s="164">
        <f t="shared" si="10"/>
        <v>0</v>
      </c>
      <c r="O65" s="165" t="s">
        <v>83</v>
      </c>
      <c r="P65" s="19"/>
    </row>
    <row r="66" ht="1.5" customHeight="1">
      <c r="A66" s="20"/>
      <c r="B66" s="157" t="s">
        <v>137</v>
      </c>
      <c r="C66" s="158">
        <v>0.0</v>
      </c>
      <c r="D66" s="159" t="s">
        <v>138</v>
      </c>
      <c r="E66" s="160">
        <f>CHA</f>
        <v>2</v>
      </c>
      <c r="F66" s="160">
        <f>INT</f>
        <v>2</v>
      </c>
      <c r="G66" s="160">
        <f>WIS</f>
        <v>2</v>
      </c>
      <c r="H66" s="158" t="s">
        <v>50</v>
      </c>
      <c r="I66" s="166"/>
      <c r="K66" s="163" t="str">
        <f t="shared" si="9"/>
        <v>No Skill</v>
      </c>
      <c r="M66" s="164">
        <f t="shared" si="10"/>
        <v>0</v>
      </c>
      <c r="O66" s="165" t="s">
        <v>83</v>
      </c>
      <c r="P66" s="19"/>
    </row>
    <row r="67" ht="1.5" customHeight="1">
      <c r="A67" s="20"/>
      <c r="B67" s="157" t="s">
        <v>139</v>
      </c>
      <c r="C67" s="158">
        <v>0.0</v>
      </c>
      <c r="D67" s="159" t="s">
        <v>138</v>
      </c>
      <c r="E67" s="160">
        <f>CHA</f>
        <v>2</v>
      </c>
      <c r="F67" s="160">
        <f>INT</f>
        <v>2</v>
      </c>
      <c r="G67" s="160">
        <f>WIS</f>
        <v>2</v>
      </c>
      <c r="H67" s="158" t="s">
        <v>50</v>
      </c>
      <c r="I67" s="166"/>
      <c r="K67" s="163" t="str">
        <f t="shared" si="9"/>
        <v>No Skill</v>
      </c>
      <c r="M67" s="164">
        <f t="shared" si="10"/>
        <v>0</v>
      </c>
      <c r="O67" s="165" t="s">
        <v>83</v>
      </c>
      <c r="P67" s="19"/>
    </row>
    <row r="68" ht="1.5" customHeight="1">
      <c r="A68" s="20"/>
      <c r="B68" s="157" t="s">
        <v>140</v>
      </c>
      <c r="C68" s="158">
        <v>2.0</v>
      </c>
      <c r="D68" s="159" t="s">
        <v>138</v>
      </c>
      <c r="E68" s="160">
        <f>CHA</f>
        <v>2</v>
      </c>
      <c r="F68" s="160">
        <f>INT</f>
        <v>2</v>
      </c>
      <c r="G68" s="160">
        <f>WIS</f>
        <v>2</v>
      </c>
      <c r="H68" s="158" t="s">
        <v>50</v>
      </c>
      <c r="I68" s="166"/>
      <c r="K68" s="163" t="str">
        <f t="shared" si="9"/>
        <v>+3 Coin</v>
      </c>
      <c r="M68" s="177">
        <f>IF(H68 = "Master",IF(BEAUTY &lt;&gt; 5,IF(BEAUTY &gt; 4, "+", "") &amp; 1+IF(BEAUTY&lt;=1,-3,IF(BEAUTY=2,-2,IF(BEAUTY=3,-2,IF(BEAUTY=4,-1,IF(BEAUTY=5,0,IF(BEAUTY=6,1,IF(BEAUTY=7,2,IF(BEAUTY=8,2,IF(BEAUTY&gt;8,3))))))))),"+1"),
IF(BEAUTY &lt;&gt; 5,IF(BEAUTY &gt; 4, "+", "") &amp; IF(BEAUTY&lt;=1,-3,IF(BEAUTY=2,-2,IF(BEAUTY=3,-2,IF(BEAUTY=4,-1,IF(BEAUTY=5,0,IF(BEAUTY=6,1,IF(BEAUTY=7,2,IF(BEAUTY=8,2,IF(BEAUTY&gt;8,3))))))))),""))+I68</f>
        <v>3</v>
      </c>
      <c r="O68" s="165" t="s">
        <v>83</v>
      </c>
      <c r="P68" s="19"/>
    </row>
    <row r="69" ht="1.5" customHeight="1">
      <c r="A69" s="20"/>
      <c r="B69" s="167" t="s">
        <v>141</v>
      </c>
      <c r="C69" s="168">
        <v>1.0</v>
      </c>
      <c r="D69" s="169" t="s">
        <v>142</v>
      </c>
      <c r="E69" s="170">
        <f>CHA</f>
        <v>2</v>
      </c>
      <c r="F69" s="170">
        <f>INT</f>
        <v>2</v>
      </c>
      <c r="G69" s="170">
        <f>WIS</f>
        <v>2</v>
      </c>
      <c r="H69" s="168" t="s">
        <v>50</v>
      </c>
      <c r="I69" s="179"/>
      <c r="J69" s="31"/>
      <c r="K69" s="172" t="str">
        <f t="shared" si="9"/>
        <v>+3 Coin</v>
      </c>
      <c r="L69" s="31"/>
      <c r="M69" s="173">
        <f>IF(H69 = "Master", "+1", "") + I69</f>
        <v>0</v>
      </c>
      <c r="N69" s="31"/>
      <c r="O69" s="174" t="s">
        <v>83</v>
      </c>
      <c r="P69" s="19"/>
    </row>
    <row r="70" ht="1.5" customHeight="1">
      <c r="A70" s="20"/>
      <c r="B70" s="175" t="s">
        <v>143</v>
      </c>
      <c r="P70" s="19"/>
    </row>
    <row r="71" ht="1.5" customHeight="1">
      <c r="A71" s="20"/>
      <c r="B71" s="146" t="s">
        <v>144</v>
      </c>
      <c r="C71" s="185">
        <v>0.0</v>
      </c>
      <c r="D71" s="148" t="s">
        <v>133</v>
      </c>
      <c r="E71" s="149">
        <f>INT</f>
        <v>2</v>
      </c>
      <c r="F71" s="149">
        <f>WIS</f>
        <v>2</v>
      </c>
      <c r="G71" s="150"/>
      <c r="H71" s="147" t="s">
        <v>50</v>
      </c>
      <c r="I71" s="183"/>
      <c r="J71" s="152"/>
      <c r="K71" s="153" t="str">
        <f t="shared" ref="K71:K75" si="11">IF(AND(C71 &lt; 4, C71 &gt; 0), IF(OR(H71 = "Expert",H71 = "Master"), IF(MAX(E71:H71)&gt;-1,"+","-"), IF(H71 = "Natural", IF(ROUNDDOWN(AVERAGE(E71:H71),0)&gt;-1,"+","-"), IF(MIN(E71:H71)&gt;-1,"+","-"))) &amp; 
ABS(IF(OR(H71 = "Expert",H71 = "Master"), MAX(E71:H71) , IF(H71 = "Natural", ROUNDDOWN(AVERAGE(E71:H71),0), MIN(E71:H71)))) +1 &amp; " Coin",
IF(AND(C71 &lt; 20, C71 &gt; 12), IF(OR(H71 = "Expert",H71 = "Master"), IF(MAX(E71:H71)&gt;-1,"+","-"), IF(H71 = "Natural", IF(ROUNDDOWN(AVERAGE(E71:H71),0)&gt;-1,"+","-"), IF(MIN(E71:H71)&gt;-1,"+","-"))) &amp; 
ABS(IF(OR(H71 = "Expert",H71 = "Master"), MAX(E71:H71) , IF(H71 = "Natural", ROUNDDOWN(AVERAGE(E71:H71),0), MIN(E71:H71)))) +1 &amp; "d12",
IF(C71 = 0, "No Skill", IF(OR(H71 = "Expert",H71 = "Master"), IF(MAX(E71:H71)&gt;-1,"+","-"), IF(H71 = "Natural", IF(ROUNDDOWN(AVERAGE(E71:H71),0)&gt;-1,"+","-"), IF(MIN(E71:H71)&gt;-1,"+","-"))) &amp; 
ABS(IF(OR(H71 = "Expert",H71 = "Master"), MAX(E71:H71) , IF(H71 = "Natural", ROUNDDOWN(AVERAGE(E71:H71),0), MIN(E71:H71)))) +1 &amp; "d" &amp; 2*ROUNDDOWN(C71/2,0))))</f>
        <v>No Skill</v>
      </c>
      <c r="L71" s="154"/>
      <c r="M71" s="155">
        <f t="shared" ref="M71:M75" si="12">IF(H71 = "Master", "+1", "") + I71</f>
        <v>0</v>
      </c>
      <c r="N71" s="152"/>
      <c r="O71" s="156" t="s">
        <v>83</v>
      </c>
      <c r="P71" s="19"/>
    </row>
    <row r="72" ht="1.5" customHeight="1">
      <c r="A72" s="20"/>
      <c r="B72" s="157" t="s">
        <v>145</v>
      </c>
      <c r="C72" s="180">
        <v>0.0</v>
      </c>
      <c r="D72" s="159" t="s">
        <v>133</v>
      </c>
      <c r="E72" s="160">
        <f>INT</f>
        <v>2</v>
      </c>
      <c r="F72" s="160">
        <f>WIS</f>
        <v>2</v>
      </c>
      <c r="G72" s="161"/>
      <c r="H72" s="158" t="s">
        <v>50</v>
      </c>
      <c r="I72" s="166"/>
      <c r="K72" s="163" t="str">
        <f t="shared" si="11"/>
        <v>No Skill</v>
      </c>
      <c r="M72" s="164">
        <f t="shared" si="12"/>
        <v>0</v>
      </c>
      <c r="O72" s="165" t="s">
        <v>83</v>
      </c>
      <c r="P72" s="19"/>
    </row>
    <row r="73" ht="1.5" customHeight="1">
      <c r="A73" s="20"/>
      <c r="B73" s="157" t="s">
        <v>146</v>
      </c>
      <c r="C73" s="158">
        <v>0.0</v>
      </c>
      <c r="D73" s="159" t="s">
        <v>133</v>
      </c>
      <c r="E73" s="160">
        <f>INT</f>
        <v>2</v>
      </c>
      <c r="F73" s="160">
        <f>WIS</f>
        <v>2</v>
      </c>
      <c r="G73" s="161"/>
      <c r="H73" s="158" t="s">
        <v>50</v>
      </c>
      <c r="I73" s="166"/>
      <c r="K73" s="163" t="str">
        <f t="shared" si="11"/>
        <v>No Skill</v>
      </c>
      <c r="M73" s="164">
        <f t="shared" si="12"/>
        <v>0</v>
      </c>
      <c r="O73" s="165" t="s">
        <v>83</v>
      </c>
      <c r="P73" s="19"/>
    </row>
    <row r="74" ht="1.5" customHeight="1">
      <c r="A74" s="20"/>
      <c r="B74" s="157" t="s">
        <v>147</v>
      </c>
      <c r="C74" s="180">
        <v>0.0</v>
      </c>
      <c r="D74" s="159" t="s">
        <v>133</v>
      </c>
      <c r="E74" s="160">
        <f>INT</f>
        <v>2</v>
      </c>
      <c r="F74" s="160">
        <f>WIS</f>
        <v>2</v>
      </c>
      <c r="G74" s="161"/>
      <c r="H74" s="158" t="s">
        <v>50</v>
      </c>
      <c r="I74" s="166"/>
      <c r="K74" s="163" t="str">
        <f t="shared" si="11"/>
        <v>No Skill</v>
      </c>
      <c r="M74" s="164">
        <f t="shared" si="12"/>
        <v>0</v>
      </c>
      <c r="O74" s="165" t="s">
        <v>83</v>
      </c>
      <c r="P74" s="19"/>
    </row>
    <row r="75" ht="1.5" customHeight="1">
      <c r="A75" s="20"/>
      <c r="B75" s="167" t="s">
        <v>148</v>
      </c>
      <c r="C75" s="181">
        <v>0.0</v>
      </c>
      <c r="D75" s="169" t="s">
        <v>133</v>
      </c>
      <c r="E75" s="170">
        <f>INT</f>
        <v>2</v>
      </c>
      <c r="F75" s="170">
        <f>WIS</f>
        <v>2</v>
      </c>
      <c r="G75" s="178"/>
      <c r="H75" s="168" t="s">
        <v>50</v>
      </c>
      <c r="I75" s="179"/>
      <c r="J75" s="31"/>
      <c r="K75" s="172" t="str">
        <f t="shared" si="11"/>
        <v>No Skill</v>
      </c>
      <c r="L75" s="31"/>
      <c r="M75" s="173">
        <f t="shared" si="12"/>
        <v>0</v>
      </c>
      <c r="N75" s="31"/>
      <c r="O75" s="174" t="s">
        <v>83</v>
      </c>
      <c r="P75" s="19"/>
    </row>
    <row r="76" ht="1.5" customHeight="1">
      <c r="A76" s="20"/>
      <c r="B76" s="175" t="s">
        <v>149</v>
      </c>
      <c r="P76" s="19"/>
    </row>
    <row r="77" ht="1.5" customHeight="1">
      <c r="A77" s="20"/>
      <c r="B77" s="146" t="s">
        <v>150</v>
      </c>
      <c r="C77" s="185">
        <v>0.0</v>
      </c>
      <c r="D77" s="148" t="s">
        <v>133</v>
      </c>
      <c r="E77" s="149">
        <f>INT</f>
        <v>2</v>
      </c>
      <c r="F77" s="149">
        <f>WIS</f>
        <v>2</v>
      </c>
      <c r="G77" s="150"/>
      <c r="H77" s="147" t="s">
        <v>50</v>
      </c>
      <c r="I77" s="183"/>
      <c r="J77" s="152"/>
      <c r="K77" s="153" t="str">
        <f t="shared" ref="K77:K84" si="13">IF(AND(C77 &lt; 4, C77 &gt; 0), IF(OR(H77 = "Expert",H77 = "Master"), IF(MAX(E77:H77)&gt;-1,"+","-"), IF(H77 = "Natural", IF(ROUNDDOWN(AVERAGE(E77:H77),0)&gt;-1,"+","-"), IF(MIN(E77:H77)&gt;-1,"+","-"))) &amp; 
ABS(IF(OR(H77 = "Expert",H77 = "Master"), MAX(E77:H77) , IF(H77 = "Natural", ROUNDDOWN(AVERAGE(E77:H77),0), MIN(E77:H77)))) +1 &amp; " Coin",
IF(AND(C77 &lt; 20, C77 &gt; 12), IF(OR(H77 = "Expert",H77 = "Master"), IF(MAX(E77:H77)&gt;-1,"+","-"), IF(H77 = "Natural", IF(ROUNDDOWN(AVERAGE(E77:H77),0)&gt;-1,"+","-"), IF(MIN(E77:H77)&gt;-1,"+","-"))) &amp; 
ABS(IF(OR(H77 = "Expert",H77 = "Master"), MAX(E77:H77) , IF(H77 = "Natural", ROUNDDOWN(AVERAGE(E77:H77),0), MIN(E77:H77)))) +1 &amp; "d12",
IF(C77 = 0, "No Skill", IF(OR(H77 = "Expert",H77 = "Master"), IF(MAX(E77:H77)&gt;-1,"+","-"), IF(H77 = "Natural", IF(ROUNDDOWN(AVERAGE(E77:H77),0)&gt;-1,"+","-"), IF(MIN(E77:H77)&gt;-1,"+","-"))) &amp; 
ABS(IF(OR(H77 = "Expert",H77 = "Master"), MAX(E77:H77) , IF(H77 = "Natural", ROUNDDOWN(AVERAGE(E77:H77),0), MIN(E77:H77)))) +1 &amp; "d" &amp; 2*ROUNDDOWN(C77/2,0))))</f>
        <v>No Skill</v>
      </c>
      <c r="L77" s="154"/>
      <c r="M77" s="155">
        <f t="shared" ref="M77:M84" si="14">IF(H77 = "Master", "+1", "") + I77</f>
        <v>0</v>
      </c>
      <c r="N77" s="152"/>
      <c r="O77" s="156" t="s">
        <v>83</v>
      </c>
      <c r="P77" s="19"/>
    </row>
    <row r="78" ht="1.5" customHeight="1">
      <c r="A78" s="20"/>
      <c r="B78" s="157" t="s">
        <v>151</v>
      </c>
      <c r="C78" s="158">
        <v>0.0</v>
      </c>
      <c r="D78" s="159" t="s">
        <v>133</v>
      </c>
      <c r="E78" s="160">
        <f>INT</f>
        <v>2</v>
      </c>
      <c r="F78" s="160">
        <f>WIS</f>
        <v>2</v>
      </c>
      <c r="G78" s="161"/>
      <c r="H78" s="158" t="s">
        <v>50</v>
      </c>
      <c r="I78" s="166"/>
      <c r="K78" s="163" t="str">
        <f t="shared" si="13"/>
        <v>No Skill</v>
      </c>
      <c r="M78" s="164">
        <f t="shared" si="14"/>
        <v>0</v>
      </c>
      <c r="O78" s="165" t="s">
        <v>83</v>
      </c>
      <c r="P78" s="19"/>
    </row>
    <row r="79" ht="1.5" customHeight="1">
      <c r="A79" s="20"/>
      <c r="B79" s="157" t="s">
        <v>152</v>
      </c>
      <c r="C79" s="180">
        <v>0.0</v>
      </c>
      <c r="D79" s="159" t="s">
        <v>133</v>
      </c>
      <c r="E79" s="160">
        <f>INT</f>
        <v>2</v>
      </c>
      <c r="F79" s="160">
        <f>WIS</f>
        <v>2</v>
      </c>
      <c r="G79" s="161"/>
      <c r="H79" s="158" t="s">
        <v>50</v>
      </c>
      <c r="I79" s="166"/>
      <c r="K79" s="163" t="str">
        <f t="shared" si="13"/>
        <v>No Skill</v>
      </c>
      <c r="M79" s="164">
        <f t="shared" si="14"/>
        <v>0</v>
      </c>
      <c r="O79" s="165" t="s">
        <v>83</v>
      </c>
      <c r="P79" s="19"/>
    </row>
    <row r="80" ht="1.5" customHeight="1">
      <c r="A80" s="20"/>
      <c r="B80" s="157" t="s">
        <v>153</v>
      </c>
      <c r="C80" s="158">
        <v>0.0</v>
      </c>
      <c r="D80" s="159" t="s">
        <v>133</v>
      </c>
      <c r="E80" s="160">
        <f>INT</f>
        <v>2</v>
      </c>
      <c r="F80" s="160">
        <f>WIS</f>
        <v>2</v>
      </c>
      <c r="G80" s="161"/>
      <c r="H80" s="158" t="s">
        <v>50</v>
      </c>
      <c r="I80" s="166"/>
      <c r="K80" s="163" t="str">
        <f t="shared" si="13"/>
        <v>No Skill</v>
      </c>
      <c r="M80" s="164">
        <f t="shared" si="14"/>
        <v>0</v>
      </c>
      <c r="O80" s="165" t="s">
        <v>83</v>
      </c>
      <c r="P80" s="19"/>
    </row>
    <row r="81" ht="1.5" customHeight="1">
      <c r="A81" s="20"/>
      <c r="B81" s="157" t="s">
        <v>154</v>
      </c>
      <c r="C81" s="180">
        <v>0.0</v>
      </c>
      <c r="D81" s="159" t="s">
        <v>133</v>
      </c>
      <c r="E81" s="160">
        <f>INT</f>
        <v>2</v>
      </c>
      <c r="F81" s="160">
        <f>WIS</f>
        <v>2</v>
      </c>
      <c r="G81" s="161"/>
      <c r="H81" s="158" t="s">
        <v>50</v>
      </c>
      <c r="I81" s="166"/>
      <c r="K81" s="163" t="str">
        <f t="shared" si="13"/>
        <v>No Skill</v>
      </c>
      <c r="M81" s="164">
        <f t="shared" si="14"/>
        <v>0</v>
      </c>
      <c r="O81" s="165" t="s">
        <v>83</v>
      </c>
      <c r="P81" s="19"/>
    </row>
    <row r="82" ht="1.5" customHeight="1">
      <c r="A82" s="20"/>
      <c r="B82" s="157" t="s">
        <v>155</v>
      </c>
      <c r="C82" s="180">
        <v>0.0</v>
      </c>
      <c r="D82" s="159" t="s">
        <v>109</v>
      </c>
      <c r="E82" s="160">
        <f>DEX</f>
        <v>2</v>
      </c>
      <c r="F82" s="160">
        <f>INT</f>
        <v>2</v>
      </c>
      <c r="G82" s="160">
        <f>WIS</f>
        <v>2</v>
      </c>
      <c r="H82" s="158" t="s">
        <v>50</v>
      </c>
      <c r="I82" s="166"/>
      <c r="K82" s="163" t="str">
        <f t="shared" si="13"/>
        <v>No Skill</v>
      </c>
      <c r="M82" s="164">
        <f t="shared" si="14"/>
        <v>0</v>
      </c>
      <c r="O82" s="165" t="s">
        <v>83</v>
      </c>
      <c r="P82" s="19"/>
    </row>
    <row r="83" ht="1.5" customHeight="1">
      <c r="A83" s="20"/>
      <c r="B83" s="157" t="s">
        <v>156</v>
      </c>
      <c r="C83" s="180">
        <v>0.0</v>
      </c>
      <c r="D83" s="159" t="s">
        <v>157</v>
      </c>
      <c r="E83" s="160">
        <f>CON</f>
        <v>2</v>
      </c>
      <c r="F83" s="160">
        <f>INT</f>
        <v>2</v>
      </c>
      <c r="G83" s="160">
        <f>WIS</f>
        <v>2</v>
      </c>
      <c r="H83" s="158" t="s">
        <v>50</v>
      </c>
      <c r="I83" s="166"/>
      <c r="K83" s="163" t="str">
        <f t="shared" si="13"/>
        <v>No Skill</v>
      </c>
      <c r="M83" s="164">
        <f t="shared" si="14"/>
        <v>0</v>
      </c>
      <c r="O83" s="165" t="s">
        <v>83</v>
      </c>
      <c r="P83" s="19"/>
    </row>
    <row r="84" ht="1.5" customHeight="1">
      <c r="A84" s="20"/>
      <c r="B84" s="167" t="s">
        <v>158</v>
      </c>
      <c r="C84" s="168">
        <v>0.0</v>
      </c>
      <c r="D84" s="169" t="s">
        <v>159</v>
      </c>
      <c r="E84" s="170">
        <f>DEX</f>
        <v>2</v>
      </c>
      <c r="F84" s="170">
        <f>INT</f>
        <v>2</v>
      </c>
      <c r="G84" s="170">
        <f>WIS</f>
        <v>2</v>
      </c>
      <c r="H84" s="168" t="s">
        <v>50</v>
      </c>
      <c r="I84" s="179"/>
      <c r="J84" s="31"/>
      <c r="K84" s="172" t="str">
        <f t="shared" si="13"/>
        <v>No Skill</v>
      </c>
      <c r="L84" s="31"/>
      <c r="M84" s="173">
        <f t="shared" si="14"/>
        <v>0</v>
      </c>
      <c r="N84" s="31"/>
      <c r="O84" s="174" t="s">
        <v>83</v>
      </c>
      <c r="P84" s="19"/>
    </row>
    <row r="85" ht="1.5" customHeight="1">
      <c r="A85" s="20"/>
      <c r="B85" s="145" t="s">
        <v>160</v>
      </c>
      <c r="P85" s="19"/>
    </row>
    <row r="86" ht="1.5" customHeight="1">
      <c r="A86" s="20"/>
      <c r="B86" s="146" t="s">
        <v>161</v>
      </c>
      <c r="C86" s="185">
        <v>0.0</v>
      </c>
      <c r="D86" s="148" t="s">
        <v>89</v>
      </c>
      <c r="E86" s="149">
        <f>DEX</f>
        <v>2</v>
      </c>
      <c r="F86" s="149">
        <f>WIS</f>
        <v>2</v>
      </c>
      <c r="G86" s="150"/>
      <c r="H86" s="147" t="s">
        <v>50</v>
      </c>
      <c r="I86" s="183"/>
      <c r="J86" s="152"/>
      <c r="K86" s="153" t="str">
        <f t="shared" ref="K86:K89" si="15">IF(AND(C86 &lt; 4, C86 &gt; 0), IF(OR(H86 = "Expert",H86 = "Master"), IF(MAX(E86:H86)&gt;-1,"+","-"), IF(H86 = "Natural", IF(ROUNDDOWN(AVERAGE(E86:H86),0)&gt;-1,"+","-"), IF(MIN(E86:H86)&gt;-1,"+","-"))) &amp; 
ABS(IF(OR(H86 = "Expert",H86 = "Master"), MAX(E86:H86) , IF(H86 = "Natural", ROUNDDOWN(AVERAGE(E86:H86),0), MIN(E86:H86)))) +1 &amp; " Coin",
IF(AND(C86 &lt; 20, C86 &gt; 12), IF(OR(H86 = "Expert",H86 = "Master"), IF(MAX(E86:H86)&gt;-1,"+","-"), IF(H86 = "Natural", IF(ROUNDDOWN(AVERAGE(E86:H86),0)&gt;-1,"+","-"), IF(MIN(E86:H86)&gt;-1,"+","-"))) &amp; 
ABS(IF(OR(H86 = "Expert",H86 = "Master"), MAX(E86:H86) , IF(H86 = "Natural", ROUNDDOWN(AVERAGE(E86:H86),0), MIN(E86:H86)))) +1 &amp; "d12",
IF(C86 = 0, "No Skill", IF(OR(H86 = "Expert",H86 = "Master"), IF(MAX(E86:H86)&gt;-1,"+","-"), IF(H86 = "Natural", IF(ROUNDDOWN(AVERAGE(E86:H86),0)&gt;-1,"+","-"), IF(MIN(E86:H86)&gt;-1,"+","-"))) &amp; 
ABS(IF(OR(H86 = "Expert",H86 = "Master"), MAX(E86:H86) , IF(H86 = "Natural", ROUNDDOWN(AVERAGE(E86:H86),0), MIN(E86:H86)))) +1 &amp; "d" &amp; 2*ROUNDDOWN(C86/2,0))))</f>
        <v>No Skill</v>
      </c>
      <c r="L86" s="154"/>
      <c r="M86" s="155">
        <f t="shared" ref="M86:M89" si="16">IF(H86 = "Master", "+1", "") + I86</f>
        <v>0</v>
      </c>
      <c r="N86" s="152"/>
      <c r="O86" s="156" t="s">
        <v>83</v>
      </c>
      <c r="P86" s="19"/>
    </row>
    <row r="87" ht="1.5" customHeight="1">
      <c r="A87" s="20"/>
      <c r="B87" s="157" t="s">
        <v>162</v>
      </c>
      <c r="C87" s="158">
        <v>0.0</v>
      </c>
      <c r="D87" s="159" t="s">
        <v>89</v>
      </c>
      <c r="E87" s="160">
        <f>DEX</f>
        <v>2</v>
      </c>
      <c r="F87" s="160">
        <f>WIS</f>
        <v>2</v>
      </c>
      <c r="G87" s="161"/>
      <c r="H87" s="158" t="s">
        <v>50</v>
      </c>
      <c r="I87" s="166"/>
      <c r="K87" s="163" t="str">
        <f t="shared" si="15"/>
        <v>No Skill</v>
      </c>
      <c r="M87" s="164">
        <f t="shared" si="16"/>
        <v>0</v>
      </c>
      <c r="O87" s="165" t="s">
        <v>83</v>
      </c>
      <c r="P87" s="19"/>
    </row>
    <row r="88" ht="1.5" customHeight="1">
      <c r="A88" s="20"/>
      <c r="B88" s="157" t="s">
        <v>163</v>
      </c>
      <c r="C88" s="158">
        <v>2.0</v>
      </c>
      <c r="D88" s="159" t="s">
        <v>109</v>
      </c>
      <c r="E88" s="160">
        <f>DEX</f>
        <v>2</v>
      </c>
      <c r="F88" s="160">
        <f>INT</f>
        <v>2</v>
      </c>
      <c r="G88" s="160">
        <f>WIS</f>
        <v>2</v>
      </c>
      <c r="H88" s="158" t="s">
        <v>50</v>
      </c>
      <c r="I88" s="166"/>
      <c r="K88" s="163" t="str">
        <f t="shared" si="15"/>
        <v>+3 Coin</v>
      </c>
      <c r="M88" s="164">
        <f t="shared" si="16"/>
        <v>0</v>
      </c>
      <c r="O88" s="165" t="s">
        <v>83</v>
      </c>
      <c r="P88" s="19"/>
    </row>
    <row r="89" ht="1.5" customHeight="1">
      <c r="A89" s="20"/>
      <c r="B89" s="167" t="s">
        <v>164</v>
      </c>
      <c r="C89" s="168">
        <v>0.0</v>
      </c>
      <c r="D89" s="169" t="s">
        <v>165</v>
      </c>
      <c r="E89" s="170">
        <f>DEX</f>
        <v>2</v>
      </c>
      <c r="F89" s="170">
        <f>CON</f>
        <v>2</v>
      </c>
      <c r="G89" s="170">
        <f>CHA</f>
        <v>2</v>
      </c>
      <c r="H89" s="168" t="s">
        <v>50</v>
      </c>
      <c r="I89" s="179"/>
      <c r="J89" s="31"/>
      <c r="K89" s="172" t="str">
        <f t="shared" si="15"/>
        <v>No Skill</v>
      </c>
      <c r="L89" s="31"/>
      <c r="M89" s="173">
        <f t="shared" si="16"/>
        <v>0</v>
      </c>
      <c r="N89" s="31"/>
      <c r="O89" s="174" t="s">
        <v>83</v>
      </c>
      <c r="P89" s="19"/>
    </row>
    <row r="90" ht="1.5" customHeight="1">
      <c r="A90" s="20"/>
      <c r="B90" s="175" t="s">
        <v>166</v>
      </c>
      <c r="P90" s="19"/>
    </row>
    <row r="91" ht="1.5" customHeight="1">
      <c r="A91" s="20"/>
      <c r="B91" s="146" t="s">
        <v>167</v>
      </c>
      <c r="C91" s="147">
        <v>1.0</v>
      </c>
      <c r="D91" s="148" t="s">
        <v>97</v>
      </c>
      <c r="E91" s="149">
        <f>CHA</f>
        <v>2</v>
      </c>
      <c r="F91" s="149">
        <f>WIS</f>
        <v>2</v>
      </c>
      <c r="G91" s="150"/>
      <c r="H91" s="147" t="s">
        <v>50</v>
      </c>
      <c r="I91" s="183"/>
      <c r="J91" s="152"/>
      <c r="K91" s="153" t="str">
        <f t="shared" ref="K91:K93" si="17">IF(AND(C91 &lt; 4, C91 &gt; 0), IF(OR(H91 = "Expert",H91 = "Master"), IF(MAX(E91:H91)&gt;-1,"+","-"), IF(H91 = "Natural", IF(ROUNDDOWN(AVERAGE(E91:H91),0)&gt;-1,"+","-"), IF(MIN(E91:H91)&gt;-1,"+","-"))) &amp; 
ABS(IF(OR(H91 = "Expert",H91 = "Master"), MAX(E91:H91) , IF(H91 = "Natural", ROUNDDOWN(AVERAGE(E91:H91),0), MIN(E91:H91)))) +1 &amp; " Coin",
IF(AND(C91 &lt; 20, C91 &gt; 12), IF(OR(H91 = "Expert",H91 = "Master"), IF(MAX(E91:H91)&gt;-1,"+","-"), IF(H91 = "Natural", IF(ROUNDDOWN(AVERAGE(E91:H91),0)&gt;-1,"+","-"), IF(MIN(E91:H91)&gt;-1,"+","-"))) &amp; 
ABS(IF(OR(H91 = "Expert",H91 = "Master"), MAX(E91:H91) , IF(H91 = "Natural", ROUNDDOWN(AVERAGE(E91:H91),0), MIN(E91:H91)))) +1 &amp; "d12",
IF(C91 = 0, "No Skill", IF(OR(H91 = "Expert",H91 = "Master"), IF(MAX(E91:H91)&gt;-1,"+","-"), IF(H91 = "Natural", IF(ROUNDDOWN(AVERAGE(E91:H91),0)&gt;-1,"+","-"), IF(MIN(E91:H91)&gt;-1,"+","-"))) &amp; 
ABS(IF(OR(H91 = "Expert",H91 = "Master"), MAX(E91:H91) , IF(H91 = "Natural", ROUNDDOWN(AVERAGE(E91:H91),0), MIN(E91:H91)))) +1 &amp; "d" &amp; 2*ROUNDDOWN(C91/2,0))))</f>
        <v>+3 Coin</v>
      </c>
      <c r="L91" s="154"/>
      <c r="M91" s="155">
        <f t="shared" ref="M91:M93" si="18">IF(H91 = "Master", "+1", "") + I91</f>
        <v>0</v>
      </c>
      <c r="N91" s="152"/>
      <c r="O91" s="156" t="s">
        <v>83</v>
      </c>
      <c r="P91" s="19"/>
    </row>
    <row r="92" ht="1.5" customHeight="1">
      <c r="A92" s="20"/>
      <c r="B92" s="157" t="s">
        <v>168</v>
      </c>
      <c r="C92" s="158">
        <v>2.0</v>
      </c>
      <c r="D92" s="159" t="s">
        <v>133</v>
      </c>
      <c r="E92" s="160">
        <f>INT</f>
        <v>2</v>
      </c>
      <c r="F92" s="160">
        <f>WIS</f>
        <v>2</v>
      </c>
      <c r="G92" s="161"/>
      <c r="H92" s="158" t="s">
        <v>50</v>
      </c>
      <c r="I92" s="166"/>
      <c r="K92" s="163" t="str">
        <f t="shared" si="17"/>
        <v>+3 Coin</v>
      </c>
      <c r="M92" s="164">
        <f t="shared" si="18"/>
        <v>0</v>
      </c>
      <c r="O92" s="165" t="s">
        <v>83</v>
      </c>
      <c r="P92" s="19"/>
    </row>
    <row r="93" ht="1.5" customHeight="1">
      <c r="A93" s="20"/>
      <c r="B93" s="167" t="s">
        <v>169</v>
      </c>
      <c r="C93" s="168">
        <v>0.0</v>
      </c>
      <c r="D93" s="169" t="s">
        <v>138</v>
      </c>
      <c r="E93" s="170">
        <f>CHA</f>
        <v>2</v>
      </c>
      <c r="F93" s="170">
        <f>INT</f>
        <v>2</v>
      </c>
      <c r="G93" s="170">
        <f>WIS</f>
        <v>2</v>
      </c>
      <c r="H93" s="168" t="s">
        <v>50</v>
      </c>
      <c r="I93" s="179"/>
      <c r="J93" s="31"/>
      <c r="K93" s="172" t="str">
        <f t="shared" si="17"/>
        <v>No Skill</v>
      </c>
      <c r="L93" s="31"/>
      <c r="M93" s="173">
        <f t="shared" si="18"/>
        <v>0</v>
      </c>
      <c r="N93" s="31"/>
      <c r="O93" s="174" t="s">
        <v>83</v>
      </c>
      <c r="P93" s="19"/>
    </row>
    <row r="94" ht="1.5" customHeight="1">
      <c r="A94" s="20"/>
      <c r="B94" s="175" t="s">
        <v>170</v>
      </c>
      <c r="P94" s="19"/>
    </row>
    <row r="95" ht="1.5" customHeight="1">
      <c r="A95" s="20"/>
      <c r="B95" s="146" t="s">
        <v>171</v>
      </c>
      <c r="C95" s="147">
        <v>1.0</v>
      </c>
      <c r="D95" s="148" t="s">
        <v>97</v>
      </c>
      <c r="E95" s="149">
        <f>CHA</f>
        <v>2</v>
      </c>
      <c r="F95" s="149">
        <f>WIS</f>
        <v>2</v>
      </c>
      <c r="G95" s="150"/>
      <c r="H95" s="147" t="s">
        <v>50</v>
      </c>
      <c r="I95" s="183"/>
      <c r="J95" s="152"/>
      <c r="K95" s="153" t="str">
        <f t="shared" ref="K95:K98" si="19">IF(AND(C95 &lt; 4, C95 &gt; 0), IF(OR(H95 = "Expert",H95 = "Master"), IF(MAX(E95:H95)&gt;-1,"+","-"), IF(H95 = "Natural", IF(ROUNDDOWN(AVERAGE(E95:H95),0)&gt;-1,"+","-"), IF(MIN(E95:H95)&gt;-1,"+","-"))) &amp; 
ABS(IF(OR(H95 = "Expert",H95 = "Master"), MAX(E95:H95) , IF(H95 = "Natural", ROUNDDOWN(AVERAGE(E95:H95),0), MIN(E95:H95)))) +1 &amp; " Coin",
IF(AND(C95 &lt; 20, C95 &gt; 12), IF(OR(H95 = "Expert",H95 = "Master"), IF(MAX(E95:H95)&gt;-1,"+","-"), IF(H95 = "Natural", IF(ROUNDDOWN(AVERAGE(E95:H95),0)&gt;-1,"+","-"), IF(MIN(E95:H95)&gt;-1,"+","-"))) &amp; 
ABS(IF(OR(H95 = "Expert",H95 = "Master"), MAX(E95:H95) , IF(H95 = "Natural", ROUNDDOWN(AVERAGE(E95:H95),0), MIN(E95:H95)))) +1 &amp; "d12",
IF(C95 = 0, "No Skill", IF(OR(H95 = "Expert",H95 = "Master"), IF(MAX(E95:H95)&gt;-1,"+","-"), IF(H95 = "Natural", IF(ROUNDDOWN(AVERAGE(E95:H95),0)&gt;-1,"+","-"), IF(MIN(E95:H95)&gt;-1,"+","-"))) &amp; 
ABS(IF(OR(H95 = "Expert",H95 = "Master"), MAX(E95:H95) , IF(H95 = "Natural", ROUNDDOWN(AVERAGE(E95:H95),0), MIN(E95:H95)))) +1 &amp; "d" &amp; 2*ROUNDDOWN(C95/2,0))))</f>
        <v>+3 Coin</v>
      </c>
      <c r="L95" s="154"/>
      <c r="M95" s="155">
        <f t="shared" ref="M95:M98" si="20">IF(H95 = "Master", "+1", "") + I95</f>
        <v>0</v>
      </c>
      <c r="N95" s="152"/>
      <c r="O95" s="156" t="s">
        <v>83</v>
      </c>
      <c r="P95" s="19"/>
    </row>
    <row r="96" ht="1.5" customHeight="1">
      <c r="A96" s="20"/>
      <c r="B96" s="157" t="s">
        <v>172</v>
      </c>
      <c r="C96" s="180">
        <v>0.0</v>
      </c>
      <c r="D96" s="159" t="s">
        <v>173</v>
      </c>
      <c r="E96" s="160">
        <f>DEX</f>
        <v>2</v>
      </c>
      <c r="F96" s="160">
        <f>INT</f>
        <v>2</v>
      </c>
      <c r="G96" s="161"/>
      <c r="H96" s="158" t="s">
        <v>50</v>
      </c>
      <c r="I96" s="166"/>
      <c r="K96" s="163" t="str">
        <f t="shared" si="19"/>
        <v>No Skill</v>
      </c>
      <c r="M96" s="164">
        <f t="shared" si="20"/>
        <v>0</v>
      </c>
      <c r="O96" s="165" t="s">
        <v>83</v>
      </c>
      <c r="P96" s="19"/>
    </row>
    <row r="97" ht="1.5" customHeight="1">
      <c r="A97" s="20"/>
      <c r="B97" s="157" t="s">
        <v>174</v>
      </c>
      <c r="C97" s="158">
        <v>2.0</v>
      </c>
      <c r="D97" s="159" t="s">
        <v>138</v>
      </c>
      <c r="E97" s="160">
        <f>CHA</f>
        <v>2</v>
      </c>
      <c r="F97" s="160">
        <f>INT</f>
        <v>2</v>
      </c>
      <c r="G97" s="160">
        <f>WIS</f>
        <v>2</v>
      </c>
      <c r="H97" s="158" t="s">
        <v>50</v>
      </c>
      <c r="I97" s="166"/>
      <c r="K97" s="163" t="str">
        <f t="shared" si="19"/>
        <v>+3 Coin</v>
      </c>
      <c r="M97" s="164">
        <f t="shared" si="20"/>
        <v>0</v>
      </c>
      <c r="O97" s="165" t="s">
        <v>83</v>
      </c>
      <c r="P97" s="19"/>
    </row>
    <row r="98" ht="1.5" customHeight="1">
      <c r="A98" s="20"/>
      <c r="B98" s="167" t="s">
        <v>175</v>
      </c>
      <c r="C98" s="168">
        <v>3.0</v>
      </c>
      <c r="D98" s="169" t="s">
        <v>176</v>
      </c>
      <c r="E98" s="170">
        <f>DEX</f>
        <v>2</v>
      </c>
      <c r="F98" s="170">
        <f>CON</f>
        <v>2</v>
      </c>
      <c r="G98" s="170">
        <f>WIS</f>
        <v>2</v>
      </c>
      <c r="H98" s="168" t="s">
        <v>50</v>
      </c>
      <c r="I98" s="179"/>
      <c r="J98" s="31"/>
      <c r="K98" s="172" t="str">
        <f t="shared" si="19"/>
        <v>+3 Coin</v>
      </c>
      <c r="L98" s="31"/>
      <c r="M98" s="173">
        <f t="shared" si="20"/>
        <v>0</v>
      </c>
      <c r="N98" s="31"/>
      <c r="O98" s="174" t="s">
        <v>83</v>
      </c>
      <c r="P98" s="19"/>
    </row>
    <row r="99" ht="1.5" customHeight="1">
      <c r="A99" s="20"/>
      <c r="B99" s="175" t="s">
        <v>177</v>
      </c>
      <c r="P99" s="19"/>
    </row>
    <row r="100" ht="1.5" customHeight="1">
      <c r="A100" s="20"/>
      <c r="B100" s="146" t="s">
        <v>178</v>
      </c>
      <c r="C100" s="185">
        <v>0.0</v>
      </c>
      <c r="D100" s="148" t="s">
        <v>138</v>
      </c>
      <c r="E100" s="149">
        <f>CHA</f>
        <v>2</v>
      </c>
      <c r="F100" s="149">
        <f>INT</f>
        <v>2</v>
      </c>
      <c r="G100" s="149">
        <f>WIS</f>
        <v>2</v>
      </c>
      <c r="H100" s="147" t="s">
        <v>50</v>
      </c>
      <c r="I100" s="183"/>
      <c r="J100" s="152"/>
      <c r="K100" s="153" t="str">
        <f t="shared" ref="K100:K102" si="21">IF(AND(C100 &lt; 4, C100 &gt; 0), IF(OR(H100 = "Expert",H100 = "Master"), IF(MAX(E100:H100)&gt;-1,"+","-"), IF(H100 = "Natural", IF(ROUNDDOWN(AVERAGE(E100:H100),0)&gt;-1,"+","-"), IF(MIN(E100:H100)&gt;-1,"+","-"))) &amp; 
ABS(IF(OR(H100 = "Expert",H100 = "Master"), MAX(E100:H100) , IF(H100 = "Natural", ROUNDDOWN(AVERAGE(E100:H100),0), MIN(E100:H100)))) +1 &amp; " Coin",
IF(AND(C100 &lt; 20, C100 &gt; 12), IF(OR(H100 = "Expert",H100 = "Master"), IF(MAX(E100:H100)&gt;-1,"+","-"), IF(H100 = "Natural", IF(ROUNDDOWN(AVERAGE(E100:H100),0)&gt;-1,"+","-"), IF(MIN(E100:H100)&gt;-1,"+","-"))) &amp; 
ABS(IF(OR(H100 = "Expert",H100 = "Master"), MAX(E100:H100) , IF(H100 = "Natural", ROUNDDOWN(AVERAGE(E100:H100),0), MIN(E100:H100)))) +1 &amp; "d12",
IF(C100 = 0, "No Skill", IF(OR(H100 = "Expert",H100 = "Master"), IF(MAX(E100:H100)&gt;-1,"+","-"), IF(H100 = "Natural", IF(ROUNDDOWN(AVERAGE(E100:H100),0)&gt;-1,"+","-"), IF(MIN(E100:H100)&gt;-1,"+","-"))) &amp; 
ABS(IF(OR(H100 = "Expert",H100 = "Master"), MAX(E100:H100) , IF(H100 = "Natural", ROUNDDOWN(AVERAGE(E100:H100),0), MIN(E100:H100)))) +1 &amp; "d" &amp; 2*ROUNDDOWN(C100/2,0))))</f>
        <v>No Skill</v>
      </c>
      <c r="L100" s="154"/>
      <c r="M100" s="155">
        <f t="shared" ref="M100:M102" si="22">IF(H100 = "Master", "+1", "") + I100</f>
        <v>0</v>
      </c>
      <c r="N100" s="152"/>
      <c r="O100" s="156" t="s">
        <v>83</v>
      </c>
      <c r="P100" s="19"/>
    </row>
    <row r="101" ht="1.5" customHeight="1">
      <c r="A101" s="20"/>
      <c r="B101" s="157" t="s">
        <v>179</v>
      </c>
      <c r="C101" s="158">
        <v>0.0</v>
      </c>
      <c r="D101" s="159" t="s">
        <v>138</v>
      </c>
      <c r="E101" s="160">
        <f>CHA</f>
        <v>2</v>
      </c>
      <c r="F101" s="160">
        <f>INT</f>
        <v>2</v>
      </c>
      <c r="G101" s="160">
        <f>WIS</f>
        <v>2</v>
      </c>
      <c r="H101" s="158" t="s">
        <v>50</v>
      </c>
      <c r="I101" s="166"/>
      <c r="K101" s="163" t="str">
        <f t="shared" si="21"/>
        <v>No Skill</v>
      </c>
      <c r="M101" s="164">
        <f t="shared" si="22"/>
        <v>0</v>
      </c>
      <c r="O101" s="165" t="s">
        <v>83</v>
      </c>
      <c r="P101" s="19"/>
    </row>
    <row r="102" ht="1.5" customHeight="1">
      <c r="A102" s="20"/>
      <c r="B102" s="167" t="s">
        <v>180</v>
      </c>
      <c r="C102" s="168">
        <v>0.0</v>
      </c>
      <c r="D102" s="169" t="s">
        <v>138</v>
      </c>
      <c r="E102" s="170">
        <f>CHA</f>
        <v>2</v>
      </c>
      <c r="F102" s="170">
        <f>INT</f>
        <v>2</v>
      </c>
      <c r="G102" s="170">
        <f>WIS</f>
        <v>2</v>
      </c>
      <c r="H102" s="168" t="s">
        <v>50</v>
      </c>
      <c r="I102" s="179"/>
      <c r="J102" s="31"/>
      <c r="K102" s="172" t="str">
        <f t="shared" si="21"/>
        <v>No Skill</v>
      </c>
      <c r="L102" s="31"/>
      <c r="M102" s="173">
        <f t="shared" si="22"/>
        <v>0</v>
      </c>
      <c r="N102" s="31"/>
      <c r="O102" s="174" t="s">
        <v>83</v>
      </c>
      <c r="P102" s="19"/>
    </row>
    <row r="103" ht="36.0" customHeight="1">
      <c r="A103" s="20"/>
      <c r="B103" s="145"/>
      <c r="C103" s="145"/>
      <c r="D103" s="145"/>
      <c r="E103" s="145"/>
      <c r="F103" s="145"/>
      <c r="G103" s="145"/>
      <c r="H103" s="145"/>
      <c r="I103" s="145"/>
      <c r="J103" s="145"/>
      <c r="K103" s="145"/>
      <c r="L103" s="145"/>
      <c r="M103" s="145"/>
      <c r="N103" s="145"/>
      <c r="O103" s="145"/>
      <c r="P103" s="19"/>
    </row>
    <row r="104" ht="30.0" customHeight="1">
      <c r="A104" s="20"/>
      <c r="B104" s="99" t="s">
        <v>181</v>
      </c>
      <c r="C104" s="9" t="s">
        <v>50</v>
      </c>
      <c r="D104" s="106"/>
      <c r="E104" s="186" t="s">
        <v>182</v>
      </c>
      <c r="G104" s="12"/>
      <c r="H104" s="187"/>
      <c r="I104" s="186" t="s">
        <v>183</v>
      </c>
      <c r="J104" s="187"/>
      <c r="K104" s="186" t="s">
        <v>184</v>
      </c>
      <c r="L104" s="188"/>
      <c r="M104" s="189"/>
      <c r="N104" s="189"/>
      <c r="O104" s="186" t="s">
        <v>185</v>
      </c>
      <c r="P104" s="19"/>
    </row>
    <row r="105">
      <c r="A105" s="20"/>
      <c r="B105" s="145" t="s">
        <v>186</v>
      </c>
      <c r="P105" s="19"/>
    </row>
    <row r="106">
      <c r="A106" s="20"/>
      <c r="B106" s="190" t="s">
        <v>187</v>
      </c>
      <c r="C106" s="147">
        <v>0.0</v>
      </c>
      <c r="D106" s="191" t="s">
        <v>188</v>
      </c>
      <c r="E106" s="192" t="s">
        <v>50</v>
      </c>
      <c r="F106" s="193" t="str">
        <f>IF(E106 &lt;&gt; "None", E106, IF(C104 = "Positive",1, IF(C104 = "Negative",-1,IF(C104 ="NEUTRAL",0,""))))</f>
        <v/>
      </c>
      <c r="G106" s="194"/>
      <c r="H106" s="195"/>
      <c r="I106" s="196" t="str">
        <f t="shared" ref="I106:I115" si="23">IF(AND(C106 &lt; 4, C106 &gt; 0),IF(F106 &lt;0,"+" &amp; (F106*-1)+1 &amp; " Coin","Can't Counter"),
IF(AND(C106 &lt; 20, C106 &gt; 12), IF(F106 &lt;0,"+" &amp;(F106*-1)+1 &amp; " Coin","Can't Counter") &amp; " d12",
IF(C106 = 0, "No Skill", IF(F106 &lt;0,"+" &amp;(F106*-1)+1&amp; "d" &amp; 2*ROUNDDOWN(C106/2,0),"Can't Counter") )))</f>
        <v>No Skill</v>
      </c>
      <c r="J106" s="197"/>
      <c r="K106" s="196" t="str">
        <f t="shared" ref="K106:K115" si="24">IF(AND(C106 &lt; 4, C106 &gt; 0),IF(F106 &lt;0,F106-1,"+" &amp; F106+1) &amp; " Coin",
IF(AND(C106 &lt; 20, C106 &gt; 12), IF(F106 &lt;0,F106-1,"+" &amp; F106+1) &amp; " d12",
IF(C106 = 0, "No Skill", IF(F106 &lt;0,F106-1,"+" &amp; F106+1) &amp; "d" &amp; 2*ROUNDDOWN(C106/2,0) )))</f>
        <v>No Skill</v>
      </c>
      <c r="L106" s="198"/>
      <c r="M106" s="199"/>
      <c r="N106" s="199"/>
      <c r="O106" s="200" t="s">
        <v>83</v>
      </c>
      <c r="P106" s="19"/>
    </row>
    <row r="107" ht="1.5" customHeight="1">
      <c r="A107" s="20"/>
      <c r="B107" s="201" t="s">
        <v>189</v>
      </c>
      <c r="C107" s="158">
        <v>0.0</v>
      </c>
      <c r="D107" s="202" t="s">
        <v>188</v>
      </c>
      <c r="E107" s="203" t="s">
        <v>50</v>
      </c>
      <c r="F107" s="204" t="str">
        <f>IF(E107 &lt;&gt; "None", E107, IF(C104 = "Positive",1, IF(C104 = "Negative",-1,IF(C104 ="NEUTRAL",0,""))))</f>
        <v/>
      </c>
      <c r="G107" s="205"/>
      <c r="H107" s="187"/>
      <c r="I107" s="206" t="str">
        <f t="shared" si="23"/>
        <v>No Skill</v>
      </c>
      <c r="J107" s="207"/>
      <c r="K107" s="206" t="str">
        <f t="shared" si="24"/>
        <v>No Skill</v>
      </c>
      <c r="L107" s="188"/>
      <c r="M107" s="189"/>
      <c r="N107" s="189"/>
      <c r="O107" s="208" t="s">
        <v>83</v>
      </c>
      <c r="P107" s="19"/>
      <c r="Q107" s="209" t="s">
        <v>190</v>
      </c>
      <c r="R107" s="45"/>
      <c r="S107" s="46"/>
      <c r="T107" s="12"/>
    </row>
    <row r="108" ht="1.5" customHeight="1">
      <c r="A108" s="20"/>
      <c r="B108" s="201" t="s">
        <v>191</v>
      </c>
      <c r="C108" s="158">
        <v>0.0</v>
      </c>
      <c r="D108" s="202" t="s">
        <v>188</v>
      </c>
      <c r="E108" s="203" t="s">
        <v>50</v>
      </c>
      <c r="F108" s="204" t="str">
        <f>IF(E108 &lt;&gt; "None", E108, IF(C104 = "Positive",1, IF(C104 = "Negative",-1,IF(C104 ="NEUTRAL",0,""))))</f>
        <v/>
      </c>
      <c r="G108" s="205"/>
      <c r="H108" s="187"/>
      <c r="I108" s="206" t="str">
        <f t="shared" si="23"/>
        <v>No Skill</v>
      </c>
      <c r="J108" s="207"/>
      <c r="K108" s="206" t="str">
        <f t="shared" si="24"/>
        <v>No Skill</v>
      </c>
      <c r="L108" s="188"/>
      <c r="M108" s="189"/>
      <c r="N108" s="189"/>
      <c r="O108" s="208" t="s">
        <v>83</v>
      </c>
      <c r="P108" s="19"/>
      <c r="Q108" s="98" t="s">
        <v>192</v>
      </c>
      <c r="R108" s="99" t="s">
        <v>193</v>
      </c>
      <c r="S108" s="19"/>
    </row>
    <row r="109" ht="1.5" customHeight="1">
      <c r="A109" s="20"/>
      <c r="B109" s="201" t="s">
        <v>194</v>
      </c>
      <c r="C109" s="158">
        <v>0.0</v>
      </c>
      <c r="D109" s="184" t="s">
        <v>195</v>
      </c>
      <c r="E109" s="203" t="s">
        <v>50</v>
      </c>
      <c r="F109" s="204" t="str">
        <f>IF(E109 &lt;&gt; "None", E109, IF(C104 = "Positive",0, IF(C104 = "Negative",0,IF(C104 ="NEUTRAL",0,""))))</f>
        <v/>
      </c>
      <c r="G109" s="205"/>
      <c r="H109" s="187"/>
      <c r="I109" s="206" t="str">
        <f t="shared" si="23"/>
        <v>No Skill</v>
      </c>
      <c r="J109" s="207"/>
      <c r="K109" s="206" t="str">
        <f t="shared" si="24"/>
        <v>No Skill</v>
      </c>
      <c r="L109" s="188"/>
      <c r="M109" s="189"/>
      <c r="N109" s="189"/>
      <c r="O109" s="208" t="s">
        <v>83</v>
      </c>
      <c r="P109" s="19"/>
      <c r="Q109" s="210" t="s">
        <v>196</v>
      </c>
      <c r="R109" s="211"/>
      <c r="S109" s="19"/>
    </row>
    <row r="110" ht="1.5" customHeight="1">
      <c r="A110" s="20"/>
      <c r="B110" s="201" t="s">
        <v>197</v>
      </c>
      <c r="C110" s="158">
        <v>0.0</v>
      </c>
      <c r="D110" s="184" t="s">
        <v>195</v>
      </c>
      <c r="E110" s="203" t="s">
        <v>50</v>
      </c>
      <c r="F110" s="204" t="str">
        <f>IF(E110 &lt;&gt; "None", E110, IF(C104 = "Positive",0, IF(C104 = "Negative",0,IF(C104 ="NEUTRAL",0,""))))</f>
        <v/>
      </c>
      <c r="G110" s="205"/>
      <c r="H110" s="187"/>
      <c r="I110" s="206" t="str">
        <f t="shared" si="23"/>
        <v>No Skill</v>
      </c>
      <c r="J110" s="207"/>
      <c r="K110" s="206" t="str">
        <f t="shared" si="24"/>
        <v>No Skill</v>
      </c>
      <c r="L110" s="188"/>
      <c r="M110" s="189"/>
      <c r="N110" s="189"/>
      <c r="O110" s="208" t="s">
        <v>83</v>
      </c>
      <c r="P110" s="19"/>
      <c r="Q110" s="212"/>
      <c r="R110" s="213"/>
      <c r="S110" s="19"/>
    </row>
    <row r="111" ht="1.5" customHeight="1">
      <c r="A111" s="20"/>
      <c r="B111" s="201" t="s">
        <v>198</v>
      </c>
      <c r="C111" s="158">
        <v>0.0</v>
      </c>
      <c r="D111" s="184" t="s">
        <v>195</v>
      </c>
      <c r="E111" s="203" t="s">
        <v>50</v>
      </c>
      <c r="F111" s="204" t="str">
        <f>IF(E111 &lt;&gt; "None", E111, IF(C104 = "Positive",0, IF(C104 = "Negative",0,IF(C104 ="NEUTRAL",0,""))))</f>
        <v/>
      </c>
      <c r="G111" s="205"/>
      <c r="H111" s="187"/>
      <c r="I111" s="206" t="str">
        <f t="shared" si="23"/>
        <v>No Skill</v>
      </c>
      <c r="J111" s="207"/>
      <c r="K111" s="206" t="str">
        <f t="shared" si="24"/>
        <v>No Skill</v>
      </c>
      <c r="L111" s="188"/>
      <c r="M111" s="189"/>
      <c r="N111" s="189"/>
      <c r="O111" s="208" t="s">
        <v>83</v>
      </c>
      <c r="P111" s="19"/>
      <c r="Q111" s="212"/>
      <c r="R111" s="213"/>
      <c r="S111" s="19"/>
    </row>
    <row r="112" ht="1.5" customHeight="1">
      <c r="A112" s="20"/>
      <c r="B112" s="201" t="s">
        <v>199</v>
      </c>
      <c r="C112" s="158">
        <v>0.0</v>
      </c>
      <c r="D112" s="184" t="s">
        <v>195</v>
      </c>
      <c r="E112" s="203" t="s">
        <v>50</v>
      </c>
      <c r="F112" s="204" t="str">
        <f>IF(E112 &lt;&gt; "None", E112, IF(C104 = "Positive",0, IF(C104 = "Negative",0,IF(C104 ="NEUTRAL",0,""))))</f>
        <v/>
      </c>
      <c r="G112" s="205"/>
      <c r="H112" s="187"/>
      <c r="I112" s="206" t="str">
        <f t="shared" si="23"/>
        <v>No Skill</v>
      </c>
      <c r="J112" s="207"/>
      <c r="K112" s="206" t="str">
        <f t="shared" si="24"/>
        <v>No Skill</v>
      </c>
      <c r="L112" s="188"/>
      <c r="M112" s="189"/>
      <c r="N112" s="189"/>
      <c r="O112" s="208" t="s">
        <v>83</v>
      </c>
      <c r="P112" s="19"/>
      <c r="Q112" s="212"/>
      <c r="R112" s="213"/>
      <c r="S112" s="19"/>
    </row>
    <row r="113" ht="1.5" customHeight="1">
      <c r="A113" s="20"/>
      <c r="B113" s="201" t="s">
        <v>200</v>
      </c>
      <c r="C113" s="158">
        <v>0.0</v>
      </c>
      <c r="D113" s="202" t="s">
        <v>201</v>
      </c>
      <c r="E113" s="203" t="s">
        <v>50</v>
      </c>
      <c r="F113" s="204" t="str">
        <f>IF(E113 &lt;&gt; "None", E113, IF(C104 = "Positive",-1, IF(C104 = "Negative",1,IF(C104 ="NEUTRAL",0,""))))</f>
        <v/>
      </c>
      <c r="G113" s="205"/>
      <c r="H113" s="187"/>
      <c r="I113" s="206" t="str">
        <f t="shared" si="23"/>
        <v>No Skill</v>
      </c>
      <c r="J113" s="207"/>
      <c r="K113" s="206" t="str">
        <f t="shared" si="24"/>
        <v>No Skill</v>
      </c>
      <c r="L113" s="188"/>
      <c r="M113" s="189"/>
      <c r="N113" s="189"/>
      <c r="O113" s="208" t="s">
        <v>83</v>
      </c>
      <c r="P113" s="19"/>
      <c r="Q113" s="212"/>
      <c r="R113" s="213"/>
      <c r="S113" s="19"/>
    </row>
    <row r="114" ht="1.5" customHeight="1">
      <c r="A114" s="20"/>
      <c r="B114" s="201" t="s">
        <v>202</v>
      </c>
      <c r="C114" s="158">
        <v>0.0</v>
      </c>
      <c r="D114" s="202" t="s">
        <v>201</v>
      </c>
      <c r="E114" s="203" t="s">
        <v>50</v>
      </c>
      <c r="F114" s="204" t="str">
        <f>IF(E114 &lt;&gt; "None", E114, IF(C104 = "Positive",-1, IF(C104 = "Negative",1,IF(C104 ="NEUTRAL",0,""))))</f>
        <v/>
      </c>
      <c r="G114" s="205"/>
      <c r="H114" s="187"/>
      <c r="I114" s="206" t="str">
        <f t="shared" si="23"/>
        <v>No Skill</v>
      </c>
      <c r="J114" s="207"/>
      <c r="K114" s="206" t="str">
        <f t="shared" si="24"/>
        <v>No Skill</v>
      </c>
      <c r="L114" s="188"/>
      <c r="M114" s="189"/>
      <c r="N114" s="189"/>
      <c r="O114" s="208" t="s">
        <v>83</v>
      </c>
      <c r="P114" s="19"/>
      <c r="Q114" s="214"/>
      <c r="R114" s="215"/>
      <c r="S114" s="32"/>
    </row>
    <row r="115" ht="1.5" customHeight="1">
      <c r="A115" s="20"/>
      <c r="B115" s="216" t="s">
        <v>203</v>
      </c>
      <c r="C115" s="168">
        <v>0.0</v>
      </c>
      <c r="D115" s="217" t="s">
        <v>201</v>
      </c>
      <c r="E115" s="218" t="s">
        <v>50</v>
      </c>
      <c r="F115" s="219" t="str">
        <f>IF(E115 &lt;&gt; "None", E115, IF(C104 = "Positive",-1, IF(C104 = "Negative",1,IF(C104 ="NEUTRAL",0,""))))</f>
        <v/>
      </c>
      <c r="G115" s="220"/>
      <c r="H115" s="221"/>
      <c r="I115" s="222" t="str">
        <f t="shared" si="23"/>
        <v>No Skill</v>
      </c>
      <c r="J115" s="223"/>
      <c r="K115" s="222" t="str">
        <f t="shared" si="24"/>
        <v>No Skill</v>
      </c>
      <c r="L115" s="224"/>
      <c r="M115" s="225"/>
      <c r="N115" s="225"/>
      <c r="O115" s="226" t="s">
        <v>83</v>
      </c>
      <c r="P115" s="19"/>
      <c r="Q115" s="12"/>
    </row>
    <row r="116" ht="7.5" customHeight="1">
      <c r="A116" s="30"/>
      <c r="B116" s="37"/>
      <c r="C116" s="31"/>
      <c r="D116" s="31"/>
      <c r="E116" s="31"/>
      <c r="F116" s="31"/>
      <c r="G116" s="31"/>
      <c r="H116" s="31"/>
      <c r="I116" s="31"/>
      <c r="J116" s="31"/>
      <c r="K116" s="31"/>
      <c r="L116" s="31"/>
      <c r="M116" s="31"/>
      <c r="N116" s="31"/>
      <c r="O116" s="31"/>
      <c r="P116" s="32"/>
    </row>
    <row r="117" ht="30.0" customHeight="1">
      <c r="A117" s="1"/>
    </row>
  </sheetData>
  <mergeCells count="282">
    <mergeCell ref="B25:O25"/>
    <mergeCell ref="D26:G26"/>
    <mergeCell ref="K22:L22"/>
    <mergeCell ref="K23:L23"/>
    <mergeCell ref="N23:P23"/>
    <mergeCell ref="N22:P22"/>
    <mergeCell ref="N28:N34"/>
    <mergeCell ref="N36:N39"/>
    <mergeCell ref="L36:L39"/>
    <mergeCell ref="B35:O35"/>
    <mergeCell ref="N21:P21"/>
    <mergeCell ref="K21:M21"/>
    <mergeCell ref="A24:P24"/>
    <mergeCell ref="B40:O40"/>
    <mergeCell ref="J36:J39"/>
    <mergeCell ref="B27:O27"/>
    <mergeCell ref="J28:J34"/>
    <mergeCell ref="L28:L34"/>
    <mergeCell ref="B76:O76"/>
    <mergeCell ref="B70:O70"/>
    <mergeCell ref="J71:J75"/>
    <mergeCell ref="L71:L75"/>
    <mergeCell ref="N71:N75"/>
    <mergeCell ref="N86:N89"/>
    <mergeCell ref="J86:J89"/>
    <mergeCell ref="L86:L89"/>
    <mergeCell ref="B90:O90"/>
    <mergeCell ref="B85:O85"/>
    <mergeCell ref="N62:N69"/>
    <mergeCell ref="J56:J60"/>
    <mergeCell ref="J62:J69"/>
    <mergeCell ref="N56:N60"/>
    <mergeCell ref="L62:L69"/>
    <mergeCell ref="L56:L60"/>
    <mergeCell ref="L51:L54"/>
    <mergeCell ref="J51:J54"/>
    <mergeCell ref="L91:L93"/>
    <mergeCell ref="J77:J84"/>
    <mergeCell ref="L77:L84"/>
    <mergeCell ref="J91:J93"/>
    <mergeCell ref="N91:N93"/>
    <mergeCell ref="N77:N84"/>
    <mergeCell ref="L41:L49"/>
    <mergeCell ref="J41:J49"/>
    <mergeCell ref="B23:C23"/>
    <mergeCell ref="D21:I23"/>
    <mergeCell ref="B61:O61"/>
    <mergeCell ref="B55:O55"/>
    <mergeCell ref="N41:N49"/>
    <mergeCell ref="B50:O50"/>
    <mergeCell ref="N51:N54"/>
    <mergeCell ref="G16:H16"/>
    <mergeCell ref="F18:I20"/>
    <mergeCell ref="A2:A23"/>
    <mergeCell ref="C2:D2"/>
    <mergeCell ref="C3:D3"/>
    <mergeCell ref="C6:F6"/>
    <mergeCell ref="A1:I1"/>
    <mergeCell ref="G12:H12"/>
    <mergeCell ref="Q21:R21"/>
    <mergeCell ref="W22:X23"/>
    <mergeCell ref="AB22:AB23"/>
    <mergeCell ref="W21:X21"/>
    <mergeCell ref="S21:V21"/>
    <mergeCell ref="Z5:Z6"/>
    <mergeCell ref="Z10:Z11"/>
    <mergeCell ref="J13:L20"/>
    <mergeCell ref="M13:M14"/>
    <mergeCell ref="W10:W12"/>
    <mergeCell ref="Y10:Y11"/>
    <mergeCell ref="X3:Z4"/>
    <mergeCell ref="J8:J12"/>
    <mergeCell ref="AB13:AB19"/>
    <mergeCell ref="G11:H11"/>
    <mergeCell ref="X8:Z9"/>
    <mergeCell ref="P13:W20"/>
    <mergeCell ref="O13:O14"/>
    <mergeCell ref="R113:S113"/>
    <mergeCell ref="R114:S114"/>
    <mergeCell ref="R111:S111"/>
    <mergeCell ref="T107:AL114"/>
    <mergeCell ref="B105:O105"/>
    <mergeCell ref="B116:O116"/>
    <mergeCell ref="R112:S112"/>
    <mergeCell ref="Q107:S107"/>
    <mergeCell ref="R110:S110"/>
    <mergeCell ref="A117:AL117"/>
    <mergeCell ref="Q115:AL116"/>
    <mergeCell ref="AF21:AF23"/>
    <mergeCell ref="Q24:AL106"/>
    <mergeCell ref="X15:X16"/>
    <mergeCell ref="Z13:AA14"/>
    <mergeCell ref="X13:Y14"/>
    <mergeCell ref="AM24:BZ117"/>
    <mergeCell ref="AA10:AF11"/>
    <mergeCell ref="X12:AF12"/>
    <mergeCell ref="X20:AF20"/>
    <mergeCell ref="C5:F5"/>
    <mergeCell ref="C4:F4"/>
    <mergeCell ref="AA5:AF6"/>
    <mergeCell ref="X7:AF7"/>
    <mergeCell ref="AH8:AI8"/>
    <mergeCell ref="AJ8:AK8"/>
    <mergeCell ref="B22:C22"/>
    <mergeCell ref="B21:C21"/>
    <mergeCell ref="A25:A116"/>
    <mergeCell ref="N13:N19"/>
    <mergeCell ref="M20:O20"/>
    <mergeCell ref="P25:P116"/>
    <mergeCell ref="N100:N102"/>
    <mergeCell ref="M15:M16"/>
    <mergeCell ref="N95:N98"/>
    <mergeCell ref="R108:S108"/>
    <mergeCell ref="R109:S109"/>
    <mergeCell ref="Q23:R23"/>
    <mergeCell ref="Q22:R22"/>
    <mergeCell ref="E104:F104"/>
    <mergeCell ref="L100:L102"/>
    <mergeCell ref="J100:J102"/>
    <mergeCell ref="J95:J98"/>
    <mergeCell ref="L95:L98"/>
    <mergeCell ref="B94:O94"/>
    <mergeCell ref="B99:O99"/>
    <mergeCell ref="AH10:AK10"/>
    <mergeCell ref="AL8:AL12"/>
    <mergeCell ref="AW15:AW16"/>
    <mergeCell ref="AT15:AT16"/>
    <mergeCell ref="AU15:AU16"/>
    <mergeCell ref="AT13:AU14"/>
    <mergeCell ref="AR15:AR16"/>
    <mergeCell ref="AS15:AS16"/>
    <mergeCell ref="AG13:AQ19"/>
    <mergeCell ref="AR18:AS18"/>
    <mergeCell ref="AW17:AZ17"/>
    <mergeCell ref="AY18:AZ18"/>
    <mergeCell ref="AZ15:AZ16"/>
    <mergeCell ref="AY15:AY16"/>
    <mergeCell ref="AR17:AU17"/>
    <mergeCell ref="AT18:AU18"/>
    <mergeCell ref="BQ17:BT17"/>
    <mergeCell ref="BP13:BP19"/>
    <mergeCell ref="BN13:BO14"/>
    <mergeCell ref="BQ18:BR18"/>
    <mergeCell ref="BO15:BO16"/>
    <mergeCell ref="BL13:BM14"/>
    <mergeCell ref="BL17:BO17"/>
    <mergeCell ref="AE18:AF18"/>
    <mergeCell ref="AC18:AD18"/>
    <mergeCell ref="AC15:AC16"/>
    <mergeCell ref="AD15:AD16"/>
    <mergeCell ref="AC17:AF17"/>
    <mergeCell ref="AG20:BZ23"/>
    <mergeCell ref="BM15:BM16"/>
    <mergeCell ref="AR5:AR6"/>
    <mergeCell ref="AG3:AQ7"/>
    <mergeCell ref="AR8:AT9"/>
    <mergeCell ref="AQ8:AQ9"/>
    <mergeCell ref="AO8:AP8"/>
    <mergeCell ref="AM8:AN8"/>
    <mergeCell ref="BA8:BA9"/>
    <mergeCell ref="X5:X6"/>
    <mergeCell ref="Y5:Y6"/>
    <mergeCell ref="AR3:AT4"/>
    <mergeCell ref="AS5:AS6"/>
    <mergeCell ref="AA3:AF4"/>
    <mergeCell ref="AT5:AT6"/>
    <mergeCell ref="AU8:AZ9"/>
    <mergeCell ref="M7:O7"/>
    <mergeCell ref="M5:O6"/>
    <mergeCell ref="I6:I7"/>
    <mergeCell ref="I3:I4"/>
    <mergeCell ref="R3:W7"/>
    <mergeCell ref="J3:L7"/>
    <mergeCell ref="P3:P7"/>
    <mergeCell ref="M8:O9"/>
    <mergeCell ref="P8:P9"/>
    <mergeCell ref="S8:T8"/>
    <mergeCell ref="M3:O4"/>
    <mergeCell ref="L8:L9"/>
    <mergeCell ref="AA8:AF9"/>
    <mergeCell ref="AG8:AG9"/>
    <mergeCell ref="AU5:AZ6"/>
    <mergeCell ref="AU3:AZ4"/>
    <mergeCell ref="J1:BF2"/>
    <mergeCell ref="BB8:BC8"/>
    <mergeCell ref="AR7:AZ7"/>
    <mergeCell ref="BM5:BM6"/>
    <mergeCell ref="BL5:BL6"/>
    <mergeCell ref="BO3:BT4"/>
    <mergeCell ref="BL3:BN4"/>
    <mergeCell ref="BO5:BT6"/>
    <mergeCell ref="BL7:BT7"/>
    <mergeCell ref="BN5:BN6"/>
    <mergeCell ref="BA3:BK7"/>
    <mergeCell ref="BU3:BZ7"/>
    <mergeCell ref="AS10:AS11"/>
    <mergeCell ref="AR10:AR11"/>
    <mergeCell ref="AT10:AT11"/>
    <mergeCell ref="AU10:AZ11"/>
    <mergeCell ref="AM10:AP10"/>
    <mergeCell ref="AQ10:AQ12"/>
    <mergeCell ref="BD11:BE11"/>
    <mergeCell ref="BB11:BC11"/>
    <mergeCell ref="AJ11:AK11"/>
    <mergeCell ref="AM11:AN11"/>
    <mergeCell ref="AH11:AI11"/>
    <mergeCell ref="AG10:AG12"/>
    <mergeCell ref="AR12:AZ12"/>
    <mergeCell ref="BV10:BY10"/>
    <mergeCell ref="BX8:BY8"/>
    <mergeCell ref="BV11:BW11"/>
    <mergeCell ref="BU8:BU9"/>
    <mergeCell ref="BO10:BT11"/>
    <mergeCell ref="BM10:BM11"/>
    <mergeCell ref="BN10:BN11"/>
    <mergeCell ref="BL10:BL11"/>
    <mergeCell ref="BI11:BJ11"/>
    <mergeCell ref="BL8:BN9"/>
    <mergeCell ref="BK8:BK9"/>
    <mergeCell ref="BK10:BK12"/>
    <mergeCell ref="G13:H14"/>
    <mergeCell ref="G15:H15"/>
    <mergeCell ref="F17:I17"/>
    <mergeCell ref="B16:F16"/>
    <mergeCell ref="B9:D9"/>
    <mergeCell ref="B8:I8"/>
    <mergeCell ref="AE15:AE16"/>
    <mergeCell ref="AF15:AF16"/>
    <mergeCell ref="AE13:AF14"/>
    <mergeCell ref="AC13:AD14"/>
    <mergeCell ref="X17:AA17"/>
    <mergeCell ref="AO11:AP11"/>
    <mergeCell ref="AR13:AS14"/>
    <mergeCell ref="R8:R12"/>
    <mergeCell ref="P10:P12"/>
    <mergeCell ref="O15:O16"/>
    <mergeCell ref="M12:O12"/>
    <mergeCell ref="L10:L12"/>
    <mergeCell ref="M10:O11"/>
    <mergeCell ref="X10:X11"/>
    <mergeCell ref="S10:V10"/>
    <mergeCell ref="S11:T11"/>
    <mergeCell ref="U11:V11"/>
    <mergeCell ref="Y15:Y16"/>
    <mergeCell ref="AA15:AA16"/>
    <mergeCell ref="Z15:Z16"/>
    <mergeCell ref="U8:V8"/>
    <mergeCell ref="W8:W9"/>
    <mergeCell ref="Z18:AA18"/>
    <mergeCell ref="X18:Y18"/>
    <mergeCell ref="BZ8:BZ12"/>
    <mergeCell ref="BX11:BY11"/>
    <mergeCell ref="BU13:BZ19"/>
    <mergeCell ref="BL18:BM18"/>
    <mergeCell ref="BI8:BJ8"/>
    <mergeCell ref="BO8:BT9"/>
    <mergeCell ref="BQ15:BQ16"/>
    <mergeCell ref="BV8:BW8"/>
    <mergeCell ref="BL12:BT12"/>
    <mergeCell ref="BA13:BK19"/>
    <mergeCell ref="AV13:AV19"/>
    <mergeCell ref="AY13:AZ14"/>
    <mergeCell ref="AW18:AX18"/>
    <mergeCell ref="AX15:AX16"/>
    <mergeCell ref="AW13:AX14"/>
    <mergeCell ref="BG8:BH8"/>
    <mergeCell ref="BF8:BF12"/>
    <mergeCell ref="BD8:BE8"/>
    <mergeCell ref="BG10:BJ10"/>
    <mergeCell ref="BB10:BE10"/>
    <mergeCell ref="BG11:BH11"/>
    <mergeCell ref="BA10:BA12"/>
    <mergeCell ref="BN18:BO18"/>
    <mergeCell ref="BS18:BT18"/>
    <mergeCell ref="BL15:BL16"/>
    <mergeCell ref="BN15:BN16"/>
    <mergeCell ref="BS15:BS16"/>
    <mergeCell ref="BR15:BR16"/>
    <mergeCell ref="BT15:BT16"/>
    <mergeCell ref="BU10:BU12"/>
    <mergeCell ref="BQ13:BR14"/>
    <mergeCell ref="BS13:BT14"/>
  </mergeCells>
  <conditionalFormatting sqref="D10:D15 F10:F15">
    <cfRule type="cellIs" dxfId="0" priority="1" operator="greaterThan">
      <formula>10</formula>
    </cfRule>
  </conditionalFormatting>
  <conditionalFormatting sqref="D10:D15 F10:F15">
    <cfRule type="cellIs" dxfId="1" priority="2" operator="greaterThan">
      <formula>5</formula>
    </cfRule>
  </conditionalFormatting>
  <conditionalFormatting sqref="D10:D15">
    <cfRule type="cellIs" dxfId="2" priority="3" operator="lessThanOrEqual">
      <formula>-6</formula>
    </cfRule>
  </conditionalFormatting>
  <conditionalFormatting sqref="D10:D15">
    <cfRule type="cellIs" dxfId="3" priority="4" operator="lessThan">
      <formula>0</formula>
    </cfRule>
  </conditionalFormatting>
  <conditionalFormatting sqref="D10:D15">
    <cfRule type="cellIs" dxfId="4" priority="5" operator="greaterThan">
      <formula>0</formula>
    </cfRule>
  </conditionalFormatting>
  <conditionalFormatting sqref="D10:D15">
    <cfRule type="notContainsBlanks" dxfId="5" priority="6">
      <formula>LEN(TRIM(D10))&gt;0</formula>
    </cfRule>
  </conditionalFormatting>
  <conditionalFormatting sqref="E19:E20">
    <cfRule type="beginsWith" dxfId="6" priority="7" operator="beginsWith" text="-">
      <formula>LEFT((E19),LEN("-"))=("-")</formula>
    </cfRule>
  </conditionalFormatting>
  <conditionalFormatting sqref="E19:E20">
    <cfRule type="endsWith" dxfId="7" priority="8" operator="endsWith" text="*">
      <formula>RIGHT((E19),LEN("*"))=("*")</formula>
    </cfRule>
  </conditionalFormatting>
  <conditionalFormatting sqref="F10:F15">
    <cfRule type="beginsWith" dxfId="3" priority="9" operator="beginsWith" text="-">
      <formula>LEFT((F10),LEN("-"))=("-")</formula>
    </cfRule>
  </conditionalFormatting>
  <conditionalFormatting sqref="F10:F15">
    <cfRule type="notContainsBlanks" dxfId="4" priority="10">
      <formula>LEN(TRIM(F10))&gt;0</formula>
    </cfRule>
  </conditionalFormatting>
  <conditionalFormatting sqref="H28:H34 J28:J34 H36:H39 J36:J39 H41:H49 J41:J49 H51:H54 J51:J54 H56:H60 J56:J60 H62:H69 J62:J69 H71:H75 J71:J75 H77:H84 J77:J84 H86:H89 J86:J89 H91:H93 J91:J93 H95:H98 J95:J98 H100:H102 J100:J102">
    <cfRule type="cellIs" dxfId="8" priority="11" operator="equal">
      <formula>"Natural"</formula>
    </cfRule>
  </conditionalFormatting>
  <conditionalFormatting sqref="H28:H34 J28:J34 H36:H39 J36:J39 H41:H49 J41:J49 H51:H54 J51:J54 H56:H60 J56:J60 H62:H69 J62:J69 H71:H75 J71:J75 H77:H84 J77:J84 H86:H89 J86:J89 H91:H93 J91:J93 H95:H98 J95:J98 H100:H102 J100:J102">
    <cfRule type="cellIs" dxfId="4" priority="12" operator="equal">
      <formula>"Expert"</formula>
    </cfRule>
  </conditionalFormatting>
  <conditionalFormatting sqref="M36:M38 N36 N38 M51:N54 M68">
    <cfRule type="cellIs" dxfId="4" priority="13" operator="greaterThan">
      <formula>0</formula>
    </cfRule>
  </conditionalFormatting>
  <conditionalFormatting sqref="M36:M38 N36 N38 M51:N54 M68">
    <cfRule type="beginsWith" dxfId="3" priority="14" operator="beginsWith" text="-">
      <formula>LEFT((M36),LEN("-"))=("-")</formula>
    </cfRule>
  </conditionalFormatting>
  <conditionalFormatting sqref="M37 M51:M54 M68">
    <cfRule type="beginsWith" dxfId="9" priority="15" operator="beginsWith" text="+">
      <formula>LEFT((M37),LEN("+"))=("+")</formula>
    </cfRule>
  </conditionalFormatting>
  <conditionalFormatting sqref="M37 M51:M54 M68">
    <cfRule type="beginsWith" dxfId="10" priority="16" operator="beginsWith" text="-">
      <formula>LEFT((M37),LEN("-"))=("-")</formula>
    </cfRule>
  </conditionalFormatting>
  <conditionalFormatting sqref="M5:O6 AA5:AF6 AU5:AZ6 BO5:BT6 M10:O11 AA10:AF11 AU10:AZ11 BO10:BT11">
    <cfRule type="expression" dxfId="11" priority="17">
      <formula>(M3)&lt;((M5)*-1) +1</formula>
    </cfRule>
  </conditionalFormatting>
  <conditionalFormatting sqref="M18 O18">
    <cfRule type="expression" dxfId="2" priority="18">
      <formula>(M13) = "Missing"</formula>
    </cfRule>
  </conditionalFormatting>
  <conditionalFormatting sqref="M18 O18">
    <cfRule type="expression" dxfId="2" priority="19">
      <formula>(M13) = "Destroyed"</formula>
    </cfRule>
  </conditionalFormatting>
  <conditionalFormatting sqref="M18 O18">
    <cfRule type="cellIs" dxfId="2" priority="20" operator="equal">
      <formula>"Missing"</formula>
    </cfRule>
  </conditionalFormatting>
  <conditionalFormatting sqref="M18 O18">
    <cfRule type="cellIs" dxfId="12" priority="21" operator="lessThanOrEqual">
      <formula>0</formula>
    </cfRule>
  </conditionalFormatting>
  <conditionalFormatting sqref="C107">
    <cfRule type="expression" dxfId="4" priority="22">
      <formula>(C104)="Positive"</formula>
    </cfRule>
  </conditionalFormatting>
  <conditionalFormatting sqref="C108">
    <cfRule type="expression" dxfId="4" priority="23">
      <formula>(C104)="Positive"</formula>
    </cfRule>
  </conditionalFormatting>
  <conditionalFormatting sqref="C107">
    <cfRule type="expression" dxfId="3" priority="24">
      <formula>(C104)="Negative"</formula>
    </cfRule>
  </conditionalFormatting>
  <conditionalFormatting sqref="C108">
    <cfRule type="expression" dxfId="3" priority="25">
      <formula>(C104)="Negative"</formula>
    </cfRule>
  </conditionalFormatting>
  <conditionalFormatting sqref="C113">
    <cfRule type="expression" dxfId="3" priority="26">
      <formula>(C104)="Positive"</formula>
    </cfRule>
  </conditionalFormatting>
  <conditionalFormatting sqref="C114">
    <cfRule type="expression" dxfId="3" priority="27">
      <formula>(C104)="Positive"</formula>
    </cfRule>
  </conditionalFormatting>
  <conditionalFormatting sqref="C115">
    <cfRule type="expression" dxfId="3" priority="28">
      <formula>(C104)="Positive"</formula>
    </cfRule>
  </conditionalFormatting>
  <conditionalFormatting sqref="C113">
    <cfRule type="expression" dxfId="4" priority="29">
      <formula>(C104)="Negative"</formula>
    </cfRule>
  </conditionalFormatting>
  <conditionalFormatting sqref="C114">
    <cfRule type="expression" dxfId="4" priority="30">
      <formula>(C104)="Negative"</formula>
    </cfRule>
  </conditionalFormatting>
  <conditionalFormatting sqref="C115">
    <cfRule type="expression" dxfId="4" priority="31">
      <formula>(C104)="Negative"</formula>
    </cfRule>
  </conditionalFormatting>
  <conditionalFormatting sqref="C107">
    <cfRule type="expression" dxfId="2" priority="32">
      <formula>(C104)="None"</formula>
    </cfRule>
  </conditionalFormatting>
  <conditionalFormatting sqref="C108">
    <cfRule type="expression" dxfId="2" priority="33">
      <formula>(C104)="None"</formula>
    </cfRule>
  </conditionalFormatting>
  <conditionalFormatting sqref="C109">
    <cfRule type="expression" dxfId="2" priority="34">
      <formula>(C104)="None"</formula>
    </cfRule>
  </conditionalFormatting>
  <conditionalFormatting sqref="C110">
    <cfRule type="expression" dxfId="2" priority="35">
      <formula>(C104)="None"</formula>
    </cfRule>
  </conditionalFormatting>
  <conditionalFormatting sqref="C111">
    <cfRule type="expression" dxfId="2" priority="36">
      <formula>(C104)="None"</formula>
    </cfRule>
  </conditionalFormatting>
  <conditionalFormatting sqref="C112">
    <cfRule type="expression" dxfId="2" priority="37">
      <formula>(C104)="None"</formula>
    </cfRule>
  </conditionalFormatting>
  <conditionalFormatting sqref="C113">
    <cfRule type="expression" dxfId="2" priority="38">
      <formula>(C104)="None"</formula>
    </cfRule>
  </conditionalFormatting>
  <conditionalFormatting sqref="C114">
    <cfRule type="expression" dxfId="2" priority="39">
      <formula>(C104)="None"</formula>
    </cfRule>
  </conditionalFormatting>
  <conditionalFormatting sqref="C115">
    <cfRule type="expression" dxfId="2" priority="40">
      <formula>(C104)="None"</formula>
    </cfRule>
  </conditionalFormatting>
  <conditionalFormatting sqref="C106">
    <cfRule type="expression" dxfId="4" priority="41">
      <formula>(C104)="Positive"</formula>
    </cfRule>
  </conditionalFormatting>
  <conditionalFormatting sqref="C106">
    <cfRule type="expression" dxfId="3" priority="42">
      <formula>(C104)="Negative"</formula>
    </cfRule>
  </conditionalFormatting>
  <conditionalFormatting sqref="C106">
    <cfRule type="expression" dxfId="11" priority="43">
      <formula>(C104)="None"</formula>
    </cfRule>
  </conditionalFormatting>
  <conditionalFormatting sqref="K28:K34 K36:K39 K41:K49 K51:K54 K56:K60 K62:K69 K71:K75 K77:K84 K86:K89 K91:K93 K95:K98 K100:K102">
    <cfRule type="beginsWith" dxfId="3" priority="44" operator="beginsWith" text="-">
      <formula>LEFT((K28),LEN("-"))=("-")</formula>
    </cfRule>
  </conditionalFormatting>
  <conditionalFormatting sqref="K28:K34 K36:K39 K41:K49 K51:K54 K56:K60 K62:K69 K71:K75 K77:K84 K86:K89 K91:K93 K95:K98 K100:K102">
    <cfRule type="endsWith" dxfId="0" priority="45" operator="endsWith" text="20">
      <formula>RIGHT((K28),LEN("20"))=("20")</formula>
    </cfRule>
  </conditionalFormatting>
  <conditionalFormatting sqref="K28:K34 K36:K39 K41:K49 K51:K54 K56:K60 K62:K69 K71:K75 K77:K84 K86:K89 K91:K93 K95:K98 K100:K102">
    <cfRule type="endsWith" dxfId="1" priority="46" operator="endsWith" text="12">
      <formula>RIGHT((K28),LEN("12"))=("12")</formula>
    </cfRule>
  </conditionalFormatting>
  <conditionalFormatting sqref="K28:K34 K36:K39 K41:K49 K51:K54 K56:K60 K62:K69 K71:K75 K77:K84 K86:K89 K91:K93 K95:K98 K100:K102">
    <cfRule type="beginsWith" dxfId="4" priority="47" operator="beginsWith" text="+">
      <formula>LEFT((K28),LEN("+"))=("+")</formula>
    </cfRule>
  </conditionalFormatting>
  <conditionalFormatting sqref="K28:K34 K36:K39 K41:K49 K51:K54 K56:K60 K62:K69 K71:K75 K77:K84 K86:K89 K91:K93 K95:K98 K100:K102">
    <cfRule type="cellIs" dxfId="13" priority="48" operator="equal">
      <formula>"No Skill"</formula>
    </cfRule>
  </conditionalFormatting>
  <conditionalFormatting sqref="K106:K115">
    <cfRule type="beginsWith" dxfId="3" priority="49" operator="beginsWith" text="-">
      <formula>LEFT((K106),LEN("-"))=("-")</formula>
    </cfRule>
  </conditionalFormatting>
  <conditionalFormatting sqref="K106:K115">
    <cfRule type="endsWith" dxfId="0" priority="50" operator="endsWith" text="20">
      <formula>RIGHT((K106),LEN("20"))=("20")</formula>
    </cfRule>
  </conditionalFormatting>
  <conditionalFormatting sqref="K106:K115">
    <cfRule type="endsWith" dxfId="1" priority="51" operator="endsWith" text="12">
      <formula>RIGHT((K106),LEN("12"))=("12")</formula>
    </cfRule>
  </conditionalFormatting>
  <conditionalFormatting sqref="K106:K115">
    <cfRule type="beginsWith" dxfId="4" priority="52" operator="beginsWith" text="+">
      <formula>LEFT((K106),LEN("+"))=("+")</formula>
    </cfRule>
  </conditionalFormatting>
  <conditionalFormatting sqref="I106:I115">
    <cfRule type="beginsWith" dxfId="3" priority="53" operator="beginsWith" text="-">
      <formula>LEFT((I106),LEN("-"))=("-")</formula>
    </cfRule>
  </conditionalFormatting>
  <conditionalFormatting sqref="I106:I115">
    <cfRule type="endsWith" dxfId="0" priority="54" operator="endsWith" text="20">
      <formula>RIGHT((I106),LEN("20"))=("20")</formula>
    </cfRule>
  </conditionalFormatting>
  <conditionalFormatting sqref="I106:I115">
    <cfRule type="endsWith" dxfId="1" priority="55" operator="endsWith" text="12">
      <formula>RIGHT((I106),LEN("12"))=("12")</formula>
    </cfRule>
  </conditionalFormatting>
  <conditionalFormatting sqref="I106:I115">
    <cfRule type="beginsWith" dxfId="4" priority="56" operator="beginsWith" text="+">
      <formula>LEFT((I106),LEN("+"))=("+")</formula>
    </cfRule>
  </conditionalFormatting>
  <conditionalFormatting sqref="O28:O34 O36:O39 O41:O49 O51:O54 O56:O60 O62:O69 O71:O75 O77:O84 O86:O89 O91:O93 O95:O98 O100:O102 O106:O115">
    <cfRule type="cellIs" dxfId="3" priority="57" operator="equal">
      <formula>"NO"</formula>
    </cfRule>
  </conditionalFormatting>
  <conditionalFormatting sqref="O28:O34 O36:O39 O41:O49 O51:O54 O56:O60 O62:O69 O71:O75 O77:O84 O86:O89 O91:O93 O95:O98 O100:O102 O106:O115">
    <cfRule type="notContainsText" dxfId="4" priority="58" operator="notContains" text="NO">
      <formula>ISERROR(SEARCH(("NO"),(O28)))</formula>
    </cfRule>
  </conditionalFormatting>
  <conditionalFormatting sqref="E106">
    <cfRule type="expression" dxfId="2" priority="59">
      <formula>(C104)="None"</formula>
    </cfRule>
  </conditionalFormatting>
  <conditionalFormatting sqref="E107">
    <cfRule type="expression" dxfId="2" priority="60">
      <formula>(C104)="None"</formula>
    </cfRule>
  </conditionalFormatting>
  <conditionalFormatting sqref="E108">
    <cfRule type="expression" dxfId="2" priority="61">
      <formula>(C104)="None"</formula>
    </cfRule>
  </conditionalFormatting>
  <conditionalFormatting sqref="E109">
    <cfRule type="expression" dxfId="2" priority="62">
      <formula>(C104)="None"</formula>
    </cfRule>
  </conditionalFormatting>
  <conditionalFormatting sqref="E110">
    <cfRule type="expression" dxfId="2" priority="63">
      <formula>(C104)="None"</formula>
    </cfRule>
  </conditionalFormatting>
  <conditionalFormatting sqref="E111">
    <cfRule type="expression" dxfId="2" priority="64">
      <formula>(C104)="None"</formula>
    </cfRule>
  </conditionalFormatting>
  <conditionalFormatting sqref="E112">
    <cfRule type="expression" dxfId="2" priority="65">
      <formula>(C104)="None"</formula>
    </cfRule>
  </conditionalFormatting>
  <conditionalFormatting sqref="E113">
    <cfRule type="expression" dxfId="2" priority="66">
      <formula>(C104)="None"</formula>
    </cfRule>
  </conditionalFormatting>
  <conditionalFormatting sqref="E114">
    <cfRule type="expression" dxfId="2" priority="67">
      <formula>(C104)="None"</formula>
    </cfRule>
  </conditionalFormatting>
  <conditionalFormatting sqref="E115">
    <cfRule type="expression" dxfId="2" priority="68">
      <formula>(C104)="None"</formula>
    </cfRule>
  </conditionalFormatting>
  <conditionalFormatting sqref="F106">
    <cfRule type="expression" dxfId="2" priority="69">
      <formula>(C104)="None"</formula>
    </cfRule>
  </conditionalFormatting>
  <conditionalFormatting sqref="F107">
    <cfRule type="expression" dxfId="2" priority="70">
      <formula>(C104)="None"</formula>
    </cfRule>
  </conditionalFormatting>
  <conditionalFormatting sqref="F108">
    <cfRule type="expression" dxfId="2" priority="71">
      <formula>(C104)="None"</formula>
    </cfRule>
  </conditionalFormatting>
  <conditionalFormatting sqref="F109">
    <cfRule type="expression" dxfId="2" priority="72">
      <formula>(C104)="None"</formula>
    </cfRule>
  </conditionalFormatting>
  <conditionalFormatting sqref="F110">
    <cfRule type="expression" dxfId="2" priority="73">
      <formula>(C104)="None"</formula>
    </cfRule>
  </conditionalFormatting>
  <conditionalFormatting sqref="F111">
    <cfRule type="expression" dxfId="2" priority="74">
      <formula>(C104)="None"</formula>
    </cfRule>
  </conditionalFormatting>
  <conditionalFormatting sqref="F112">
    <cfRule type="expression" dxfId="2" priority="75">
      <formula>(C104)="None"</formula>
    </cfRule>
  </conditionalFormatting>
  <conditionalFormatting sqref="F113">
    <cfRule type="expression" dxfId="2" priority="76">
      <formula>(C104)="None"</formula>
    </cfRule>
  </conditionalFormatting>
  <conditionalFormatting sqref="F114">
    <cfRule type="expression" dxfId="2" priority="77">
      <formula>(C104)="None"</formula>
    </cfRule>
  </conditionalFormatting>
  <conditionalFormatting sqref="F115">
    <cfRule type="expression" dxfId="2" priority="78">
      <formula>(C104)="None"</formula>
    </cfRule>
  </conditionalFormatting>
  <conditionalFormatting sqref="I14">
    <cfRule type="expression" dxfId="7" priority="79">
      <formula>(G13)&lt;=(((G12)-(G15))*-1)</formula>
    </cfRule>
  </conditionalFormatting>
  <conditionalFormatting sqref="K11 Q11">
    <cfRule type="expression" dxfId="2" priority="80">
      <formula>(K8) = "Missing"</formula>
    </cfRule>
  </conditionalFormatting>
  <conditionalFormatting sqref="K8 Q8 K11 Q11">
    <cfRule type="cellIs" dxfId="2" priority="81" operator="equal">
      <formula>"Missing"</formula>
    </cfRule>
  </conditionalFormatting>
  <conditionalFormatting sqref="K11 Q11 N22:N23">
    <cfRule type="expression" dxfId="2" priority="82">
      <formula>(K8) = "Destroyed"</formula>
    </cfRule>
  </conditionalFormatting>
  <conditionalFormatting sqref="M3 AA3:AD3 AU3:AX3 BO3:BR3 K8 M8 Q8 AA8:AD8 AU8:AX8 BO8:BR8 K11 Q11 M18 O18 N22:N23">
    <cfRule type="cellIs" dxfId="11" priority="83" operator="equal">
      <formula>"Destroyed"</formula>
    </cfRule>
  </conditionalFormatting>
  <conditionalFormatting sqref="K12 Q12">
    <cfRule type="expression" dxfId="2" priority="84">
      <formula>(K8) = "Missing"</formula>
    </cfRule>
  </conditionalFormatting>
  <conditionalFormatting sqref="K9 Q9 K12 Q12">
    <cfRule type="expression" dxfId="2" priority="85">
      <formula>(K8) = "Missing"</formula>
    </cfRule>
  </conditionalFormatting>
  <conditionalFormatting sqref="M19 O19">
    <cfRule type="expression" dxfId="2" priority="86">
      <formula>(M18) = "Missing"</formula>
    </cfRule>
  </conditionalFormatting>
  <conditionalFormatting sqref="M5 AA5:AD5 AU5:AX5 BO5:BR5 K9 Q9 M10 AA10:AD10 AU10:AX10 BO10:BR10 K12 Q12 M19 O19">
    <cfRule type="expression" dxfId="2" priority="87">
      <formula>(M4) = "Destroyed"</formula>
    </cfRule>
  </conditionalFormatting>
  <conditionalFormatting sqref="K12 Q12">
    <cfRule type="expression" dxfId="2" priority="88">
      <formula>(K8) = "Destroyed"</formula>
    </cfRule>
  </conditionalFormatting>
  <conditionalFormatting sqref="K10 Q10 S10:V10 AH10:AK10 AM10:AP10 BB10:BE10 BG10:BJ10 BV10:BY10">
    <cfRule type="expression" dxfId="2" priority="89">
      <formula>(K8) = "Destroyed"</formula>
    </cfRule>
  </conditionalFormatting>
  <conditionalFormatting sqref="M3 AA3:AD3 AU3:AX3 BO3:BR3 K8 M8 Q8 AA8:AD8 AU8:AX8 BO8:BR8 K11 Q11 M18 O18 N22:N23">
    <cfRule type="cellIs" dxfId="14" priority="90" operator="equal">
      <formula>"Worn"</formula>
    </cfRule>
  </conditionalFormatting>
  <conditionalFormatting sqref="M19 O19">
    <cfRule type="expression" dxfId="2" priority="91">
      <formula>(M13) = "Missing"</formula>
    </cfRule>
  </conditionalFormatting>
  <conditionalFormatting sqref="M19 O19">
    <cfRule type="expression" dxfId="2" priority="92">
      <formula>(M13) = "Destroyed"</formula>
    </cfRule>
  </conditionalFormatting>
  <conditionalFormatting sqref="M5 AA5:AD5 AU5:AX5 BO5:BR5 K9 Q9 M10 AA10:AD10 AU10:AX10 BO10:BR10 K12 Q12 M19 O19">
    <cfRule type="expression" dxfId="14" priority="93">
      <formula>(M4) = "Worn"</formula>
    </cfRule>
  </conditionalFormatting>
  <conditionalFormatting sqref="M5 AA5:AD5 AU5:AX5 BO5:BR5 K9 Q9 M10 AA10:AD10 AU10:AX10 BO10:BR10 K12 Q12 M19 O19">
    <cfRule type="expression" dxfId="15" priority="94">
      <formula>(M4) = "Broken"</formula>
    </cfRule>
  </conditionalFormatting>
  <conditionalFormatting sqref="M3 AA3:AD3 AU3:AX3 BO3:BR3 K8 M8 Q8 AA8:AD8 AU8:AX8 BO8:BR8 K11 Q11 M18 O18 N22:N23">
    <cfRule type="cellIs" dxfId="15" priority="95" operator="equal">
      <formula>"Broken"</formula>
    </cfRule>
  </conditionalFormatting>
  <conditionalFormatting sqref="M5:O6 AA5:AF6 AU5:AZ6 BO5:BT6 M10 AA10:AF11 AU10:AZ11 BO10:BT11">
    <cfRule type="expression" dxfId="2" priority="96">
      <formula>(M3) = "Destroyed"</formula>
    </cfRule>
  </conditionalFormatting>
  <conditionalFormatting sqref="M5:O6 AA5:AF6 AU5:AZ6 BO5:BT6 M10 AA10:AF11 AU10:AZ11 BO10:BT11">
    <cfRule type="expression" dxfId="15" priority="97">
      <formula>(M3) = "Broken"</formula>
    </cfRule>
  </conditionalFormatting>
  <conditionalFormatting sqref="M5:O6 AA5:AF6 AU5:AZ6 BO5:BT6 M10 AA10:AF11 AU10:AZ11 BO10:BT11">
    <cfRule type="expression" dxfId="14" priority="98">
      <formula>(M3) = "Worn"</formula>
    </cfRule>
  </conditionalFormatting>
  <conditionalFormatting sqref="M13:M14 O13:O14 AB13:AB14 AV13:AV14 BP13:BP14">
    <cfRule type="cellIs" dxfId="14" priority="99" operator="equal">
      <formula>"Worn"</formula>
    </cfRule>
  </conditionalFormatting>
  <conditionalFormatting sqref="M13:M14 O13:O14 AB13:AB14 AV13:AV14 BP13:BP14">
    <cfRule type="cellIs" dxfId="15" priority="100" operator="equal">
      <formula>"Broken"</formula>
    </cfRule>
  </conditionalFormatting>
  <conditionalFormatting sqref="M13:M14 O13:O14 AB13:AB14 AV13:AV14 BP13:BP14">
    <cfRule type="cellIs" dxfId="12" priority="101" operator="equal">
      <formula>"Destroyed"</formula>
    </cfRule>
  </conditionalFormatting>
  <conditionalFormatting sqref="M15:M16 O15:O16">
    <cfRule type="expression" dxfId="2" priority="102">
      <formula>(M13) = "Missing"</formula>
    </cfRule>
  </conditionalFormatting>
  <conditionalFormatting sqref="M15:M16 O15:O16">
    <cfRule type="expression" dxfId="2" priority="103">
      <formula>(M13) = "Destroyed"</formula>
    </cfRule>
  </conditionalFormatting>
  <conditionalFormatting sqref="M15:M16 O15:O16">
    <cfRule type="expression" dxfId="14" priority="104">
      <formula>(M13) = "Worn"</formula>
    </cfRule>
  </conditionalFormatting>
  <conditionalFormatting sqref="M15:M16 O15:O16">
    <cfRule type="expression" dxfId="15" priority="105">
      <formula>(M13) = "Broken"</formula>
    </cfRule>
  </conditionalFormatting>
  <conditionalFormatting sqref="M17 O17 X17:AA17 AC17:AD17 AF17 AR17:AU17 AW17:AX17 AZ17 BL17:BO17 BQ17:BR17 BT17">
    <cfRule type="expression" dxfId="2" priority="106">
      <formula>(M13) = "Destroyed"</formula>
    </cfRule>
  </conditionalFormatting>
  <conditionalFormatting sqref="I13">
    <cfRule type="expression" dxfId="7" priority="107">
      <formula>and(K8&lt;&gt;"Missing",K8&lt;&gt;"Undamaged")</formula>
    </cfRule>
  </conditionalFormatting>
  <conditionalFormatting sqref="I13">
    <cfRule type="expression" dxfId="7" priority="108">
      <formula>and(M3&lt;&gt;"Missing",M3&lt;&gt;"Undamaged")</formula>
    </cfRule>
  </conditionalFormatting>
  <conditionalFormatting sqref="I13">
    <cfRule type="expression" dxfId="7" priority="109">
      <formula>and(M13&lt;&gt;"Missing",M13&lt;&gt;"Undamaged")</formula>
    </cfRule>
  </conditionalFormatting>
  <conditionalFormatting sqref="I13">
    <cfRule type="expression" dxfId="7" priority="110">
      <formula>and(O13&lt;&gt;"Missing",O13&lt;&gt;"Undamaged")</formula>
    </cfRule>
  </conditionalFormatting>
  <conditionalFormatting sqref="I13">
    <cfRule type="expression" dxfId="7" priority="111">
      <formula>and(M18&lt;&gt;"Missing",M18&lt;&gt;"Undamaged")</formula>
    </cfRule>
  </conditionalFormatting>
  <conditionalFormatting sqref="I13">
    <cfRule type="expression" dxfId="7" priority="112">
      <formula>and(O18&lt;&gt;"Missing",O18&lt;&gt;"Undamaged")</formula>
    </cfRule>
  </conditionalFormatting>
  <conditionalFormatting sqref="I13">
    <cfRule type="expression" dxfId="7" priority="113">
      <formula>and(K11&lt;&gt;"Missing",K11&lt;&gt;"Undamaged")</formula>
    </cfRule>
  </conditionalFormatting>
  <conditionalFormatting sqref="I13">
    <cfRule type="expression" dxfId="7" priority="114">
      <formula>and(M8&lt;&gt;"Missing",M8&lt;&gt;"Undamaged")</formula>
    </cfRule>
  </conditionalFormatting>
  <conditionalFormatting sqref="I13">
    <cfRule type="expression" dxfId="7" priority="115">
      <formula>and(Q8&lt;&gt;"Missing",Q8&lt;&gt;"Undamaged")</formula>
    </cfRule>
  </conditionalFormatting>
  <conditionalFormatting sqref="I13">
    <cfRule type="expression" dxfId="7" priority="116">
      <formula>and(Q11&lt;&gt;"Missing",Q11&lt;&gt;"Undamaged")</formula>
    </cfRule>
  </conditionalFormatting>
  <conditionalFormatting sqref="X3:Z6 AR3:AT6 BL3:BN6 X8:Z11 AR8:AT11 BL8:BN11">
    <cfRule type="expression" dxfId="2" priority="117">
      <formula>(AA3) = "Destroyed"</formula>
    </cfRule>
  </conditionalFormatting>
  <conditionalFormatting sqref="X3:Z4 AR3:AT4 BL3:BN4 X8:Z9 AR8:AT9 BL8:BN9">
    <cfRule type="expression" dxfId="14" priority="118">
      <formula>(AA3) = "Worn"</formula>
    </cfRule>
  </conditionalFormatting>
  <conditionalFormatting sqref="X3:Z4 AR3:AT4 BL3:BN4 X8:Z9 AR8:AT9 BL8:BN9">
    <cfRule type="expression" dxfId="15" priority="119">
      <formula>(AA3) = "Broken"</formula>
    </cfRule>
  </conditionalFormatting>
  <conditionalFormatting sqref="Z13:AA14 AE13:AF14 AT13:AU14 AY13:AZ14 BN13:BO14 BS13:BT14">
    <cfRule type="cellIs" dxfId="16" priority="120" operator="equal">
      <formula>"W2"</formula>
    </cfRule>
  </conditionalFormatting>
  <conditionalFormatting sqref="Z13:AA14 AE13:AF14 AT13:AU14 AY13:AZ14 BN13:BO14 BS13:BT14">
    <cfRule type="cellIs" dxfId="15" priority="121" operator="equal">
      <formula>"B1"</formula>
    </cfRule>
  </conditionalFormatting>
  <conditionalFormatting sqref="Z13:AA14 AE13:AF14 AT13:AU14 AY13:AZ14 BN13:BO14 BS13:BT14">
    <cfRule type="cellIs" dxfId="11" priority="122" operator="equal">
      <formula>"D0"</formula>
    </cfRule>
  </conditionalFormatting>
  <conditionalFormatting sqref="Z13:AA14 AE13:AF14 AT13:AU14 AY13:AZ14 BN13:BO14 BS13:BT14">
    <cfRule type="cellIs" dxfId="11" priority="123" operator="equal">
      <formula>"D0"</formula>
    </cfRule>
  </conditionalFormatting>
  <conditionalFormatting sqref="AA15:AA16 AF15:AF16 AU15:AU16 AZ15:AZ16 BO15:BO16 BT15:BT16">
    <cfRule type="expression" dxfId="2" priority="124">
      <formula>(Z13) = "D0"</formula>
    </cfRule>
  </conditionalFormatting>
  <conditionalFormatting sqref="AA15:AA16 AF15:AF16 AU15:AU16 AZ15:AZ16 BO15:BO16 BT15:BT16">
    <cfRule type="expression" dxfId="14" priority="125">
      <formula>(Z13) = "W2"</formula>
    </cfRule>
  </conditionalFormatting>
  <conditionalFormatting sqref="AA15:AA16 AF15:AF16 AU15:AU16 AZ15:AZ16 BO15:BO16 BT15:BT16">
    <cfRule type="expression" dxfId="15" priority="126">
      <formula>(Z13) = "B1"</formula>
    </cfRule>
  </conditionalFormatting>
  <conditionalFormatting sqref="X13:Y14 AC13:AD14 AR13:AS14 AW13:AX14 BL13:BM14 BQ13:BR14">
    <cfRule type="expression" dxfId="14" priority="127">
      <formula>(Z13) = "W2"</formula>
    </cfRule>
  </conditionalFormatting>
  <conditionalFormatting sqref="X13:Y14 AC13:AD14 AR13:AS14 AW13:AX14 BL13:BM14 BQ13:BR14">
    <cfRule type="expression" dxfId="15" priority="128">
      <formula>(Z13) = "B1"</formula>
    </cfRule>
  </conditionalFormatting>
  <conditionalFormatting sqref="X13:Y14 AC13:AD14 AR13:AS14 AW13:AX14 BL13:BM14 BQ13:BR14">
    <cfRule type="expression" dxfId="2" priority="129">
      <formula>(Z13) = "D0"</formula>
    </cfRule>
  </conditionalFormatting>
  <conditionalFormatting sqref="U8:V8 AJ8:AK8 AO8:AP8 BD8:BE8 BI8:BJ8 BX8:BY8 U11:V11 AJ11:AK11 AO11:AP11 BD11:BE11 BI11:BJ11 BX11:BY11 Z18:AA18 AE18:AF18 AT18:AU18 AY18:AZ18 BN18:BO18 BS18:BT18">
    <cfRule type="cellIs" dxfId="14" priority="130" operator="equal">
      <formula>"W2"</formula>
    </cfRule>
  </conditionalFormatting>
  <conditionalFormatting sqref="U8:V8 AJ8:AK8 AO8:AP8 BD8:BE8 BI8:BJ8 BX8:BY8 U11:V11 AJ11:AK11 AO11:AP11 BD11:BE11 BI11:BJ11 BX11:BY11 Z18:AA18 AE18:AF18 AT18:AU18 AY18:AZ18 BN18:BO18 BS18:BT18">
    <cfRule type="cellIs" dxfId="15" priority="131" operator="equal">
      <formula>"B1"</formula>
    </cfRule>
  </conditionalFormatting>
  <conditionalFormatting sqref="U8:V8 AJ8:AK8 AO8:AP8 BD8:BE8 BI8:BJ8 BX8:BY8 U11:V11 AJ11:AK11 AO11:AP11 BD11:BE11 BI11:BJ11 BX11:BY11 Z18:AA18 AE18:AF18 AT18:AU18 AY18:AZ18 BN18:BO18 BS18:BT18">
    <cfRule type="cellIs" dxfId="2" priority="132" operator="equal">
      <formula>"D0"</formula>
    </cfRule>
  </conditionalFormatting>
  <conditionalFormatting sqref="V9 AK9 AP9 BE9 BJ9 BY9 V12 AK12 AP12 BE12 BJ12 BY12 AA19 AF19 AU19 AZ19 BO19 BT19">
    <cfRule type="expression" dxfId="2" priority="133">
      <formula>(U8) = "D0"</formula>
    </cfRule>
  </conditionalFormatting>
  <conditionalFormatting sqref="V9 AK9 AP9 BE9 BJ9 BY9 V12 AK12 AP12 BE12 BJ12 BY12 AA19 AF19 AU19 AZ19 BO19 BT19">
    <cfRule type="expression" dxfId="15" priority="134">
      <formula>(U8) = "B1"</formula>
    </cfRule>
  </conditionalFormatting>
  <conditionalFormatting sqref="V9 AK9 AP9 BE9 BJ9 BY9 V12 AK12 AP12 BE12 BJ12 BY12 AA19 AF19 AU19 AZ19 BO19 BT19">
    <cfRule type="expression" dxfId="14" priority="135">
      <formula>(U8) = "W2"</formula>
    </cfRule>
  </conditionalFormatting>
  <conditionalFormatting sqref="S8:T8 AH8:AI8 AM8:AN8 BB8:BC8 BG8:BH8 BV8:BW8 S11:T11 AH11:AI11 AM11:AN11 BB11:BC11 BG11:BH11 BV11:BW11 X18:Y18 AC18:AD18 AR18:AS18 AW18:AX18 BL18:BM18 BQ18:BR18">
    <cfRule type="expression" dxfId="15" priority="136">
      <formula>(U8) = "B1"</formula>
    </cfRule>
  </conditionalFormatting>
  <conditionalFormatting sqref="S8:T8 AH8:AI8 AM8:AN8 BB8:BC8 BG8:BH8 BV8:BW8 S11:T11 AH11:AI11 AM11:AN11 BB11:BC11 BG11:BH11 BV11:BW11 X18:Y18 AC18:AD18 AR18:AS18 AW18:AX18 BL18:BM18 BQ18:BR18">
    <cfRule type="expression" dxfId="14" priority="137">
      <formula>(U8) = "W2"</formula>
    </cfRule>
  </conditionalFormatting>
  <conditionalFormatting sqref="S8:T8 AH8:AI8 AM8:AN8 BB8:BC8 BG8:BH8 BV8:BW8 S11:T11 AH11:AI11 AM11:AN11 BB11:BC11 BG11:BH11 BV11:BW11 X18:Y18 AC18:AD18 AR18:AS18 AW18:AX18 BL18:BM18 BQ18:BR18">
    <cfRule type="expression" dxfId="2" priority="138">
      <formula>(U8) = "D0"</formula>
    </cfRule>
  </conditionalFormatting>
  <conditionalFormatting sqref="M22:M23">
    <cfRule type="expression" dxfId="11" priority="139">
      <formula>(N22) = "Destroyed"</formula>
    </cfRule>
  </conditionalFormatting>
  <conditionalFormatting sqref="M22:M23">
    <cfRule type="expression" dxfId="14" priority="140">
      <formula>(N22) = "Worn"</formula>
    </cfRule>
  </conditionalFormatting>
  <conditionalFormatting sqref="M22:M23">
    <cfRule type="expression" dxfId="15" priority="141">
      <formula>(N22) = "Broken"</formula>
    </cfRule>
  </conditionalFormatting>
  <conditionalFormatting sqref="Q22:R23">
    <cfRule type="expression" dxfId="15" priority="142">
      <formula>(N22) = "Broken"</formula>
    </cfRule>
  </conditionalFormatting>
  <conditionalFormatting sqref="Q22:R23">
    <cfRule type="expression" dxfId="2" priority="143">
      <formula>(N22) = "Destroyed"</formula>
    </cfRule>
  </conditionalFormatting>
  <conditionalFormatting sqref="Q22:R23">
    <cfRule type="expression" dxfId="14" priority="144">
      <formula>(N22) = "Worn"</formula>
    </cfRule>
  </conditionalFormatting>
  <conditionalFormatting sqref="H28:H34 H36:H39 H41:H49 H51:H54 H56:H60 H62:H69 H71:H75 H77:H84 H86:H89 H91:H93 H95:H98 H100:H102">
    <cfRule type="cellIs" dxfId="17" priority="145" operator="equal">
      <formula>"Master"</formula>
    </cfRule>
  </conditionalFormatting>
  <conditionalFormatting sqref="M28:M34 M39 M41:M49 M56:M60 M62:M67 M69 M71:M75 M77:M84 M86:M89 M91:M93 M95:M98 M100:M102">
    <cfRule type="cellIs" dxfId="4" priority="146" operator="greaterThan">
      <formula>0</formula>
    </cfRule>
  </conditionalFormatting>
  <conditionalFormatting sqref="M28:M34 M39 M41:M49 M56:M60 M62:M67 M69 M71:M75 M77:M84 M86:M89 M91:M93 M95:M98 M100:M102">
    <cfRule type="beginsWith" dxfId="3" priority="147" operator="beginsWith" text="-">
      <formula>LEFT((M28),LEN("-"))=("-")</formula>
    </cfRule>
  </conditionalFormatting>
  <conditionalFormatting sqref="K10 Q10">
    <cfRule type="expression" dxfId="2" priority="148">
      <formula>(K8) = "Missing"</formula>
    </cfRule>
  </conditionalFormatting>
  <conditionalFormatting sqref="M13:M14 O13:O14">
    <cfRule type="cellIs" dxfId="11" priority="149" operator="equal">
      <formula>"Missing"</formula>
    </cfRule>
  </conditionalFormatting>
  <conditionalFormatting sqref="M17 O17">
    <cfRule type="expression" dxfId="2" priority="150">
      <formula>(M13) = "Missing"</formula>
    </cfRule>
  </conditionalFormatting>
  <conditionalFormatting sqref="I3:I4">
    <cfRule type="colorScale" priority="151">
      <colorScale>
        <cfvo type="formula" val="0"/>
        <cfvo type="formula" val="200"/>
        <cfvo type="formula" val="400"/>
        <color rgb="FFD9EAD3"/>
        <color rgb="FF3D85C6"/>
        <color rgb="FFE69138"/>
      </colorScale>
    </cfRule>
  </conditionalFormatting>
  <conditionalFormatting sqref="G12:H12">
    <cfRule type="cellIs" dxfId="2" priority="152" operator="lessThanOrEqual">
      <formula>G15</formula>
    </cfRule>
  </conditionalFormatting>
  <conditionalFormatting sqref="G12:H12">
    <cfRule type="notContainsBlanks" dxfId="4" priority="153">
      <formula>LEN(TRIM(G12))&gt;0</formula>
    </cfRule>
  </conditionalFormatting>
  <conditionalFormatting sqref="G13:H14">
    <cfRule type="cellIs" dxfId="2" priority="154" operator="notBetween">
      <formula>(G12-1)*-1</formula>
      <formula>G12</formula>
    </cfRule>
  </conditionalFormatting>
  <conditionalFormatting sqref="G13:H14">
    <cfRule type="cellIs" dxfId="18" priority="155" operator="greaterThan">
      <formula>G15</formula>
    </cfRule>
  </conditionalFormatting>
  <conditionalFormatting sqref="G13:H14">
    <cfRule type="cellIs" dxfId="14" priority="156" operator="lessThanOrEqual">
      <formula>G15</formula>
    </cfRule>
  </conditionalFormatting>
  <conditionalFormatting sqref="I12">
    <cfRule type="expression" dxfId="7" priority="157">
      <formula>(G13)&lt;=0</formula>
    </cfRule>
  </conditionalFormatting>
  <conditionalFormatting sqref="I14">
    <cfRule type="expression" dxfId="7" priority="158">
      <formula>(M3) = "Broken"</formula>
    </cfRule>
  </conditionalFormatting>
  <conditionalFormatting sqref="I15">
    <cfRule type="expression" dxfId="7" priority="159">
      <formula>(G15)&gt;=(G12)</formula>
    </cfRule>
  </conditionalFormatting>
  <conditionalFormatting sqref="I15">
    <cfRule type="expression" dxfId="7" priority="160">
      <formula>(M3) = "Destroyed"</formula>
    </cfRule>
  </conditionalFormatting>
  <conditionalFormatting sqref="I15">
    <cfRule type="expression" dxfId="7" priority="161">
      <formula> (M8) = "Destroyed"</formula>
    </cfRule>
  </conditionalFormatting>
  <dataValidations>
    <dataValidation type="decimal" allowBlank="1" showDropDown="1" showErrorMessage="1" sqref="E10:E15">
      <formula1>-1000.0</formula1>
      <formula2>1000.0</formula2>
    </dataValidation>
    <dataValidation type="list" allowBlank="1" showErrorMessage="1" sqref="C104">
      <formula1>"None,Neutral,Negative,Positive"</formula1>
    </dataValidation>
    <dataValidation type="list" allowBlank="1" showErrorMessage="1" sqref="U8 AJ8 AO8 BD8 BI8 BX8 U11 AJ11 AO11 BD11 BI11 BX11 Z13 AE13 AT13 AY13 BN13 BS13 Z18 AE18 AT18 AY18 BN18 BS18">
      <formula1>"U3,W2,B1,D0"</formula1>
    </dataValidation>
    <dataValidation type="list" allowBlank="1" showErrorMessage="1" sqref="J28 J36 J41 J51 J56 J62 J71 J77 J86 J91 J95 J100">
      <formula1>"None,Natural,Expert"</formula1>
    </dataValidation>
    <dataValidation type="list" allowBlank="1" showErrorMessage="1" sqref="C3">
      <formula1>"Human,Altered Human,Elven,Dwarven,Celestial,Homonculus,Salamander,Neo-Human,Cambion,Moroi,Halfling,Gnome,Shapeshifter,Draconic"</formula1>
    </dataValidation>
    <dataValidation type="list" allowBlank="1" showErrorMessage="1" sqref="S8 AH8 AM8 BB8 BG8 BV8 S11 AH11 AM11 BB11 BG11 BV11 X18 AC18 AR18 AW18 BL18 BQ18">
      <formula1>"S,H"</formula1>
    </dataValidation>
    <dataValidation type="list" allowBlank="1" showErrorMessage="1" sqref="X13 AC13 AR13 AW13 BL13 BQ13">
      <formula1>"H,S"</formula1>
    </dataValidation>
    <dataValidation type="list" allowBlank="1" showErrorMessage="1" sqref="H28:H34 H36:H39 H41:H49 H51:H54 H56:H60 H62:H69 H71:H75 H77:H84 H86:H89 H91:H93 H95:H98 H100:H102">
      <formula1>"None,Natural,Expert,Master"</formula1>
    </dataValidation>
    <dataValidation type="decimal" operator="greaterThan" allowBlank="1" showErrorMessage="1" sqref="C7">
      <formula1>0.0</formula1>
    </dataValidation>
    <dataValidation type="list" allowBlank="1" sqref="E7">
      <formula1>"Normal,Extended,Long,Epic,Immortal"</formula1>
    </dataValidation>
    <dataValidation type="list" allowBlank="1" showErrorMessage="1" sqref="H7">
      <formula1>"1,2,3,4,5,6,7,8,9,10"</formula1>
    </dataValidation>
    <dataValidation type="list" allowBlank="1" showErrorMessage="1" sqref="X3 AR3 BL3 X8 AR8 BL8 Q22:Q23">
      <formula1>"Hard,Soft"</formula1>
    </dataValidation>
    <dataValidation type="list" allowBlank="1" showErrorMessage="1" sqref="C17">
      <formula1>"None,Level 1,Level 2,Level 3"</formula1>
    </dataValidation>
    <dataValidation type="list" allowBlank="1" showErrorMessage="1" sqref="E106:E115">
      <formula1>"None,-5,-4,-3,-2,-1,0,1,2,3,4,5"</formula1>
    </dataValidation>
    <dataValidation type="list" allowBlank="1" showErrorMessage="1" sqref="M3 AA3 AU3 BO3 M8 AA8 AU8 BO8 AB13 AV13 BP13 N22:N23">
      <formula1>"Undamaged,Worn,Broken,Destroyed"</formula1>
    </dataValidation>
    <dataValidation type="list" allowBlank="1" showErrorMessage="1" sqref="O28:O34 O36:O39 O41:O49 O51:O54 O56:O60 O62:O69 O71:O75 O77:O84 O86:O89 O91:O93 O95:O98 O100:O102 O106:O115">
      <formula1>"NO,1 Time,2 Times,3 Times"</formula1>
    </dataValidation>
    <dataValidation type="decimal" operator="lessThan" allowBlank="1" showDropDown="1" showErrorMessage="1" sqref="I3 I6">
      <formula1>999999.0</formula1>
    </dataValidation>
    <dataValidation type="decimal" operator="lessThanOrEqual" allowBlank="1" showDropDown="1" showErrorMessage="1" sqref="I100:I102">
      <formula1>9999.0</formula1>
    </dataValidation>
    <dataValidation type="custom" allowBlank="1" showErrorMessage="1" sqref="L8">
      <formula1>NOT(L8&gt;L9)</formula1>
    </dataValidation>
    <dataValidation type="list" allowBlank="1" showErrorMessage="1" sqref="H6">
      <formula1>"1st,2nd,3rd,4th,5th,6th,7th,8th,9th,10th,11th,12th"</formula1>
    </dataValidation>
    <dataValidation type="list" allowBlank="1" showErrorMessage="1" sqref="C10:C15 C28:C34 C36:C39 C41:C49 C51:C54 C56:C60 C62:C69 C71:C75 C77:C84 C86:C89 C91:C93 C95:C98 C100:C102 C106:C115">
      <formula1>"0,1,2,3,4,5,6,7,8,9,10,11,12,13,14,15,16,17,18,19,20"</formula1>
    </dataValidation>
    <dataValidation type="list" allowBlank="1" showErrorMessage="1" sqref="K8 Q8 K11 Q11 M13 O13 M18 O18">
      <formula1>"Undamaged,Worn,Broken,Destroyed,Missing"</formula1>
    </dataValidation>
    <dataValidation type="list" allowBlank="1" showErrorMessage="1" sqref="B23">
      <formula1>"1 - Primitive,2 - Simple,3 - Advanced,4 - Complex,5 - Transcendent"</formula1>
    </dataValidation>
    <dataValidation type="custom" allowBlank="1" showErrorMessage="1" sqref="M12 X12 AR12 BL12 M17 O17 X17 AC17 AR17 AW17 BL17 BQ17">
      <formula1>NOT(M12&gt;O12)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2" width="5.75"/>
    <col customWidth="1" min="3" max="3" width="27.0"/>
    <col customWidth="1" min="4" max="4" width="18.25"/>
    <col customWidth="1" min="5" max="5" width="9.5"/>
    <col customWidth="1" min="6" max="6" width="18.88"/>
    <col customWidth="1" min="7" max="7" width="17.63"/>
    <col customWidth="1" min="8" max="8" width="13.38"/>
    <col customWidth="1" min="9" max="9" width="49.25"/>
    <col customWidth="1" min="10" max="10" width="18.13"/>
    <col customWidth="1" min="11" max="11" width="14.5"/>
    <col customWidth="1" min="12" max="12" width="8.38"/>
    <col customWidth="1" min="13" max="13" width="6.5"/>
    <col customWidth="1" min="14" max="14" width="1.38"/>
    <col customWidth="1" min="15" max="15" width="17.0"/>
    <col customWidth="1" min="16" max="16" width="10.75"/>
    <col customWidth="1" min="19" max="19" width="26.5"/>
    <col customWidth="1" min="20" max="20" width="1.38"/>
  </cols>
  <sheetData>
    <row r="1" ht="7.5" customHeight="1">
      <c r="A1" s="12"/>
      <c r="B1" s="12"/>
      <c r="C1" s="12"/>
      <c r="N1" s="12"/>
      <c r="O1" s="12"/>
      <c r="T1" s="12"/>
    </row>
    <row r="2">
      <c r="C2" s="227" t="s">
        <v>204</v>
      </c>
      <c r="D2" s="228"/>
      <c r="E2" s="228"/>
      <c r="F2" s="228"/>
      <c r="G2" s="228"/>
      <c r="H2" s="228"/>
      <c r="I2" s="228"/>
      <c r="J2" s="228"/>
      <c r="K2" s="228"/>
      <c r="L2" s="228"/>
      <c r="M2" s="12"/>
      <c r="O2" s="227" t="s">
        <v>205</v>
      </c>
      <c r="P2" s="228"/>
      <c r="Q2" s="228"/>
      <c r="R2" s="228"/>
      <c r="S2" s="228"/>
    </row>
    <row r="3">
      <c r="C3" s="229"/>
      <c r="M3" s="12"/>
      <c r="O3" s="229"/>
    </row>
    <row r="4" ht="7.5" customHeight="1">
      <c r="C4" s="230"/>
      <c r="O4" s="229"/>
    </row>
    <row r="5">
      <c r="B5" s="231" t="s">
        <v>206</v>
      </c>
      <c r="C5" s="232" t="s">
        <v>0</v>
      </c>
      <c r="D5" s="99" t="s">
        <v>207</v>
      </c>
      <c r="E5" s="232" t="s">
        <v>208</v>
      </c>
      <c r="F5" s="233" t="s">
        <v>209</v>
      </c>
      <c r="G5" s="232" t="s">
        <v>61</v>
      </c>
      <c r="H5" s="232" t="s">
        <v>210</v>
      </c>
      <c r="I5" s="232" t="s">
        <v>211</v>
      </c>
      <c r="J5" s="232" t="s">
        <v>16</v>
      </c>
      <c r="K5" s="99" t="s">
        <v>212</v>
      </c>
      <c r="L5" s="232" t="s">
        <v>4</v>
      </c>
      <c r="M5" s="99" t="s">
        <v>213</v>
      </c>
      <c r="O5" s="229"/>
    </row>
    <row r="6" ht="30.0" customHeight="1">
      <c r="B6" s="231">
        <v>1.0</v>
      </c>
      <c r="C6" s="234" t="s">
        <v>214</v>
      </c>
      <c r="D6" s="235"/>
      <c r="E6" s="235"/>
      <c r="F6" s="236"/>
      <c r="G6" s="236"/>
      <c r="H6" s="237"/>
      <c r="I6" s="237"/>
      <c r="J6" s="238">
        <v>1.0</v>
      </c>
      <c r="K6" s="238">
        <v>25000.0</v>
      </c>
      <c r="L6" s="238"/>
      <c r="M6" s="239" t="b">
        <v>0</v>
      </c>
      <c r="O6" s="240"/>
      <c r="P6" s="241"/>
      <c r="Q6" s="242"/>
    </row>
    <row r="7" ht="30.0" customHeight="1">
      <c r="B7" s="231">
        <v>2.0</v>
      </c>
      <c r="C7" s="234"/>
      <c r="D7" s="235"/>
      <c r="E7" s="235"/>
      <c r="F7" s="235"/>
      <c r="G7" s="235"/>
      <c r="H7" s="237"/>
      <c r="I7" s="237"/>
      <c r="J7" s="243"/>
      <c r="K7" s="243"/>
      <c r="L7" s="243"/>
      <c r="M7" s="239" t="b">
        <v>0</v>
      </c>
      <c r="O7" s="244"/>
    </row>
    <row r="8" ht="30.0" customHeight="1">
      <c r="B8" s="231">
        <v>3.0</v>
      </c>
      <c r="C8" s="234"/>
      <c r="D8" s="235"/>
      <c r="E8" s="235"/>
      <c r="F8" s="235"/>
      <c r="G8" s="236"/>
      <c r="H8" s="237"/>
      <c r="I8" s="237"/>
      <c r="J8" s="238"/>
      <c r="K8" s="238"/>
      <c r="L8" s="238"/>
      <c r="M8" s="239" t="b">
        <v>0</v>
      </c>
      <c r="O8" s="245"/>
      <c r="P8" s="241"/>
      <c r="Q8" s="242"/>
    </row>
    <row r="9" ht="30.0" customHeight="1">
      <c r="B9" s="231">
        <v>4.0</v>
      </c>
      <c r="C9" s="234"/>
      <c r="D9" s="235"/>
      <c r="E9" s="236"/>
      <c r="F9" s="236"/>
      <c r="G9" s="236"/>
      <c r="H9" s="237"/>
      <c r="I9" s="246"/>
      <c r="J9" s="243"/>
      <c r="K9" s="243"/>
      <c r="L9" s="243"/>
      <c r="M9" s="239" t="b">
        <v>0</v>
      </c>
      <c r="O9" s="244"/>
    </row>
    <row r="10" ht="30.0" customHeight="1">
      <c r="B10" s="231">
        <v>5.0</v>
      </c>
      <c r="C10" s="234"/>
      <c r="D10" s="235"/>
      <c r="E10" s="235"/>
      <c r="F10" s="235"/>
      <c r="G10" s="247"/>
      <c r="H10" s="237"/>
      <c r="I10" s="237"/>
      <c r="J10" s="238"/>
      <c r="K10" s="238"/>
      <c r="L10" s="238"/>
      <c r="M10" s="239" t="b">
        <v>0</v>
      </c>
      <c r="O10" s="240"/>
      <c r="P10" s="241"/>
      <c r="Q10" s="242"/>
    </row>
    <row r="11" ht="30.0" customHeight="1">
      <c r="B11" s="231">
        <v>6.0</v>
      </c>
      <c r="C11" s="234"/>
      <c r="D11" s="235"/>
      <c r="E11" s="236"/>
      <c r="F11" s="235"/>
      <c r="G11" s="235"/>
      <c r="H11" s="237"/>
      <c r="I11" s="237"/>
      <c r="J11" s="238"/>
      <c r="K11" s="238"/>
      <c r="L11" s="238"/>
      <c r="M11" s="239" t="b">
        <v>0</v>
      </c>
      <c r="O11" s="244"/>
    </row>
    <row r="12" ht="30.0" customHeight="1">
      <c r="B12" s="231">
        <v>7.0</v>
      </c>
      <c r="C12" s="234"/>
      <c r="D12" s="235"/>
      <c r="E12" s="235"/>
      <c r="F12" s="235"/>
      <c r="G12" s="236"/>
      <c r="H12" s="237"/>
      <c r="I12" s="246"/>
      <c r="J12" s="243"/>
      <c r="K12" s="243"/>
      <c r="L12" s="243"/>
      <c r="M12" s="239" t="b">
        <v>0</v>
      </c>
      <c r="O12" s="245"/>
      <c r="P12" s="241"/>
      <c r="Q12" s="242"/>
    </row>
    <row r="13" ht="30.0" customHeight="1">
      <c r="B13" s="231">
        <v>8.0</v>
      </c>
      <c r="C13" s="234"/>
      <c r="D13" s="235"/>
      <c r="E13" s="235"/>
      <c r="F13" s="235"/>
      <c r="G13" s="235"/>
      <c r="H13" s="237"/>
      <c r="I13" s="237"/>
      <c r="J13" s="238"/>
      <c r="K13" s="238"/>
      <c r="L13" s="238"/>
      <c r="M13" s="239" t="b">
        <v>0</v>
      </c>
      <c r="O13" s="244"/>
    </row>
    <row r="14" ht="30.0" customHeight="1">
      <c r="B14" s="231">
        <v>9.0</v>
      </c>
      <c r="C14" s="234"/>
      <c r="D14" s="235"/>
      <c r="E14" s="235"/>
      <c r="F14" s="235"/>
      <c r="G14" s="236"/>
      <c r="H14" s="237"/>
      <c r="I14" s="246"/>
      <c r="J14" s="243"/>
      <c r="K14" s="243"/>
      <c r="L14" s="238"/>
      <c r="M14" s="239" t="b">
        <v>0</v>
      </c>
      <c r="O14" s="240"/>
      <c r="P14" s="241"/>
      <c r="Q14" s="242"/>
    </row>
    <row r="15" ht="30.0" customHeight="1">
      <c r="B15" s="231">
        <v>10.0</v>
      </c>
      <c r="C15" s="234"/>
      <c r="D15" s="235"/>
      <c r="E15" s="235"/>
      <c r="F15" s="235"/>
      <c r="G15" s="247"/>
      <c r="H15" s="237"/>
      <c r="I15" s="237"/>
      <c r="J15" s="238"/>
      <c r="K15" s="238"/>
      <c r="L15" s="238"/>
      <c r="M15" s="239" t="b">
        <v>0</v>
      </c>
      <c r="O15" s="244"/>
    </row>
    <row r="16" ht="30.0" customHeight="1">
      <c r="B16" s="231">
        <v>11.0</v>
      </c>
      <c r="C16" s="234"/>
      <c r="D16" s="235"/>
      <c r="E16" s="235"/>
      <c r="F16" s="235"/>
      <c r="G16" s="235"/>
      <c r="H16" s="237"/>
      <c r="I16" s="246"/>
      <c r="J16" s="243"/>
      <c r="K16" s="243"/>
      <c r="L16" s="243"/>
      <c r="M16" s="239" t="b">
        <v>0</v>
      </c>
      <c r="O16" s="245"/>
      <c r="P16" s="241"/>
      <c r="Q16" s="242"/>
    </row>
    <row r="17" ht="30.0" customHeight="1">
      <c r="B17" s="231">
        <v>12.0</v>
      </c>
      <c r="C17" s="234"/>
      <c r="D17" s="235"/>
      <c r="E17" s="235"/>
      <c r="F17" s="235"/>
      <c r="G17" s="236"/>
      <c r="H17" s="237"/>
      <c r="I17" s="246"/>
      <c r="J17" s="243"/>
      <c r="K17" s="243"/>
      <c r="L17" s="243"/>
      <c r="M17" s="239" t="b">
        <v>0</v>
      </c>
      <c r="O17" s="244"/>
    </row>
    <row r="18" ht="30.0" customHeight="1">
      <c r="B18" s="231">
        <v>13.0</v>
      </c>
      <c r="C18" s="234"/>
      <c r="D18" s="235"/>
      <c r="E18" s="235"/>
      <c r="F18" s="235"/>
      <c r="G18" s="236"/>
      <c r="H18" s="237"/>
      <c r="I18" s="246"/>
      <c r="J18" s="243"/>
      <c r="K18" s="243"/>
      <c r="L18" s="243"/>
      <c r="M18" s="239" t="b">
        <v>0</v>
      </c>
      <c r="O18" s="248"/>
      <c r="P18" s="241"/>
      <c r="Q18" s="242"/>
    </row>
    <row r="19" ht="30.0" customHeight="1">
      <c r="B19" s="231">
        <v>14.0</v>
      </c>
      <c r="C19" s="234"/>
      <c r="D19" s="235"/>
      <c r="E19" s="235"/>
      <c r="F19" s="236"/>
      <c r="G19" s="235"/>
      <c r="H19" s="237"/>
      <c r="I19" s="246"/>
      <c r="J19" s="243"/>
      <c r="K19" s="243"/>
      <c r="L19" s="243"/>
      <c r="M19" s="239" t="b">
        <v>0</v>
      </c>
      <c r="O19" s="244"/>
    </row>
    <row r="20" ht="30.0" customHeight="1">
      <c r="B20" s="231">
        <v>15.0</v>
      </c>
      <c r="C20" s="234"/>
      <c r="D20" s="235"/>
      <c r="E20" s="235"/>
      <c r="F20" s="236"/>
      <c r="G20" s="236"/>
      <c r="H20" s="237"/>
      <c r="I20" s="246"/>
      <c r="J20" s="243"/>
      <c r="K20" s="243"/>
      <c r="L20" s="243"/>
      <c r="M20" s="239" t="b">
        <v>0</v>
      </c>
      <c r="O20" s="245"/>
      <c r="P20" s="241"/>
      <c r="Q20" s="242"/>
    </row>
    <row r="21" ht="33.75" customHeight="1">
      <c r="B21" s="231">
        <v>16.0</v>
      </c>
      <c r="C21" s="234"/>
      <c r="D21" s="235"/>
      <c r="E21" s="235"/>
      <c r="F21" s="236"/>
      <c r="G21" s="236"/>
      <c r="H21" s="237"/>
      <c r="I21" s="246"/>
      <c r="J21" s="243"/>
      <c r="K21" s="243"/>
      <c r="L21" s="243"/>
      <c r="M21" s="239" t="b">
        <v>0</v>
      </c>
      <c r="O21" s="244"/>
    </row>
    <row r="22" ht="33.75" customHeight="1">
      <c r="B22" s="231">
        <v>17.0</v>
      </c>
      <c r="C22" s="234"/>
      <c r="D22" s="235"/>
      <c r="E22" s="236"/>
      <c r="F22" s="236"/>
      <c r="G22" s="236"/>
      <c r="H22" s="237"/>
      <c r="I22" s="246"/>
      <c r="J22" s="243"/>
      <c r="K22" s="243"/>
      <c r="L22" s="243"/>
      <c r="M22" s="239" t="b">
        <v>0</v>
      </c>
      <c r="O22" s="240"/>
      <c r="P22" s="241"/>
      <c r="Q22" s="242"/>
    </row>
    <row r="23" ht="33.75" customHeight="1">
      <c r="B23" s="231">
        <v>18.0</v>
      </c>
      <c r="C23" s="234"/>
      <c r="D23" s="235"/>
      <c r="E23" s="236"/>
      <c r="F23" s="236"/>
      <c r="G23" s="236"/>
      <c r="H23" s="237"/>
      <c r="I23" s="246"/>
      <c r="J23" s="243"/>
      <c r="K23" s="243"/>
      <c r="L23" s="243"/>
      <c r="M23" s="239" t="b">
        <v>0</v>
      </c>
      <c r="O23" s="244"/>
    </row>
    <row r="24" ht="33.75" customHeight="1">
      <c r="B24" s="231">
        <v>19.0</v>
      </c>
      <c r="C24" s="234"/>
      <c r="D24" s="235"/>
      <c r="E24" s="236"/>
      <c r="F24" s="236"/>
      <c r="G24" s="236"/>
      <c r="H24" s="237"/>
      <c r="I24" s="246"/>
      <c r="J24" s="243"/>
      <c r="K24" s="243"/>
      <c r="L24" s="243"/>
      <c r="M24" s="239" t="b">
        <v>0</v>
      </c>
      <c r="O24" s="249"/>
      <c r="P24" s="241"/>
      <c r="Q24" s="242"/>
    </row>
    <row r="25" ht="33.75" customHeight="1">
      <c r="B25" s="231">
        <v>20.0</v>
      </c>
      <c r="C25" s="234"/>
      <c r="D25" s="235"/>
      <c r="E25" s="236"/>
      <c r="F25" s="236"/>
      <c r="G25" s="236"/>
      <c r="H25" s="237"/>
      <c r="I25" s="246"/>
      <c r="J25" s="238"/>
      <c r="K25" s="238"/>
      <c r="L25" s="238"/>
      <c r="M25" s="239" t="b">
        <v>0</v>
      </c>
      <c r="O25" s="244"/>
    </row>
    <row r="26" ht="33.75" customHeight="1">
      <c r="B26" s="231">
        <v>21.0</v>
      </c>
      <c r="C26" s="234"/>
      <c r="D26" s="235"/>
      <c r="E26" s="236"/>
      <c r="F26" s="236"/>
      <c r="G26" s="236"/>
      <c r="H26" s="237"/>
      <c r="I26" s="246"/>
      <c r="J26" s="243"/>
      <c r="K26" s="243"/>
      <c r="L26" s="243"/>
      <c r="M26" s="239" t="b">
        <v>0</v>
      </c>
      <c r="O26" s="240"/>
      <c r="P26" s="241"/>
      <c r="Q26" s="242"/>
    </row>
    <row r="27" ht="33.75" customHeight="1">
      <c r="B27" s="231">
        <v>22.0</v>
      </c>
      <c r="C27" s="234"/>
      <c r="D27" s="235"/>
      <c r="E27" s="236"/>
      <c r="F27" s="236"/>
      <c r="G27" s="236"/>
      <c r="H27" s="237"/>
      <c r="I27" s="246"/>
      <c r="J27" s="243"/>
      <c r="K27" s="238"/>
      <c r="L27" s="243"/>
      <c r="M27" s="239" t="b">
        <v>0</v>
      </c>
      <c r="O27" s="244"/>
    </row>
    <row r="28" ht="33.75" customHeight="1">
      <c r="B28" s="231">
        <v>23.0</v>
      </c>
      <c r="C28" s="234"/>
      <c r="D28" s="235"/>
      <c r="E28" s="236"/>
      <c r="F28" s="236"/>
      <c r="G28" s="236"/>
      <c r="H28" s="237"/>
      <c r="I28" s="246"/>
      <c r="J28" s="243"/>
      <c r="K28" s="243"/>
      <c r="L28" s="243"/>
      <c r="M28" s="239" t="b">
        <v>0</v>
      </c>
      <c r="O28" s="250"/>
      <c r="P28" s="241"/>
      <c r="Q28" s="242"/>
    </row>
    <row r="29" ht="33.75" customHeight="1">
      <c r="B29" s="231">
        <v>24.0</v>
      </c>
      <c r="C29" s="234"/>
      <c r="D29" s="235"/>
      <c r="E29" s="236"/>
      <c r="F29" s="236"/>
      <c r="G29" s="236"/>
      <c r="H29" s="237"/>
      <c r="I29" s="246"/>
      <c r="J29" s="243"/>
      <c r="K29" s="243"/>
      <c r="L29" s="243"/>
      <c r="M29" s="239" t="b">
        <v>0</v>
      </c>
      <c r="O29" s="244"/>
    </row>
    <row r="30" ht="33.75" customHeight="1">
      <c r="B30" s="231">
        <v>25.0</v>
      </c>
      <c r="C30" s="234"/>
      <c r="D30" s="235"/>
      <c r="E30" s="236"/>
      <c r="F30" s="236"/>
      <c r="G30" s="236"/>
      <c r="H30" s="237"/>
      <c r="I30" s="246"/>
      <c r="J30" s="243"/>
      <c r="K30" s="243"/>
      <c r="L30" s="243"/>
      <c r="M30" s="239" t="b">
        <v>0</v>
      </c>
      <c r="O30" s="240"/>
      <c r="P30" s="241"/>
      <c r="Q30" s="242"/>
    </row>
    <row r="31" ht="33.75" customHeight="1">
      <c r="B31" s="231">
        <v>26.0</v>
      </c>
      <c r="C31" s="234"/>
      <c r="D31" s="235"/>
      <c r="E31" s="236"/>
      <c r="F31" s="236"/>
      <c r="G31" s="236"/>
      <c r="H31" s="237"/>
      <c r="I31" s="246"/>
      <c r="J31" s="238"/>
      <c r="K31" s="243"/>
      <c r="L31" s="243"/>
      <c r="M31" s="239" t="b">
        <v>0</v>
      </c>
      <c r="O31" s="244"/>
    </row>
    <row r="32" ht="33.75" customHeight="1">
      <c r="B32" s="231">
        <v>27.0</v>
      </c>
      <c r="C32" s="234"/>
      <c r="D32" s="235"/>
      <c r="E32" s="236"/>
      <c r="F32" s="236"/>
      <c r="G32" s="235"/>
      <c r="H32" s="237"/>
      <c r="I32" s="237"/>
      <c r="J32" s="238"/>
      <c r="K32" s="238"/>
      <c r="L32" s="238"/>
      <c r="M32" s="239" t="b">
        <v>0</v>
      </c>
      <c r="O32" s="240"/>
      <c r="P32" s="241"/>
      <c r="Q32" s="242"/>
    </row>
    <row r="33" ht="33.75" customHeight="1">
      <c r="B33" s="231">
        <v>28.0</v>
      </c>
      <c r="C33" s="234"/>
      <c r="D33" s="235"/>
      <c r="E33" s="236"/>
      <c r="F33" s="236"/>
      <c r="G33" s="236"/>
      <c r="H33" s="237"/>
      <c r="I33" s="237"/>
      <c r="J33" s="238"/>
      <c r="K33" s="238"/>
      <c r="L33" s="238"/>
      <c r="M33" s="239" t="b">
        <v>0</v>
      </c>
      <c r="O33" s="244"/>
    </row>
    <row r="34" ht="33.75" customHeight="1">
      <c r="B34" s="231">
        <v>29.0</v>
      </c>
      <c r="C34" s="234"/>
      <c r="D34" s="235"/>
      <c r="E34" s="235"/>
      <c r="F34" s="235"/>
      <c r="G34" s="235"/>
      <c r="H34" s="237"/>
      <c r="I34" s="237"/>
      <c r="J34" s="238"/>
      <c r="K34" s="238"/>
      <c r="L34" s="238"/>
      <c r="M34" s="239" t="b">
        <v>0</v>
      </c>
      <c r="O34" s="240"/>
      <c r="P34" s="241"/>
      <c r="Q34" s="242"/>
    </row>
    <row r="35" ht="33.75" customHeight="1">
      <c r="B35" s="231">
        <v>30.0</v>
      </c>
      <c r="C35" s="234"/>
      <c r="D35" s="235"/>
      <c r="E35" s="236"/>
      <c r="F35" s="235"/>
      <c r="G35" s="236"/>
      <c r="H35" s="237"/>
      <c r="I35" s="237"/>
      <c r="J35" s="238"/>
      <c r="K35" s="238"/>
      <c r="L35" s="238"/>
      <c r="M35" s="239" t="b">
        <v>0</v>
      </c>
      <c r="O35" s="244"/>
    </row>
    <row r="36" ht="33.75" customHeight="1">
      <c r="B36" s="231">
        <v>31.0</v>
      </c>
      <c r="C36" s="234"/>
      <c r="D36" s="235"/>
      <c r="E36" s="235"/>
      <c r="F36" s="236"/>
      <c r="G36" s="235"/>
      <c r="H36" s="237"/>
      <c r="I36" s="237"/>
      <c r="J36" s="238"/>
      <c r="K36" s="238"/>
      <c r="L36" s="238"/>
      <c r="M36" s="239" t="b">
        <v>0</v>
      </c>
      <c r="O36" s="240"/>
      <c r="P36" s="241"/>
      <c r="Q36" s="242"/>
    </row>
    <row r="37" ht="33.75" customHeight="1">
      <c r="B37" s="231">
        <v>32.0</v>
      </c>
      <c r="C37" s="234"/>
      <c r="D37" s="235"/>
      <c r="E37" s="236"/>
      <c r="F37" s="236"/>
      <c r="G37" s="235"/>
      <c r="H37" s="237"/>
      <c r="I37" s="237"/>
      <c r="J37" s="238"/>
      <c r="K37" s="238"/>
      <c r="L37" s="238"/>
      <c r="M37" s="239" t="b">
        <v>0</v>
      </c>
      <c r="O37" s="244"/>
    </row>
    <row r="38" ht="33.75" customHeight="1">
      <c r="B38" s="231">
        <v>33.0</v>
      </c>
      <c r="C38" s="234"/>
      <c r="D38" s="235"/>
      <c r="E38" s="236"/>
      <c r="F38" s="236"/>
      <c r="G38" s="236"/>
      <c r="H38" s="237"/>
      <c r="I38" s="246"/>
      <c r="J38" s="243"/>
      <c r="K38" s="238"/>
      <c r="L38" s="238"/>
      <c r="M38" s="239" t="b">
        <v>0</v>
      </c>
      <c r="O38" s="240"/>
      <c r="P38" s="241"/>
      <c r="Q38" s="242"/>
    </row>
    <row r="39" ht="33.75" customHeight="1">
      <c r="B39" s="231">
        <v>34.0</v>
      </c>
      <c r="C39" s="234"/>
      <c r="D39" s="235"/>
      <c r="E39" s="236"/>
      <c r="F39" s="236"/>
      <c r="G39" s="235"/>
      <c r="H39" s="237"/>
      <c r="I39" s="237"/>
      <c r="J39" s="238"/>
      <c r="K39" s="238"/>
      <c r="L39" s="238"/>
      <c r="M39" s="239" t="b">
        <v>0</v>
      </c>
      <c r="O39" s="244"/>
    </row>
    <row r="40" ht="33.75" customHeight="1">
      <c r="B40" s="12"/>
      <c r="K40" s="145" t="s">
        <v>215</v>
      </c>
      <c r="L40" s="251">
        <f t="array" ref="L40">SUMPRODUCT(L6:L39,K6:K39)</f>
        <v>0</v>
      </c>
      <c r="O40" s="240"/>
      <c r="P40" s="241"/>
      <c r="Q40" s="242"/>
    </row>
    <row r="41" ht="33.75" customHeight="1">
      <c r="K41" s="145" t="s">
        <v>216</v>
      </c>
      <c r="L41" s="252">
        <f t="array" ref="L41">SUMPRODUCT(J6:J25,K6:K25)</f>
        <v>25000</v>
      </c>
      <c r="O41" s="244"/>
    </row>
    <row r="42" ht="33.75" customHeight="1">
      <c r="K42" s="145" t="s">
        <v>217</v>
      </c>
      <c r="L42" s="251">
        <f t="array" ref="L42">SUMPRODUCT(-(-(L6:L39)), -(-(M6:M39=TRUE)), K6:K39)</f>
        <v>0</v>
      </c>
      <c r="O42" s="240"/>
      <c r="P42" s="241"/>
      <c r="Q42" s="242"/>
    </row>
    <row r="43" ht="33.75" customHeight="1">
      <c r="B43" s="12"/>
      <c r="C43" s="230" t="s">
        <v>218</v>
      </c>
      <c r="M43" s="12"/>
      <c r="O43" s="244"/>
    </row>
    <row r="44" ht="33.75" customHeight="1">
      <c r="B44" s="231" t="s">
        <v>206</v>
      </c>
      <c r="C44" s="232" t="s">
        <v>0</v>
      </c>
      <c r="D44" s="99" t="s">
        <v>219</v>
      </c>
      <c r="E44" s="232" t="s">
        <v>220</v>
      </c>
      <c r="F44" s="233" t="s">
        <v>221</v>
      </c>
      <c r="G44" s="232" t="s">
        <v>222</v>
      </c>
      <c r="H44" s="232" t="s">
        <v>208</v>
      </c>
      <c r="I44" s="232" t="s">
        <v>223</v>
      </c>
      <c r="J44" s="232" t="s">
        <v>224</v>
      </c>
      <c r="K44" s="99" t="s">
        <v>225</v>
      </c>
      <c r="L44" s="232" t="s">
        <v>226</v>
      </c>
      <c r="O44" s="240"/>
      <c r="P44" s="241"/>
      <c r="Q44" s="242"/>
    </row>
    <row r="45" ht="33.75" customHeight="1">
      <c r="B45" s="231">
        <v>1.0</v>
      </c>
      <c r="C45" s="253"/>
      <c r="D45" s="254"/>
      <c r="E45" s="254"/>
      <c r="F45" s="254"/>
      <c r="G45" s="254"/>
      <c r="H45" s="254"/>
      <c r="I45" s="254"/>
      <c r="J45" s="254"/>
      <c r="K45" s="254"/>
      <c r="L45" s="254"/>
      <c r="O45" s="244"/>
    </row>
    <row r="46" ht="33.75" customHeight="1">
      <c r="B46" s="231">
        <v>2.0</v>
      </c>
      <c r="C46" s="253"/>
      <c r="D46" s="254"/>
      <c r="E46" s="254"/>
      <c r="F46" s="254"/>
      <c r="G46" s="254"/>
      <c r="H46" s="254"/>
      <c r="I46" s="254"/>
      <c r="J46" s="254"/>
      <c r="K46" s="254"/>
      <c r="L46" s="254"/>
      <c r="O46" s="240"/>
      <c r="P46" s="241"/>
      <c r="Q46" s="242"/>
    </row>
    <row r="47" ht="33.75" customHeight="1">
      <c r="B47" s="231">
        <v>3.0</v>
      </c>
      <c r="C47" s="253"/>
      <c r="D47" s="254"/>
      <c r="E47" s="254"/>
      <c r="F47" s="254"/>
      <c r="G47" s="254"/>
      <c r="H47" s="254"/>
      <c r="I47" s="254"/>
      <c r="J47" s="254"/>
      <c r="K47" s="254"/>
      <c r="L47" s="254"/>
      <c r="O47" s="244"/>
    </row>
    <row r="48" ht="33.75" customHeight="1">
      <c r="B48" s="231">
        <v>4.0</v>
      </c>
      <c r="C48" s="253"/>
      <c r="D48" s="255"/>
      <c r="E48" s="255"/>
      <c r="F48" s="255"/>
      <c r="G48" s="255"/>
      <c r="H48" s="255"/>
      <c r="I48" s="254"/>
      <c r="J48" s="254"/>
      <c r="K48" s="255"/>
      <c r="L48" s="255"/>
      <c r="O48" s="240"/>
      <c r="P48" s="241"/>
      <c r="Q48" s="242"/>
    </row>
    <row r="49" ht="33.75" customHeight="1">
      <c r="B49" s="231">
        <v>5.0</v>
      </c>
      <c r="C49" s="253"/>
      <c r="D49" s="254"/>
      <c r="E49" s="254"/>
      <c r="F49" s="254"/>
      <c r="G49" s="254"/>
      <c r="H49" s="254"/>
      <c r="I49" s="254"/>
      <c r="J49" s="254"/>
      <c r="K49" s="254"/>
      <c r="L49" s="254"/>
      <c r="O49" s="244"/>
    </row>
    <row r="50" ht="33.75" customHeight="1">
      <c r="B50" s="231">
        <v>6.0</v>
      </c>
      <c r="C50" s="253"/>
      <c r="D50" s="255"/>
      <c r="E50" s="255"/>
      <c r="F50" s="255"/>
      <c r="G50" s="255"/>
      <c r="H50" s="255"/>
      <c r="I50" s="254"/>
      <c r="J50" s="254"/>
      <c r="K50" s="255"/>
      <c r="L50" s="255"/>
      <c r="O50" s="240"/>
      <c r="P50" s="241"/>
      <c r="Q50" s="242"/>
    </row>
    <row r="51" ht="33.75" customHeight="1">
      <c r="B51" s="256">
        <v>7.0</v>
      </c>
      <c r="C51" s="253"/>
      <c r="D51" s="254"/>
      <c r="E51" s="254"/>
      <c r="F51" s="254"/>
      <c r="G51" s="254"/>
      <c r="H51" s="254"/>
      <c r="I51" s="254"/>
      <c r="J51" s="254"/>
      <c r="K51" s="254"/>
      <c r="L51" s="254"/>
      <c r="O51" s="244"/>
    </row>
    <row r="52" ht="33.75" customHeight="1">
      <c r="B52" s="256">
        <v>8.0</v>
      </c>
      <c r="C52" s="253"/>
      <c r="D52" s="254"/>
      <c r="E52" s="254"/>
      <c r="F52" s="254"/>
      <c r="G52" s="254"/>
      <c r="H52" s="254"/>
      <c r="I52" s="254"/>
      <c r="J52" s="254"/>
      <c r="K52" s="254"/>
      <c r="L52" s="254"/>
      <c r="O52" s="240"/>
      <c r="P52" s="241"/>
      <c r="Q52" s="242"/>
    </row>
    <row r="53" ht="33.75" customHeight="1">
      <c r="B53" s="256">
        <v>9.0</v>
      </c>
      <c r="C53" s="253"/>
      <c r="D53" s="255"/>
      <c r="E53" s="255"/>
      <c r="F53" s="255"/>
      <c r="G53" s="255"/>
      <c r="H53" s="255"/>
      <c r="I53" s="254"/>
      <c r="J53" s="254"/>
      <c r="K53" s="255"/>
      <c r="L53" s="255"/>
      <c r="O53" s="244"/>
    </row>
    <row r="54" ht="33.75" customHeight="1">
      <c r="B54" s="256">
        <v>10.0</v>
      </c>
      <c r="C54" s="253"/>
      <c r="D54" s="255"/>
      <c r="E54" s="255"/>
      <c r="F54" s="255"/>
      <c r="G54" s="255"/>
      <c r="H54" s="255"/>
      <c r="I54" s="254"/>
      <c r="J54" s="254"/>
      <c r="K54" s="255"/>
      <c r="L54" s="255"/>
      <c r="O54" s="240"/>
      <c r="P54" s="241"/>
      <c r="Q54" s="242"/>
    </row>
    <row r="55" ht="33.75" customHeight="1">
      <c r="B55" s="256">
        <v>11.0</v>
      </c>
      <c r="C55" s="253"/>
      <c r="D55" s="255"/>
      <c r="E55" s="255"/>
      <c r="F55" s="255"/>
      <c r="G55" s="255"/>
      <c r="H55" s="255"/>
      <c r="I55" s="254"/>
      <c r="J55" s="254"/>
      <c r="K55" s="255"/>
      <c r="L55" s="255"/>
      <c r="O55" s="244"/>
    </row>
    <row r="56" ht="33.75" customHeight="1">
      <c r="B56" s="256">
        <v>12.0</v>
      </c>
      <c r="C56" s="253"/>
      <c r="D56" s="255"/>
      <c r="E56" s="255"/>
      <c r="F56" s="255"/>
      <c r="G56" s="255"/>
      <c r="H56" s="255"/>
      <c r="I56" s="254"/>
      <c r="J56" s="254"/>
      <c r="K56" s="255"/>
      <c r="L56" s="255"/>
      <c r="O56" s="240"/>
      <c r="P56" s="241"/>
      <c r="Q56" s="242"/>
    </row>
    <row r="57" ht="33.75" customHeight="1">
      <c r="B57" s="256">
        <v>13.0</v>
      </c>
      <c r="C57" s="253"/>
      <c r="D57" s="255"/>
      <c r="E57" s="255"/>
      <c r="F57" s="255"/>
      <c r="G57" s="255"/>
      <c r="H57" s="255"/>
      <c r="I57" s="254"/>
      <c r="J57" s="254"/>
      <c r="K57" s="255"/>
      <c r="L57" s="255"/>
      <c r="O57" s="244"/>
    </row>
    <row r="58" ht="33.75" customHeight="1">
      <c r="B58" s="256">
        <v>14.0</v>
      </c>
      <c r="C58" s="253"/>
      <c r="D58" s="255"/>
      <c r="E58" s="255"/>
      <c r="F58" s="255"/>
      <c r="G58" s="255"/>
      <c r="H58" s="255"/>
      <c r="I58" s="254"/>
      <c r="J58" s="254"/>
      <c r="K58" s="255"/>
      <c r="L58" s="255"/>
      <c r="O58" s="240"/>
      <c r="P58" s="241"/>
      <c r="Q58" s="242"/>
    </row>
    <row r="59" ht="33.75" customHeight="1">
      <c r="B59" s="256">
        <v>15.0</v>
      </c>
      <c r="C59" s="253"/>
      <c r="D59" s="255"/>
      <c r="E59" s="255"/>
      <c r="F59" s="255"/>
      <c r="G59" s="255"/>
      <c r="H59" s="255"/>
      <c r="I59" s="254"/>
      <c r="J59" s="254"/>
      <c r="K59" s="255"/>
      <c r="L59" s="255"/>
      <c r="O59" s="244"/>
    </row>
    <row r="60" ht="33.75" customHeight="1">
      <c r="B60" s="256">
        <v>16.0</v>
      </c>
      <c r="C60" s="253"/>
      <c r="D60" s="255"/>
      <c r="E60" s="255"/>
      <c r="F60" s="255"/>
      <c r="G60" s="255"/>
      <c r="H60" s="255"/>
      <c r="I60" s="254"/>
      <c r="J60" s="254"/>
      <c r="K60" s="255"/>
      <c r="L60" s="255"/>
      <c r="O60" s="240"/>
      <c r="P60" s="241"/>
      <c r="Q60" s="242"/>
    </row>
    <row r="61" ht="33.75" customHeight="1">
      <c r="B61" s="256">
        <v>17.0</v>
      </c>
      <c r="C61" s="253"/>
      <c r="D61" s="255"/>
      <c r="E61" s="255"/>
      <c r="F61" s="255"/>
      <c r="G61" s="255"/>
      <c r="H61" s="255"/>
      <c r="I61" s="254"/>
      <c r="J61" s="254"/>
      <c r="K61" s="255"/>
      <c r="L61" s="255"/>
      <c r="O61" s="244"/>
    </row>
    <row r="62" ht="33.75" customHeight="1">
      <c r="B62" s="231">
        <v>18.0</v>
      </c>
      <c r="C62" s="253"/>
      <c r="D62" s="254"/>
      <c r="E62" s="254"/>
      <c r="F62" s="254"/>
      <c r="G62" s="254"/>
      <c r="H62" s="254"/>
      <c r="I62" s="254"/>
      <c r="J62" s="254"/>
      <c r="K62" s="254"/>
      <c r="L62" s="254"/>
      <c r="O62" s="240"/>
      <c r="P62" s="241"/>
      <c r="Q62" s="242"/>
    </row>
    <row r="63" ht="33.75" customHeight="1">
      <c r="B63" s="256">
        <v>19.0</v>
      </c>
      <c r="C63" s="253"/>
      <c r="D63" s="255"/>
      <c r="E63" s="255"/>
      <c r="F63" s="255"/>
      <c r="G63" s="255"/>
      <c r="H63" s="255"/>
      <c r="I63" s="254"/>
      <c r="J63" s="254"/>
      <c r="K63" s="255"/>
      <c r="L63" s="255"/>
      <c r="O63" s="244"/>
    </row>
    <row r="64" ht="33.75" customHeight="1">
      <c r="B64" s="231">
        <v>20.0</v>
      </c>
      <c r="C64" s="253"/>
      <c r="D64" s="254"/>
      <c r="E64" s="254"/>
      <c r="F64" s="254"/>
      <c r="G64" s="254"/>
      <c r="H64" s="254"/>
      <c r="I64" s="254"/>
      <c r="J64" s="254"/>
      <c r="K64" s="254"/>
      <c r="L64" s="254"/>
      <c r="O64" s="240"/>
      <c r="P64" s="241"/>
      <c r="Q64" s="242"/>
    </row>
    <row r="65" ht="33.75" customHeight="1">
      <c r="B65" s="256">
        <v>21.0</v>
      </c>
      <c r="C65" s="253"/>
      <c r="D65" s="255"/>
      <c r="E65" s="255"/>
      <c r="F65" s="255"/>
      <c r="G65" s="255"/>
      <c r="H65" s="255"/>
      <c r="I65" s="254"/>
      <c r="J65" s="254"/>
      <c r="K65" s="255"/>
      <c r="L65" s="255"/>
      <c r="O65" s="244"/>
    </row>
    <row r="66" ht="33.75" customHeight="1">
      <c r="B66" s="256">
        <v>22.0</v>
      </c>
      <c r="C66" s="253"/>
      <c r="D66" s="254"/>
      <c r="E66" s="254"/>
      <c r="F66" s="254"/>
      <c r="G66" s="254"/>
      <c r="H66" s="254"/>
      <c r="I66" s="254"/>
      <c r="J66" s="254"/>
      <c r="K66" s="254"/>
      <c r="L66" s="254"/>
      <c r="O66" s="240"/>
      <c r="P66" s="241"/>
      <c r="Q66" s="242"/>
    </row>
    <row r="67" ht="33.75" customHeight="1">
      <c r="B67" s="256">
        <v>23.0</v>
      </c>
      <c r="C67" s="253"/>
      <c r="D67" s="254"/>
      <c r="E67" s="254"/>
      <c r="F67" s="254"/>
      <c r="G67" s="254"/>
      <c r="H67" s="254"/>
      <c r="I67" s="254"/>
      <c r="J67" s="254"/>
      <c r="K67" s="254"/>
      <c r="L67" s="254"/>
      <c r="O67" s="244"/>
    </row>
    <row r="68" ht="33.75" customHeight="1">
      <c r="B68" s="256">
        <v>24.0</v>
      </c>
      <c r="C68" s="253"/>
      <c r="D68" s="254"/>
      <c r="E68" s="254"/>
      <c r="F68" s="254"/>
      <c r="G68" s="254"/>
      <c r="H68" s="254"/>
      <c r="I68" s="254"/>
      <c r="J68" s="254"/>
      <c r="K68" s="254"/>
      <c r="L68" s="254"/>
      <c r="O68" s="240"/>
      <c r="P68" s="241"/>
      <c r="Q68" s="242"/>
    </row>
    <row r="69" ht="33.75" customHeight="1">
      <c r="B69" s="256">
        <v>25.0</v>
      </c>
      <c r="C69" s="253"/>
      <c r="D69" s="254"/>
      <c r="E69" s="254"/>
      <c r="F69" s="254"/>
      <c r="G69" s="254"/>
      <c r="H69" s="254"/>
      <c r="I69" s="254"/>
      <c r="J69" s="254"/>
      <c r="K69" s="254"/>
      <c r="L69" s="254"/>
      <c r="O69" s="244"/>
    </row>
    <row r="70" ht="33.75" customHeight="1">
      <c r="B70" s="231">
        <v>26.0</v>
      </c>
      <c r="C70" s="253"/>
      <c r="D70" s="254"/>
      <c r="E70" s="254"/>
      <c r="F70" s="254"/>
      <c r="G70" s="254"/>
      <c r="H70" s="254"/>
      <c r="I70" s="254"/>
      <c r="J70" s="254"/>
      <c r="K70" s="254"/>
      <c r="L70" s="254"/>
      <c r="O70" s="240"/>
      <c r="P70" s="241"/>
      <c r="Q70" s="242"/>
    </row>
    <row r="71" ht="33.75" customHeight="1">
      <c r="B71" s="256">
        <v>27.0</v>
      </c>
      <c r="C71" s="253"/>
      <c r="D71" s="254"/>
      <c r="E71" s="254"/>
      <c r="F71" s="254"/>
      <c r="G71" s="254"/>
      <c r="H71" s="254"/>
      <c r="I71" s="254"/>
      <c r="J71" s="254"/>
      <c r="K71" s="254"/>
      <c r="L71" s="254"/>
      <c r="O71" s="244"/>
    </row>
    <row r="72" ht="33.75" customHeight="1">
      <c r="B72" s="256">
        <v>28.0</v>
      </c>
      <c r="C72" s="253"/>
      <c r="D72" s="254"/>
      <c r="E72" s="254"/>
      <c r="F72" s="254"/>
      <c r="G72" s="254"/>
      <c r="H72" s="254"/>
      <c r="I72" s="254"/>
      <c r="J72" s="254"/>
      <c r="K72" s="254"/>
      <c r="L72" s="254"/>
      <c r="O72" s="240"/>
      <c r="P72" s="241"/>
      <c r="Q72" s="242"/>
    </row>
    <row r="73" ht="33.75" customHeight="1">
      <c r="B73" s="256">
        <v>29.0</v>
      </c>
      <c r="C73" s="253"/>
      <c r="D73" s="254"/>
      <c r="E73" s="254"/>
      <c r="F73" s="254"/>
      <c r="G73" s="254"/>
      <c r="H73" s="254"/>
      <c r="I73" s="254"/>
      <c r="J73" s="254"/>
      <c r="K73" s="254"/>
      <c r="L73" s="254"/>
      <c r="O73" s="244"/>
    </row>
    <row r="74" ht="33.75" customHeight="1">
      <c r="B74" s="12"/>
      <c r="C74" s="230" t="s">
        <v>227</v>
      </c>
      <c r="O74" s="240"/>
      <c r="P74" s="241"/>
      <c r="Q74" s="242"/>
    </row>
    <row r="75" ht="33.75" customHeight="1">
      <c r="B75" s="12"/>
      <c r="C75" s="232" t="s">
        <v>228</v>
      </c>
      <c r="D75" s="99" t="s">
        <v>229</v>
      </c>
      <c r="E75" s="232" t="s">
        <v>230</v>
      </c>
      <c r="O75" s="244"/>
    </row>
    <row r="76" ht="33.75" customHeight="1">
      <c r="B76" s="12"/>
      <c r="C76" s="257"/>
      <c r="D76" s="211"/>
      <c r="E76" s="211"/>
      <c r="O76" s="240"/>
      <c r="P76" s="241"/>
      <c r="Q76" s="242"/>
    </row>
    <row r="77" ht="33.75" customHeight="1">
      <c r="B77" s="12"/>
      <c r="C77" s="257"/>
      <c r="D77" s="211"/>
      <c r="E77" s="211"/>
      <c r="O77" s="244"/>
    </row>
    <row r="78" ht="33.75" customHeight="1">
      <c r="B78" s="12"/>
      <c r="C78" s="12"/>
      <c r="O78" s="240"/>
      <c r="P78" s="241"/>
      <c r="Q78" s="242"/>
    </row>
    <row r="79" ht="33.75" customHeight="1">
      <c r="B79" s="12"/>
      <c r="C79" s="230" t="s">
        <v>231</v>
      </c>
      <c r="O79" s="244"/>
    </row>
    <row r="80" ht="33.75" customHeight="1">
      <c r="B80" s="12"/>
      <c r="C80" s="258" t="s">
        <v>232</v>
      </c>
      <c r="E80" s="232"/>
      <c r="F80" s="233"/>
      <c r="G80" s="258" t="s">
        <v>233</v>
      </c>
      <c r="I80" s="232"/>
      <c r="J80" s="145" t="s">
        <v>234</v>
      </c>
      <c r="O80" s="240"/>
      <c r="P80" s="241"/>
      <c r="Q80" s="242"/>
    </row>
    <row r="81" ht="33.75" customHeight="1">
      <c r="B81" s="231" t="s">
        <v>235</v>
      </c>
      <c r="C81" s="259"/>
      <c r="E81" s="75"/>
      <c r="F81" s="90"/>
      <c r="G81" s="260"/>
      <c r="I81" s="90"/>
      <c r="J81" s="260"/>
      <c r="O81" s="244"/>
    </row>
    <row r="82" ht="33.75" customHeight="1">
      <c r="B82" s="231"/>
      <c r="C82" s="259"/>
      <c r="G82" s="260"/>
      <c r="J82" s="260"/>
      <c r="O82" s="240"/>
      <c r="P82" s="241"/>
      <c r="Q82" s="242"/>
    </row>
    <row r="83" ht="33.75" customHeight="1">
      <c r="B83" s="231"/>
      <c r="C83" s="259"/>
      <c r="G83" s="260"/>
      <c r="J83" s="260"/>
      <c r="O83" s="244"/>
    </row>
    <row r="84" ht="33.75" customHeight="1">
      <c r="B84" s="231"/>
      <c r="C84" s="259"/>
      <c r="G84" s="260"/>
      <c r="J84" s="260"/>
      <c r="O84" s="240"/>
      <c r="P84" s="241"/>
      <c r="Q84" s="242"/>
    </row>
    <row r="85" ht="33.75" customHeight="1">
      <c r="B85" s="231"/>
      <c r="C85" s="259"/>
      <c r="G85" s="260"/>
      <c r="J85" s="260"/>
      <c r="O85" s="244"/>
    </row>
    <row r="86" ht="33.75" customHeight="1">
      <c r="B86" s="231"/>
      <c r="C86" s="259"/>
      <c r="G86" s="260"/>
      <c r="J86" s="260"/>
      <c r="O86" s="240"/>
      <c r="P86" s="241"/>
      <c r="Q86" s="242"/>
    </row>
    <row r="87" ht="33.75" customHeight="1">
      <c r="B87" s="231"/>
      <c r="C87" s="259"/>
      <c r="F87" s="90" t="s">
        <v>230</v>
      </c>
      <c r="O87" s="244"/>
    </row>
    <row r="88" ht="33.75" customHeight="1">
      <c r="B88" s="231"/>
      <c r="C88" s="259"/>
      <c r="F88" s="261"/>
      <c r="O88" s="240"/>
      <c r="P88" s="241"/>
      <c r="Q88" s="242"/>
    </row>
    <row r="89" ht="33.75" customHeight="1">
      <c r="B89" s="231"/>
      <c r="C89" s="259"/>
      <c r="O89" s="244"/>
    </row>
    <row r="90" ht="33.75" customHeight="1">
      <c r="B90" s="231"/>
      <c r="C90" s="259"/>
      <c r="O90" s="240"/>
      <c r="P90" s="241"/>
      <c r="Q90" s="242"/>
    </row>
    <row r="91" ht="33.75" customHeight="1">
      <c r="B91" s="231"/>
      <c r="C91" s="259"/>
      <c r="O91" s="244"/>
    </row>
    <row r="92" ht="33.75" customHeight="1">
      <c r="B92" s="231"/>
      <c r="C92" s="259"/>
      <c r="O92" s="262"/>
      <c r="P92" s="263"/>
      <c r="Q92" s="264"/>
    </row>
    <row r="93" ht="33.75" customHeight="1">
      <c r="B93" s="231"/>
      <c r="C93" s="259"/>
      <c r="O93" s="244"/>
    </row>
    <row r="94">
      <c r="B94" s="12"/>
      <c r="C94" s="12"/>
    </row>
  </sheetData>
  <mergeCells count="187">
    <mergeCell ref="C89:D89"/>
    <mergeCell ref="C93:D93"/>
    <mergeCell ref="C91:D91"/>
    <mergeCell ref="C90:D90"/>
    <mergeCell ref="C92:D92"/>
    <mergeCell ref="C86:D86"/>
    <mergeCell ref="C85:D85"/>
    <mergeCell ref="J85:L85"/>
    <mergeCell ref="F87:L87"/>
    <mergeCell ref="C87:D87"/>
    <mergeCell ref="J86:L86"/>
    <mergeCell ref="G86:H86"/>
    <mergeCell ref="F88:L93"/>
    <mergeCell ref="C94:S94"/>
    <mergeCell ref="C88:D88"/>
    <mergeCell ref="C80:D80"/>
    <mergeCell ref="G80:H80"/>
    <mergeCell ref="C81:D81"/>
    <mergeCell ref="E77:L77"/>
    <mergeCell ref="C82:D82"/>
    <mergeCell ref="J82:L82"/>
    <mergeCell ref="C78:L78"/>
    <mergeCell ref="C79:L79"/>
    <mergeCell ref="J81:L81"/>
    <mergeCell ref="J80:L80"/>
    <mergeCell ref="Q68:S69"/>
    <mergeCell ref="Q90:S91"/>
    <mergeCell ref="Q80:S81"/>
    <mergeCell ref="Q76:S77"/>
    <mergeCell ref="Q74:S75"/>
    <mergeCell ref="Q82:S83"/>
    <mergeCell ref="Q84:S85"/>
    <mergeCell ref="Q78:S79"/>
    <mergeCell ref="O84:O85"/>
    <mergeCell ref="O86:O87"/>
    <mergeCell ref="G84:H84"/>
    <mergeCell ref="G83:H83"/>
    <mergeCell ref="C83:D83"/>
    <mergeCell ref="C84:D84"/>
    <mergeCell ref="E81:E93"/>
    <mergeCell ref="J83:L83"/>
    <mergeCell ref="J84:L84"/>
    <mergeCell ref="E75:L75"/>
    <mergeCell ref="E76:L76"/>
    <mergeCell ref="C74:L74"/>
    <mergeCell ref="P84:P85"/>
    <mergeCell ref="P82:P83"/>
    <mergeCell ref="I81:I86"/>
    <mergeCell ref="F81:F86"/>
    <mergeCell ref="G82:H82"/>
    <mergeCell ref="G81:H81"/>
    <mergeCell ref="G85:H85"/>
    <mergeCell ref="P76:P77"/>
    <mergeCell ref="P74:P75"/>
    <mergeCell ref="P72:P73"/>
    <mergeCell ref="P70:P71"/>
    <mergeCell ref="Q88:S89"/>
    <mergeCell ref="O82:O83"/>
    <mergeCell ref="O92:O93"/>
    <mergeCell ref="P78:P79"/>
    <mergeCell ref="O88:O89"/>
    <mergeCell ref="O90:O91"/>
    <mergeCell ref="P92:P93"/>
    <mergeCell ref="P80:P81"/>
    <mergeCell ref="O24:O25"/>
    <mergeCell ref="O22:O23"/>
    <mergeCell ref="O28:O29"/>
    <mergeCell ref="O26:O27"/>
    <mergeCell ref="O8:O9"/>
    <mergeCell ref="O10:O11"/>
    <mergeCell ref="O18:O19"/>
    <mergeCell ref="O16:O17"/>
    <mergeCell ref="O12:O13"/>
    <mergeCell ref="O6:O7"/>
    <mergeCell ref="C43:L43"/>
    <mergeCell ref="B40:J42"/>
    <mergeCell ref="C2:L3"/>
    <mergeCell ref="B1:B4"/>
    <mergeCell ref="O32:O33"/>
    <mergeCell ref="O30:O31"/>
    <mergeCell ref="C4:M4"/>
    <mergeCell ref="C1:M1"/>
    <mergeCell ref="O20:O21"/>
    <mergeCell ref="O14:O15"/>
    <mergeCell ref="A1:A94"/>
    <mergeCell ref="P24:P25"/>
    <mergeCell ref="P22:P23"/>
    <mergeCell ref="P12:P13"/>
    <mergeCell ref="P14:P15"/>
    <mergeCell ref="P8:P9"/>
    <mergeCell ref="P10:P11"/>
    <mergeCell ref="P18:P19"/>
    <mergeCell ref="P20:P21"/>
    <mergeCell ref="P6:P7"/>
    <mergeCell ref="P26:P27"/>
    <mergeCell ref="P28:P29"/>
    <mergeCell ref="P16:P17"/>
    <mergeCell ref="O74:O75"/>
    <mergeCell ref="O70:O71"/>
    <mergeCell ref="O62:O63"/>
    <mergeCell ref="O64:O65"/>
    <mergeCell ref="O58:O59"/>
    <mergeCell ref="O66:O67"/>
    <mergeCell ref="O36:O37"/>
    <mergeCell ref="O76:O77"/>
    <mergeCell ref="O80:O81"/>
    <mergeCell ref="O78:O79"/>
    <mergeCell ref="O60:O61"/>
    <mergeCell ref="O56:O57"/>
    <mergeCell ref="O68:O69"/>
    <mergeCell ref="Q54:S55"/>
    <mergeCell ref="Q56:S57"/>
    <mergeCell ref="P60:P61"/>
    <mergeCell ref="P64:P65"/>
    <mergeCell ref="P62:P63"/>
    <mergeCell ref="P68:P69"/>
    <mergeCell ref="P66:P67"/>
    <mergeCell ref="Q60:S61"/>
    <mergeCell ref="Q62:S63"/>
    <mergeCell ref="Q72:S73"/>
    <mergeCell ref="Q70:S71"/>
    <mergeCell ref="O54:O55"/>
    <mergeCell ref="O50:O51"/>
    <mergeCell ref="O72:O73"/>
    <mergeCell ref="Q48:S49"/>
    <mergeCell ref="P48:P49"/>
    <mergeCell ref="O42:O43"/>
    <mergeCell ref="O44:O45"/>
    <mergeCell ref="O48:O49"/>
    <mergeCell ref="O46:O47"/>
    <mergeCell ref="L42:M42"/>
    <mergeCell ref="Q42:S43"/>
    <mergeCell ref="P42:P43"/>
    <mergeCell ref="Q46:S47"/>
    <mergeCell ref="Q44:S45"/>
    <mergeCell ref="P46:P47"/>
    <mergeCell ref="P44:P45"/>
    <mergeCell ref="O52:O53"/>
    <mergeCell ref="Q52:S53"/>
    <mergeCell ref="P52:P53"/>
    <mergeCell ref="Q50:S51"/>
    <mergeCell ref="P50:P51"/>
    <mergeCell ref="P54:P55"/>
    <mergeCell ref="P56:P57"/>
    <mergeCell ref="Q24:S25"/>
    <mergeCell ref="Q22:S23"/>
    <mergeCell ref="Q20:S21"/>
    <mergeCell ref="Q16:S17"/>
    <mergeCell ref="Q58:S59"/>
    <mergeCell ref="T1:T94"/>
    <mergeCell ref="Q92:S93"/>
    <mergeCell ref="Q64:S65"/>
    <mergeCell ref="Q40:S41"/>
    <mergeCell ref="Q10:S11"/>
    <mergeCell ref="Q8:S9"/>
    <mergeCell ref="Q14:S15"/>
    <mergeCell ref="Q12:S13"/>
    <mergeCell ref="Q18:S19"/>
    <mergeCell ref="Q38:S39"/>
    <mergeCell ref="Q6:S7"/>
    <mergeCell ref="Q26:S27"/>
    <mergeCell ref="Q30:S31"/>
    <mergeCell ref="Q28:S29"/>
    <mergeCell ref="Q66:S67"/>
    <mergeCell ref="Q32:S33"/>
    <mergeCell ref="L40:M40"/>
    <mergeCell ref="L41:M41"/>
    <mergeCell ref="N1:N93"/>
    <mergeCell ref="M43:M93"/>
    <mergeCell ref="O34:O35"/>
    <mergeCell ref="P32:P33"/>
    <mergeCell ref="P30:P31"/>
    <mergeCell ref="P34:P35"/>
    <mergeCell ref="O38:O39"/>
    <mergeCell ref="O40:O41"/>
    <mergeCell ref="P58:P59"/>
    <mergeCell ref="P38:P39"/>
    <mergeCell ref="P40:P41"/>
    <mergeCell ref="O1:S1"/>
    <mergeCell ref="O2:S5"/>
    <mergeCell ref="Q36:S37"/>
    <mergeCell ref="Q34:S35"/>
    <mergeCell ref="P36:P37"/>
    <mergeCell ref="Q86:S87"/>
    <mergeCell ref="P86:P87"/>
    <mergeCell ref="P88:P89"/>
    <mergeCell ref="P90:P91"/>
  </mergeCells>
  <conditionalFormatting sqref="C6:C39">
    <cfRule type="expression" dxfId="19" priority="1">
      <formula>H6="Noble"</formula>
    </cfRule>
  </conditionalFormatting>
  <conditionalFormatting sqref="C6:C39">
    <cfRule type="expression" dxfId="20" priority="2">
      <formula>H6="Mythical"</formula>
    </cfRule>
  </conditionalFormatting>
  <conditionalFormatting sqref="C6:C39">
    <cfRule type="expression" dxfId="21" priority="3">
      <formula>H6="Improvised"</formula>
    </cfRule>
  </conditionalFormatting>
  <conditionalFormatting sqref="C6:C39">
    <cfRule type="expression" dxfId="22" priority="4">
      <formula>H6="Poor"</formula>
    </cfRule>
  </conditionalFormatting>
  <conditionalFormatting sqref="C6:C39">
    <cfRule type="expression" dxfId="23" priority="5">
      <formula>H6="Superior"</formula>
    </cfRule>
  </conditionalFormatting>
  <conditionalFormatting sqref="D6:M39">
    <cfRule type="expression" dxfId="24" priority="6">
      <formula>ISEVEN(ROW())</formula>
    </cfRule>
  </conditionalFormatting>
  <conditionalFormatting sqref="O6:S93">
    <cfRule type="expression" dxfId="24" priority="7">
      <formula>MOD(ROW(),4)=0</formula>
    </cfRule>
  </conditionalFormatting>
  <conditionalFormatting sqref="C45:L73 C81:L93">
    <cfRule type="expression" dxfId="24" priority="8">
      <formula>ISEVEN(ROW())</formula>
    </cfRule>
  </conditionalFormatting>
  <conditionalFormatting sqref="C76:L77">
    <cfRule type="expression" dxfId="24" priority="9">
      <formula>ISEVEN(ROW())</formula>
    </cfRule>
  </conditionalFormatting>
  <dataValidations>
    <dataValidation type="list" allowBlank="1" showErrorMessage="1" sqref="P6 P8 P10 P12 P14 P16 P18 P20 P22 P24 P26 P28 P30 P32 P34 P36 P38 P40 P42 P44 P46 P48 P50 P52 P54 P56 P58 P60 P62 P64 P66 P68 P70 P72 P74 P76 P78 P80 P82 P84 P86 P88 P90 P92">
      <formula1>",Level I,Level II,Level III,Level IV,Level V"</formula1>
    </dataValidation>
    <dataValidation type="list" allowBlank="1" showErrorMessage="1" sqref="H6:H39">
      <formula1>"Improvised,Poor,Munitions,Superior,Noble,Mythical"</formula1>
    </dataValidation>
    <dataValidation type="list" allowBlank="1" showErrorMessage="1" sqref="D6:D39">
      <formula1>"Clothing,Light Armor,Heavy Armor,Small Shield,Medium Shield,Large Shield,Great Shield,Firearm,Bow,Sword,Great Weapon,Polearm,Knife,Exotic Weapon,Throwing Weapon,Small Container,Medium Container,Large Container,Huge Container,Wealth,Other"</formula1>
    </dataValidation>
  </dataValidations>
  <drawing r:id="rId1"/>
</worksheet>
</file>