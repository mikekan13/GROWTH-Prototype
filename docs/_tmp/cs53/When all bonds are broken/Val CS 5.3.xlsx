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kills" sheetId="2" r:id="rId5"/>
    <sheet state="visible" name="Inventory" sheetId="3" r:id="rId6"/>
    <sheet state="hidden" name="SEEDDATA" sheetId="4" r:id="rId7"/>
    <sheet state="visible" name="Vitals" sheetId="5" r:id="rId8"/>
    <sheet state="hidden" name="Munition Items" sheetId="6" r:id="rId9"/>
    <sheet state="hidden" name="EQUIPPED" sheetId="7" r:id="rId10"/>
    <sheet state="visible" name="Exploits" sheetId="8" r:id="rId11"/>
    <sheet state="visible" name="Woven Spell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Vitals!$J$29</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8"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2" name="WEIGHT">Inventory!$AI$38</definedName>
    <definedName name="STR">Main!$F$4</definedName>
    <definedName name="WOUNDSTREATED">Vitals!$I$15</definedName>
    <definedName localSheetId="7" name="WEIGHT">#REF!</definedName>
    <definedName name="RIGHTUPPERLEG">Vitals!$E$13:$E$14</definedName>
    <definedName name="STRAIN">#REF!</definedName>
  </definedNames>
  <calcPr/>
</workbook>
</file>

<file path=xl/sharedStrings.xml><?xml version="1.0" encoding="utf-8"?>
<sst xmlns="http://schemas.openxmlformats.org/spreadsheetml/2006/main" count="2281" uniqueCount="636">
  <si>
    <t>Valmir Calius</t>
  </si>
  <si>
    <t>5 - Transcendent</t>
  </si>
  <si>
    <t>4 - Lower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</si>
  <si>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</si>
  <si>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</si>
  <si>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</si>
  <si>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</si>
  <si>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</si>
  <si>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</si>
  <si>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</si>
  <si>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</si>
  <si>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</si>
  <si>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</si>
  <si>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</si>
  <si>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</si>
  <si>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</si>
  <si>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</si>
  <si>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</si>
  <si>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</si>
  <si>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</si>
  <si>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</si>
  <si>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</si>
  <si>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</si>
  <si>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</si>
  <si>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</si>
  <si>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</si>
  <si>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</si>
  <si>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</si>
  <si>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</si>
  <si>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</si>
  <si>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Neo-Human</t>
  </si>
  <si>
    <t>Male</t>
  </si>
  <si>
    <t>Kether</t>
  </si>
  <si>
    <t>6'</t>
  </si>
  <si>
    <t>Black/Blue</t>
  </si>
  <si>
    <t>SEED</t>
  </si>
  <si>
    <t>SEX</t>
  </si>
  <si>
    <t>BEAUTY</t>
  </si>
  <si>
    <t>HOME</t>
  </si>
  <si>
    <t>HEIGHT</t>
  </si>
  <si>
    <t>WEIGHT</t>
  </si>
  <si>
    <t>HAIR &amp; EYES</t>
  </si>
  <si>
    <t>6 - Immortal</t>
  </si>
  <si>
    <t>7th</t>
  </si>
  <si>
    <t>None</t>
  </si>
  <si>
    <t xml:space="preserve">Well kept </t>
  </si>
  <si>
    <t>LIFE SPAN</t>
  </si>
  <si>
    <t>AGE</t>
  </si>
  <si>
    <t>BIRTH MONTH</t>
  </si>
  <si>
    <t>BIRTH DAY</t>
  </si>
  <si>
    <t>MONKEY PAW</t>
  </si>
  <si>
    <t>APPEARANCE</t>
  </si>
  <si>
    <t>We must evolve or die. When you find a weakness, overcome it or exploit it.</t>
  </si>
  <si>
    <t>Magic and technology can be melded perfectly. Find a way to make it happen.</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</si>
  <si>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</si>
  <si>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</si>
  <si>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</si>
  <si>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</si>
  <si>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</si>
  <si>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</si>
  <si>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</si>
  <si>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</si>
  <si>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</si>
  <si>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</si>
  <si>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</si>
  <si>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</si>
  <si>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</si>
  <si>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</si>
  <si>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</si>
  <si>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</si>
  <si>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</si>
  <si>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</si>
  <si>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</si>
  <si>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</si>
  <si>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</si>
  <si>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</si>
  <si>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</si>
  <si>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</si>
  <si>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</si>
  <si>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</si>
  <si>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</si>
  <si>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</si>
  <si>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</si>
  <si>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</si>
  <si>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</si>
  <si>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</si>
  <si>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</si>
  <si>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</si>
  <si>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</si>
  <si>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</si>
  <si>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</si>
  <si>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</si>
  <si>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</si>
  <si>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</si>
  <si>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</si>
  <si>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</si>
  <si>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</si>
  <si>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</si>
  <si>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</si>
  <si>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</si>
  <si>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</si>
  <si>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</si>
  <si>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</si>
  <si>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</si>
  <si>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</si>
  <si>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</si>
  <si>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</si>
  <si>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</si>
  <si>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Nano Memory</t>
  </si>
  <si>
    <t>Hammers &amp; Axes</t>
  </si>
  <si>
    <t>ATTUNEMENT</t>
  </si>
  <si>
    <t>Nano Energy</t>
  </si>
  <si>
    <t>Firearms</t>
  </si>
  <si>
    <t>DEX CHA</t>
  </si>
  <si>
    <t>TRAINABLE SKILLS</t>
  </si>
  <si>
    <t>Exotic Weapons</t>
  </si>
  <si>
    <t>STR DEX WIS</t>
  </si>
  <si>
    <t>SKILLS KV</t>
  </si>
  <si>
    <t>Archery</t>
  </si>
  <si>
    <t>DEX CON WIS</t>
  </si>
  <si>
    <t>Unarmed</t>
  </si>
  <si>
    <t>PASSIVE TASKS</t>
  </si>
  <si>
    <t>PERFORMING ARTS</t>
  </si>
  <si>
    <t>TYPE</t>
  </si>
  <si>
    <t>TIME</t>
  </si>
  <si>
    <t>NOTES</t>
  </si>
  <si>
    <t>Music</t>
  </si>
  <si>
    <t>Practice</t>
  </si>
  <si>
    <t>Manual Dex</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</si>
  <si>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</si>
  <si>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</si>
  <si>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</si>
  <si>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</si>
  <si>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</si>
  <si>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</si>
  <si>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</si>
  <si>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</si>
  <si>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</si>
  <si>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</si>
  <si>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</si>
  <si>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</si>
  <si>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</si>
  <si>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</si>
  <si>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</si>
  <si>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</si>
  <si>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</si>
  <si>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</si>
  <si>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</si>
  <si>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</si>
  <si>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</si>
  <si>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</si>
  <si>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</si>
  <si>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</si>
  <si>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</si>
  <si>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</si>
  <si>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1 Time</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</si>
  <si>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</si>
  <si>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</si>
  <si>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</si>
  <si>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</si>
  <si>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</si>
  <si>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</si>
  <si>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</si>
  <si>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</si>
  <si>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</si>
  <si>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</si>
  <si>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</si>
  <si>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</si>
  <si>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</si>
  <si>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</si>
  <si>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</si>
  <si>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</si>
  <si>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</si>
  <si>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</si>
  <si>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</si>
  <si>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</si>
  <si>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</si>
  <si>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</si>
  <si>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</si>
  <si>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</si>
  <si>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</si>
  <si>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</si>
  <si>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</si>
  <si>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</si>
  <si>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</si>
  <si>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</si>
  <si>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</si>
  <si>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</si>
  <si>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</si>
  <si>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</si>
  <si>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</si>
  <si>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</si>
  <si>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</si>
  <si>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</si>
  <si>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</si>
  <si>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</si>
  <si>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</si>
  <si>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</si>
  <si>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</si>
  <si>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</si>
  <si>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</si>
  <si>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</si>
  <si>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</si>
  <si>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</si>
  <si>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</si>
  <si>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</si>
  <si>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</si>
  <si>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</si>
  <si>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</si>
  <si>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</si>
  <si>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Robes of the Magna</t>
  </si>
  <si>
    <t>5 - Mythical</t>
  </si>
  <si>
    <t>Clothing</t>
  </si>
  <si>
    <t>Silk</t>
  </si>
  <si>
    <t>:</t>
  </si>
  <si>
    <t>14</t>
  </si>
  <si>
    <t>Soft</t>
  </si>
  <si>
    <t>Grants +2 to all pillars of magic. All beneficial magic has a -5 DR while all adversarial magic targetting you has a +5 DR , Indestructible</t>
  </si>
  <si>
    <t>10 - Priceless</t>
  </si>
  <si>
    <t>4- Indestructible</t>
  </si>
  <si>
    <t>Mask of the Magna</t>
  </si>
  <si>
    <t>Adamant</t>
  </si>
  <si>
    <t>33</t>
  </si>
  <si>
    <t>Hard</t>
  </si>
  <si>
    <t>Allows casting of "Mind Blank" once per day. Indestructible</t>
  </si>
  <si>
    <t>Ring of Telekinesis</t>
  </si>
  <si>
    <t>4 - Noble</t>
  </si>
  <si>
    <t>Other</t>
  </si>
  <si>
    <t>Silver</t>
  </si>
  <si>
    <t>17</t>
  </si>
  <si>
    <t>Allows casting of "telekinesis" targetting unworn or uncarried objects.</t>
  </si>
  <si>
    <t>7 - Costly</t>
  </si>
  <si>
    <t>3 - Undamaged</t>
  </si>
  <si>
    <t>Manabot Interface MkXVI</t>
  </si>
  <si>
    <t>Catalyst</t>
  </si>
  <si>
    <t>Graphene</t>
  </si>
  <si>
    <t>45</t>
  </si>
  <si>
    <t>Equivalent to MkV Nano Interface. Partial Supression of Strange Vibrations. Memory 20. Mana 40. Force:15 . +2 to all Save Mods. Immune to magic.</t>
  </si>
  <si>
    <t>Leather Boot (L)</t>
  </si>
  <si>
    <t>3 - Munitions</t>
  </si>
  <si>
    <t>Leather</t>
  </si>
  <si>
    <t>-</t>
  </si>
  <si>
    <t>R</t>
  </si>
  <si>
    <t/>
  </si>
  <si>
    <t>Hard to Repair</t>
  </si>
  <si>
    <t>4 - Inexpensive</t>
  </si>
  <si>
    <t>Leather Boot (R)</t>
  </si>
  <si>
    <t>Energy Shield</t>
  </si>
  <si>
    <t>Heavy Armor</t>
  </si>
  <si>
    <t>80</t>
  </si>
  <si>
    <t>P</t>
  </si>
  <si>
    <t>Immune to fire, electricity, and acid.</t>
  </si>
  <si>
    <t>Teru's Gift</t>
  </si>
  <si>
    <t>One-Handed Weapon</t>
  </si>
  <si>
    <t>Steel</t>
  </si>
  <si>
    <t>60</t>
  </si>
  <si>
    <t>30</t>
  </si>
  <si>
    <t>0</t>
  </si>
  <si>
    <t>40 ft</t>
  </si>
  <si>
    <t>23</t>
  </si>
  <si>
    <t>Quick Reload</t>
  </si>
  <si>
    <t>8 - Valuable</t>
  </si>
  <si>
    <t>Flak Vest</t>
  </si>
  <si>
    <t>Light Armor</t>
  </si>
  <si>
    <t>Carbon Fiber</t>
  </si>
  <si>
    <t>42</t>
  </si>
  <si>
    <t>Brittle</t>
  </si>
  <si>
    <t>P.R.A.</t>
  </si>
  <si>
    <t>50</t>
  </si>
  <si>
    <t>10 of swords</t>
  </si>
  <si>
    <t>2 of chalices</t>
  </si>
  <si>
    <t>Ace of Swords</t>
  </si>
  <si>
    <t>Time Pearl</t>
  </si>
  <si>
    <t>God tools</t>
  </si>
  <si>
    <t>Wheel of fortune</t>
  </si>
  <si>
    <t>Death</t>
  </si>
  <si>
    <t>Death defy- dwell</t>
  </si>
  <si>
    <t>Unstable perfect materia</t>
  </si>
  <si>
    <t>Jude's Special EM Plasma Round</t>
  </si>
  <si>
    <t>20</t>
  </si>
  <si>
    <t>40</t>
  </si>
  <si>
    <t>Ammo for Jude's Gun</t>
  </si>
  <si>
    <t>9 - Extravagant</t>
  </si>
  <si>
    <t>3 - Substantial</t>
  </si>
  <si>
    <t>Electric Plasma Round</t>
  </si>
  <si>
    <t>200</t>
  </si>
  <si>
    <t>Jude's EM Revolver</t>
  </si>
  <si>
    <t>Carbon Fiber Advanced Weave</t>
  </si>
  <si>
    <t>Electric Magnet revolver, 8 Chambers; Unbreakable, Unblockable; 3 Basic Actions to fully reload (1 per 3 chambers)</t>
  </si>
  <si>
    <t>Leather Boot</t>
  </si>
  <si>
    <t>TOTAL WEIGHT</t>
  </si>
  <si>
    <t>Vitals</t>
  </si>
  <si>
    <t>Undamaged</t>
  </si>
  <si>
    <t xml:space="preserve"> </t>
  </si>
  <si>
    <t>BODY</t>
  </si>
  <si>
    <t>CLOTHING</t>
  </si>
  <si>
    <t>LIGHT ARMOR</t>
  </si>
  <si>
    <t>HEAVY ARMOR</t>
  </si>
  <si>
    <t>MAX</t>
  </si>
  <si>
    <t>DEAD</t>
  </si>
  <si>
    <t>Wounds Treated</t>
  </si>
  <si>
    <t>Worn</t>
  </si>
  <si>
    <t>CURRENT</t>
  </si>
  <si>
    <t>WOUNDED</t>
  </si>
  <si>
    <t>UNCONCIOUS</t>
  </si>
  <si>
    <t>FORTITUDE</t>
  </si>
  <si>
    <t>HEAL RATE</t>
  </si>
  <si>
    <t>APT</t>
  </si>
  <si>
    <t>Blocking Capability is per Defensive action</t>
  </si>
  <si>
    <t>SPEED</t>
  </si>
  <si>
    <t>BLOCKING CAPABILITY</t>
  </si>
  <si>
    <t>JUMP</t>
  </si>
  <si>
    <t>BLOCK MOD</t>
  </si>
  <si>
    <t>UNARMED DMG</t>
  </si>
  <si>
    <t>5 - Munitions</t>
  </si>
  <si>
    <t>1 - Featherlight</t>
  </si>
  <si>
    <t>Exploits</t>
  </si>
  <si>
    <t>DESCRIPTION</t>
  </si>
  <si>
    <t>X</t>
  </si>
  <si>
    <t>KV</t>
  </si>
  <si>
    <t>Super Tech</t>
  </si>
  <si>
    <t>Machine Interfacing</t>
  </si>
  <si>
    <t>Level I</t>
  </si>
  <si>
    <t>Supernatural</t>
  </si>
  <si>
    <t>Death's Hand</t>
  </si>
  <si>
    <t>Social</t>
  </si>
  <si>
    <t>Alluring Spark</t>
  </si>
  <si>
    <t>Level III</t>
  </si>
  <si>
    <t>Heavenly Beauty</t>
  </si>
  <si>
    <t>Learning</t>
  </si>
  <si>
    <t>Fast Learner</t>
  </si>
  <si>
    <t>Scatterbrained</t>
  </si>
  <si>
    <t>Knowledge is Power</t>
  </si>
  <si>
    <t>Combat</t>
  </si>
  <si>
    <t>Combat Prowess</t>
  </si>
  <si>
    <t>Negative</t>
  </si>
  <si>
    <t>Bad Blood with (X)</t>
  </si>
  <si>
    <t>Neo-Humans</t>
  </si>
  <si>
    <t>Weak Weave Connection</t>
  </si>
  <si>
    <t>Magic</t>
  </si>
  <si>
    <t>Attunement (X)</t>
  </si>
  <si>
    <t>Severity</t>
  </si>
  <si>
    <t>Leyline of Ascalia</t>
  </si>
  <si>
    <t>Utility</t>
  </si>
  <si>
    <t>There's No Such Thing as Luck</t>
  </si>
  <si>
    <t>Battery Body</t>
  </si>
  <si>
    <t>Sacred Exchange</t>
  </si>
  <si>
    <t>Esther Conduit</t>
  </si>
  <si>
    <t>Natural</t>
  </si>
  <si>
    <t>Neo-Human Prestige</t>
  </si>
  <si>
    <t>Nanokinesis (Interface Upgrade)</t>
  </si>
  <si>
    <t>Perfect Machine (Interface Upgrade)</t>
  </si>
  <si>
    <t>Photonic Leap (Single Run)</t>
  </si>
  <si>
    <t>P.R.A. Precise Reaction Analysis (Loop)</t>
  </si>
  <si>
    <t>Absorb Light (Loop)</t>
  </si>
  <si>
    <t>Flesh Reweave (Loop)
5 Memory</t>
  </si>
  <si>
    <t>Adrenaline Spark (Single Run)</t>
  </si>
  <si>
    <t>Matter Manipulation (Interface Upgrade)</t>
  </si>
  <si>
    <t>Combat Tactics</t>
  </si>
  <si>
    <t>Level II</t>
  </si>
  <si>
    <t>Quantum Memory Resonance (Loop)</t>
  </si>
  <si>
    <t>Turbo Injection (Single Run)</t>
  </si>
  <si>
    <t>Death Becomes Me</t>
  </si>
  <si>
    <t>Scan &amp; Replicate (Interface Upgrade)</t>
  </si>
  <si>
    <t>Babel Translation (Interface Upgrade)</t>
  </si>
  <si>
    <t>Self-repairing (Interface Upgrade)</t>
  </si>
  <si>
    <t>If/Then (Interface Upgrade)</t>
  </si>
  <si>
    <t>Re-Spec the System (Interface Upgrade)</t>
  </si>
  <si>
    <t>Firewall (Interface Upgrade)</t>
  </si>
  <si>
    <t>Diagnostic Scan (Loop)</t>
  </si>
  <si>
    <t>Mechanical Mimic (Single Run)</t>
  </si>
  <si>
    <t>Nueral Installation Link (Single Run)</t>
  </si>
  <si>
    <t>Down to the Nano (Single Run)</t>
  </si>
  <si>
    <t>Level Playing Field (Single Run)</t>
  </si>
  <si>
    <t>Iron Mind</t>
  </si>
  <si>
    <t>With Imagination, Anything is possible</t>
  </si>
  <si>
    <t>Fortify Your Mind!</t>
  </si>
  <si>
    <t>Hey! Listen!</t>
  </si>
  <si>
    <t>Resolute</t>
  </si>
  <si>
    <t>Die Hard</t>
  </si>
  <si>
    <t>Woven Spells</t>
  </si>
  <si>
    <t>KARMA SPENT SPELLWEAVING</t>
  </si>
  <si>
    <t>MONTHS SPENT SPELLWEAVING</t>
  </si>
  <si>
    <t>DOMAINS</t>
  </si>
  <si>
    <t>DR</t>
  </si>
  <si>
    <t>CASTING SPEED</t>
  </si>
  <si>
    <t>REQS</t>
  </si>
  <si>
    <t>DURATION</t>
  </si>
  <si>
    <t>TARGETS</t>
  </si>
  <si>
    <t>ALTERATION</t>
  </si>
  <si>
    <t>RESTORATION</t>
  </si>
  <si>
    <t>ENCHANTMENT</t>
  </si>
  <si>
    <t>DIVINATION</t>
  </si>
  <si>
    <t>DISSOLUTION</t>
  </si>
  <si>
    <t>ABJURATION</t>
  </si>
  <si>
    <t>ILLUSION</t>
  </si>
  <si>
    <t>FORTUNE</t>
  </si>
  <si>
    <t>FORCE</t>
  </si>
  <si>
    <t>CONJURATION</t>
  </si>
  <si>
    <t>RAW</t>
  </si>
  <si>
    <t>RESIST</t>
  </si>
  <si>
    <t>VERBAL</t>
  </si>
  <si>
    <t>SOMATIC</t>
  </si>
  <si>
    <t>C/D</t>
  </si>
  <si>
    <t>Sap Vitality</t>
  </si>
  <si>
    <t>+</t>
  </si>
  <si>
    <t>Virility</t>
  </si>
  <si>
    <t>Instant</t>
  </si>
  <si>
    <t>2 - Very Close 25ft</t>
  </si>
  <si>
    <t xml:space="preserve">You fire a small needle of arcane energy, sapping the vitality from a target. Target’s endurance is reduced by 15 and they fall prone.
</t>
  </si>
  <si>
    <t>Volumen's Greedy Grasp</t>
  </si>
  <si>
    <t>Ingenuity</t>
  </si>
  <si>
    <t>By compressing the space between you and an object within a distance of 25 feet, you reach out and grab the object and then let space restore to its usual form, making it seem like the object just vanished from its location and appeared in your hand. If the object is in the possession of another creature and you wish to stealthily take it, make a Manual Dexterity Check against the target’s Ingenuity. Upon success, you can grab the object without the target noticing. Upon failure, the target notices the grasp and can attempt a Force contest  against Manual Dexterity to try and hold onto the object, losing it to you upon failure.</t>
  </si>
  <si>
    <t>Detection of Nature</t>
  </si>
  <si>
    <t>1/Stat Revealed</t>
  </si>
  <si>
    <t>You focus on the intrinsic nature instead of external qualities of a target object or creature. Declare one or more stats you wish to learn on the target and make a Divination roll with the DR equal to the number of stats. On a success, you learn the exact value for the stat(s).</t>
  </si>
  <si>
    <t>Gift of Alacrity</t>
  </si>
  <si>
    <t>1 - Touch 5ft</t>
  </si>
  <si>
    <t>You touch a willing creature. For 24 hours, the target gets a leverage to its Nimbleness in combat.</t>
  </si>
  <si>
    <t>Photonic Seeking Pulse</t>
  </si>
  <si>
    <t>6 - Extended 50 mi</t>
  </si>
  <si>
    <t>Immense objects or powerful creatures tend to warp the space-time around the region they are in. Upon casting this spell, you become immediately aware of any creature with a Karmic Value (KV) of 400 or higher as well as the creature type.</t>
  </si>
  <si>
    <t>Immovable Object</t>
  </si>
  <si>
    <t>Medium (Hours):</t>
  </si>
  <si>
    <t xml:space="preserve">You touch an object that weighs no more than 10 pounds and cause it to become magically fixed in place for 1 hour. You and the creatures you designate when you cast this spell can move the object normally. You can also set a password that, when spoken within 5 feet of the object, suppresses this spell for 1 minute.
The object can hold up to 4,000 pounds of weight. More weight causes this ability to deactivate and fall. A creature with Strength of 8 or higher can use a basic action to move the object up to 10 feet.
</t>
  </si>
  <si>
    <t>Wrist Pocket</t>
  </si>
  <si>
    <t>You flick your wrist, causing one small object in your hand to vanish. The object, which only you can be holding and can weigh no more than 5 pounds, is transported to an extradimensional space, where it remains for the duration. Until the spell ends, you can use 1 magic action to summon the object to your free hand, and you can use 1 magic action to return the object to the extradimensional space. An object still in the pocket plane when the spell ends appears in your space, at your feet.</t>
  </si>
  <si>
    <t>Boundary of the Event Horizon</t>
  </si>
  <si>
    <t>You manipulate the Event Horizon of the Bounded Singularity for a short period, making time run slower for you. As a result, you disappear, skipping ahead in time to the beginning of your next turn. After reappearing, you may use 1 Magic Action to skip further ahead in time to the beginning of your next turn in combat.</t>
  </si>
  <si>
    <t>Kether's Binary Defense</t>
  </si>
  <si>
    <t>You conjure two small orbs of pure energy that begin to swirl around and protect you. When you are hit by an attack or take damage from a spell or similar effect, the orbs move in such a way to protect you, taking the damage for you if you block. The orbs have a resistance of 20 Hard. If the damage surpasses the resistance of the orbs the remaining damage goes to the caster.</t>
  </si>
  <si>
    <t>Photonic View</t>
  </si>
  <si>
    <t>Constant</t>
  </si>
  <si>
    <t>Targeting far away locations that you have a direct line of sight on and having a medium between you and the location through which light can traverse, you pull a focused pocket of space towards you, allowing you to instantaneously view (but not hear) what is happening in this specific location. Due to the compression of space, the light appears slightly blue-shifted, allowing you to even see creatures that are invisible in regular light.</t>
  </si>
  <si>
    <t>Gravity Sinkhole</t>
  </si>
  <si>
    <t>Turns</t>
  </si>
  <si>
    <t>20-Foot Radius</t>
  </si>
  <si>
    <t>4 - Medium 100ft</t>
  </si>
  <si>
    <t xml:space="preserve">A 20-foot-radius sphere of crushing force forms at a point you can see within range and tugs at the creatures there. Each creature in the sphere takes 30 Bashing damage and is pulled in a straight line toward the center of the sphere, ending in an unoccupied space as close to the center as possible (even if that space is in the air). </t>
  </si>
  <si>
    <t>Mineral Scan</t>
  </si>
  <si>
    <t>You extend your senses to feel the density or underlying rock strata. By measuring the extent of force of gravity you can determine the masses in the rocks around you in a single direction up to 50 miles. You are immediately aware of any minerals in that direction of your choice such as oil, coal, metals, ores, and precious gems.</t>
  </si>
  <si>
    <t>Temporal Shunt</t>
  </si>
  <si>
    <t>Spontaneous</t>
  </si>
  <si>
    <t>3 - Close 50ft</t>
  </si>
  <si>
    <t>you target the triggering creature, causing it to be thrown to another point in time and causing the attack to miss or the spell to be wasted. At the start of its next turn, the target reappears where it was or in the closest unoccupied space. The target does not remember you casting the spell or being affected by it.</t>
  </si>
  <si>
    <t>Photonic Jump</t>
  </si>
  <si>
    <t>You compress the space between you and an unoccupied space you can see within range, allowing you and one willing creature to step into the new location and violently release the compressed space behind you. Contest each creature’s Nimbleness between the initial location and the space you teleported to. On a fail, they take 15 Lightning  damage.</t>
  </si>
  <si>
    <t>Gravity Fissure</t>
  </si>
  <si>
    <t>Toughness</t>
  </si>
  <si>
    <t>100-foot line</t>
  </si>
  <si>
    <t>You manifest a ravine of gravitational energy in a line originating from you that is 100 feet long and 5 feet wide. Each creature within 10 feet of the line takes 45 fire damage and is pulled toward the line until the creature is in its area.</t>
  </si>
  <si>
    <t>Volumen's Destruction Beam</t>
  </si>
  <si>
    <t>Nimbleness</t>
  </si>
  <si>
    <t>60-foot line</t>
  </si>
  <si>
    <t xml:space="preserve">You partially release the bands around a Bounded Singularity, sucking in the gaseous matter around you and crushing it into super-hot plasma before releasing it in a beam of pure destruction. All creatures in a 60-foot line take 60 fire damage. Any magical darkness created in the path of this beam is dispelled. </t>
  </si>
  <si>
    <t>Reality Break</t>
  </si>
  <si>
    <t>Using a Bounded Singularity, you shatter the barriers between realities and timelines, thrusting a creature into turmoil and madness. The target must be contested against its Ingenuity, or it can't take reactions until the spell ends. The affected target must also roll a d10 at the start of each of its turns; the number rolled determines what happens to the target, as shown on the Reality Break Effects table.</t>
  </si>
  <si>
    <t>Dark Star</t>
  </si>
  <si>
    <t>40-foot Radius Sphere</t>
  </si>
  <si>
    <t>This spell creates a sphere centered on a point you choose within range. The sphere can have a radius of up to 40 feet. The area within this sphere is filled with magical darkness and crushing gravitational force. For the duration, the spell's area is difficult terrain. A Creature with darkvision can't see though the magical darkness, and non magical light cannot illuminate it. No sound can be created within or pass through the area. Any creature or object entirely inside the sphere is immune to thunder damage, and creatures are deafened while entirely inside it. Casting a spell that includes a verbal component is impossible there.
Any creature that enters the spell's area for the first time on a turn or starts its turn there must be contested against its Toughness. The creature takes 50 Bashing damage on a failed resist and is pulled to the center or half as much damage on a successful resist. Creature reduced to 0 hit points by this damage is disintegrated. A disintegrated creature and everything it is wearing and carrying, except magic items, are reduced to a pile of fine gray dust.</t>
  </si>
  <si>
    <t>Time Ravage</t>
  </si>
  <si>
    <t>You target a creature you can see within range, putting its physical form through the devastation of rapid aging. The target must be contested against its Virility, taking 60 electric damage on a failed save, or half as much damage on a successful one. If the save fails, the target also ages to the point where it has only 30 days left before it dies of old age. In this aged state, the target has a +10 DR on all of  its skill checks, a -5 Mod to all of their Saves and its walking speed is halved. Only Raw Restoration magic at a DR of 50 can reverse these effects.</t>
  </si>
  <si>
    <t>Gravity Vortex</t>
  </si>
  <si>
    <t>60-foot Radius Sphere</t>
  </si>
  <si>
    <t xml:space="preserve">You unleash the full destructive power of a Bounded Singularity, warping all of space, time, and light around you. All untethered objects and creatures within range are pulled towards the Singularity and a 50-foot radius of total darkness is created along with a 600-foot radius of partial darkness. All creatures you choose in range must be contested against their Toughness. A creature takes 100  bashing damage on a failed resist, or half as much from a successful resist. Either way, they are still pulled toward the singularity. </t>
  </si>
  <si>
    <t>Volumen's Traverse Space</t>
  </si>
  <si>
    <t>10-foot Sphere</t>
  </si>
  <si>
    <t>9 - Intergalactic (Conjuration) Current Universe</t>
  </si>
  <si>
    <t>Instead of moving through space, you are able to move space through you. Compressing the distance between you and a location on the same universe you know the direction of, you can travel vast distances in a single step, bending and weaving obstacles as they occur. In this manner, you may transport yourself and up to 8 willing creatures in a 10 foot sphere around you. If there is an impassable obstacle between you and your destination, you are shunted to the nearest traversable location.</t>
  </si>
  <si>
    <t>Notes</t>
  </si>
  <si>
    <t>ROOT</t>
  </si>
  <si>
    <t>BRANCHES</t>
  </si>
  <si>
    <t>THORNS</t>
  </si>
  <si>
    <t>BLOSSOMS</t>
  </si>
  <si>
    <t>3 yrs on Vindicator</t>
  </si>
  <si>
    <t>20 yrs outside reality</t>
  </si>
  <si>
    <r>
      <rPr>
        <rFont val="Inknut Antiqua"/>
        <b/>
        <color rgb="FF582A72"/>
        <sz val="12.0"/>
        <u/>
      </rPr>
      <t>Loaded Programs:</t>
    </r>
    <r>
      <rPr>
        <rFont val="Inknut Antiqua"/>
        <color rgb="FF582A72"/>
        <sz val="12.0"/>
      </rPr>
      <t xml:space="preserve"> Photonic Leap, P.R.A</t>
    </r>
  </si>
  <si>
    <r>
      <rPr>
        <rFont val="Inknut Antiqua"/>
        <b/>
        <color rgb="FF582A72"/>
        <sz val="12.0"/>
        <u/>
      </rPr>
      <t>Known Single Run Programs:</t>
    </r>
    <r>
      <rPr>
        <rFont val="Inknut Antiqua"/>
        <color rgb="FF582A72"/>
        <sz val="12.0"/>
      </rPr>
      <t xml:space="preserve"> Photonic Leap, </t>
    </r>
  </si>
  <si>
    <r>
      <rPr>
        <rFont val="Inknut Antiqua"/>
        <b/>
        <color rgb="FF582A72"/>
        <sz val="12.0"/>
        <u/>
      </rPr>
      <t>Known Program Loops:</t>
    </r>
    <r>
      <rPr>
        <rFont val="Inknut Antiqua"/>
        <color rgb="FF582A72"/>
        <sz val="12.0"/>
      </rPr>
      <t xml:space="preserve"> P.R.A., Q.M.R., Absorb Light, </t>
    </r>
  </si>
  <si>
    <r>
      <rPr>
        <rFont val="Inknut Antiqua"/>
        <b/>
        <color rgb="FF582A72"/>
        <sz val="12.0"/>
        <u/>
      </rPr>
      <t>Interface Upgrades:</t>
    </r>
    <r>
      <rPr>
        <rFont val="Inknut Antiqua"/>
        <color rgb="FF582A72"/>
        <sz val="12.0"/>
      </rPr>
      <t xml:space="preserve"> Perfect Machine, Nanokinesis</t>
    </r>
  </si>
  <si>
    <t>Leyline to Akashic Records -- Restores all mana?</t>
  </si>
  <si>
    <t xml:space="preserve">If/Then/Else - </t>
  </si>
  <si>
    <t>Next physical attack is a crit</t>
  </si>
  <si>
    <t>Dwell/speak/burn</t>
  </si>
  <si>
    <t>Death- Defy death/Two random skills swapped/+3 to death saves</t>
  </si>
  <si>
    <t>Lover- Bonus on speaking/auto success on seduction/?</t>
  </si>
  <si>
    <t>Wheel of Fortune- Random effect/?/?</t>
  </si>
  <si>
    <t>Unarmed - 4</t>
  </si>
  <si>
    <t>Social insight - 2</t>
  </si>
  <si>
    <t>Liturature - 2</t>
  </si>
  <si>
    <t>Environmental Awareness - 2</t>
  </si>
  <si>
    <t>Mercury - Conjuration</t>
  </si>
  <si>
    <t>Copper - Enchantment</t>
  </si>
  <si>
    <t>Gold - Abjuration</t>
  </si>
  <si>
    <t>You must obey the commands of  your creator/You must seek the preservation of life with empathy/You should relish opportunities for progression</t>
  </si>
  <si>
    <t>Portrait picture URL:</t>
  </si>
  <si>
    <t>https://docs.google.com/uc?export=view&amp;id=1EJaXbLMbbmH06Y9mJy6u5RYyqLZIQLfM</t>
  </si>
  <si>
    <t>Unlock 4th Goal&amp;Value:</t>
  </si>
  <si>
    <t>Unlock 5th Goal&amp;Value:</t>
  </si>
  <si>
    <t>Nano Sustenance (Remove)</t>
  </si>
  <si>
    <t>Quantum Memory Resonance (Loop)
3 Memory</t>
  </si>
  <si>
    <t>Memory Leak (Single Run)</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</si>
  <si>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</si>
  <si>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</si>
  <si>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</si>
  <si>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</si>
  <si>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</si>
  <si>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</si>
  <si>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</si>
  <si>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</si>
  <si>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</si>
  <si>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</si>
  <si>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</si>
  <si>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</si>
  <si>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</si>
  <si>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</si>
  <si>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</si>
  <si>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Impossible Luck</t>
  </si>
  <si>
    <t>Esther Locked</t>
  </si>
  <si>
    <t>Diplomatic Immunity in (X)</t>
  </si>
  <si>
    <t>Letting Off Steam</t>
  </si>
  <si>
    <t>You Have No Power Over Me!</t>
  </si>
  <si>
    <t>Gifted</t>
  </si>
  <si>
    <t>Hive Mind</t>
  </si>
  <si>
    <t>Jack of All Trades</t>
  </si>
  <si>
    <t>Muscle Memory</t>
  </si>
  <si>
    <t>Self Teacher</t>
  </si>
  <si>
    <t>Way of the Fists</t>
  </si>
  <si>
    <t>Battle Momentum</t>
  </si>
  <si>
    <t>Battle Proficiency</t>
  </si>
  <si>
    <t>Brawler</t>
  </si>
  <si>
    <t>Combat Endurance</t>
  </si>
  <si>
    <t>Counter Combatives</t>
  </si>
  <si>
    <t>Destroy Guard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</si>
  <si>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</si>
  <si>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</si>
  <si>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</si>
  <si>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</si>
  <si>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</si>
  <si>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</si>
  <si>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</si>
  <si>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</si>
  <si>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</si>
  <si>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</si>
  <si>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</si>
  <si>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</si>
  <si>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</si>
  <si>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</si>
  <si>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</si>
  <si>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</si>
  <si>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</si>
  <si>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</si>
  <si>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</si>
  <si>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</si>
  <si>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</si>
  <si>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</si>
  <si>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</si>
  <si>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</si>
  <si>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</si>
  <si>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</si>
  <si>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</si>
  <si>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</si>
  <si>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</si>
  <si>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</si>
  <si>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</si>
  <si>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</si>
  <si>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</si>
  <si>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Bane (X)</t>
  </si>
  <si>
    <t>Broken Heart</t>
  </si>
  <si>
    <t>Emotional Baggage</t>
  </si>
  <si>
    <t>Emotional Scars</t>
  </si>
  <si>
    <t>Emotional Torment</t>
  </si>
  <si>
    <t>Heart is Taken by (X)</t>
  </si>
  <si>
    <t>I'm Awkward</t>
  </si>
  <si>
    <t>Impaired Taste</t>
  </si>
  <si>
    <t>Karma is a Bitch</t>
  </si>
  <si>
    <t>Over-Thinker</t>
  </si>
  <si>
    <t>Silver Spoon</t>
  </si>
  <si>
    <t>Stagnant Vitality</t>
  </si>
  <si>
    <t>Static</t>
  </si>
  <si>
    <t>Strange Vibrations</t>
  </si>
  <si>
    <t>Strange Vibrations (Partial Supression)</t>
  </si>
  <si>
    <t>Teetotaler</t>
  </si>
  <si>
    <t>That's Mine!</t>
  </si>
  <si>
    <t>Enchanted Performer</t>
  </si>
  <si>
    <t>Ritualist</t>
  </si>
  <si>
    <t>Altruistic Spark</t>
  </si>
  <si>
    <t>Blessed Arcana</t>
  </si>
  <si>
    <t>Demonic Arts</t>
  </si>
  <si>
    <t>Feel the Esther</t>
  </si>
  <si>
    <t>Parsley, Sage, Rosemary, and Thyme</t>
  </si>
  <si>
    <t>Selfish Spark</t>
  </si>
  <si>
    <t>Karmic Power</t>
  </si>
  <si>
    <t>Don't Break My Concentration</t>
  </si>
  <si>
    <t>Attunement Unlocked</t>
  </si>
  <si>
    <t>*Hello Darkness, My Old Friend</t>
  </si>
  <si>
    <t>*Inspirational Performer</t>
  </si>
  <si>
    <t>*Marked for Death</t>
  </si>
  <si>
    <t>Fleet Footed</t>
  </si>
  <si>
    <t>Head on a Swivel</t>
  </si>
  <si>
    <t>Know Thy Mark</t>
  </si>
  <si>
    <t>Pinnacle of Health</t>
  </si>
  <si>
    <t>Recon Expert</t>
  </si>
  <si>
    <t>Sharp Memory</t>
  </si>
  <si>
    <t>Resolute Mind</t>
  </si>
  <si>
    <t>Master of Disguise</t>
  </si>
  <si>
    <t>Meditation</t>
  </si>
  <si>
    <t>Easy to Find Work</t>
  </si>
  <si>
    <t>Natural Sportsman</t>
  </si>
  <si>
    <t>University Contacts</t>
  </si>
  <si>
    <t>Colossal Form</t>
  </si>
  <si>
    <t>Dark Sight</t>
  </si>
  <si>
    <t>Dragon Form</t>
  </si>
  <si>
    <t>Eyeshine</t>
  </si>
  <si>
    <t>Hardy</t>
  </si>
  <si>
    <t>Ingenious</t>
  </si>
  <si>
    <t>Limb Reattachment</t>
  </si>
  <si>
    <t>Manufactured Body (X)</t>
  </si>
  <si>
    <t>Monstrous</t>
  </si>
  <si>
    <t>Night Sight</t>
  </si>
  <si>
    <t>Nimble</t>
  </si>
  <si>
    <t>Resilient</t>
  </si>
  <si>
    <t>Robust</t>
  </si>
  <si>
    <t>Small Hands</t>
  </si>
  <si>
    <t>Tough</t>
  </si>
  <si>
    <t>Witty</t>
  </si>
  <si>
    <t>Old Man Strength</t>
  </si>
  <si>
    <t>Human Prestige</t>
  </si>
  <si>
    <t>Cambion Prestige</t>
  </si>
  <si>
    <t>Elven Prestige</t>
  </si>
  <si>
    <t>Ancient Soul</t>
  </si>
  <si>
    <t>Combat Improvision</t>
  </si>
  <si>
    <t>Allergic to (X)</t>
  </si>
  <si>
    <t>Chaotic Spark</t>
  </si>
  <si>
    <t>Field Repair</t>
  </si>
  <si>
    <t>Ambitious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</si>
</sst>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0">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sz val="10.0"/>
      <name val="Inknut Antiqua"/>
    </font>
    <font>
      <sz val="8.0"/>
      <name val="Inknut Antiqua"/>
    </font>
    <font>
      <sz val="9.0"/>
      <color rgb="FF596750"/>
      <name val="Inknut Antiqua"/>
    </font>
    <font>
      <sz val="8.0"/>
      <color rgb="FF582A72"/>
      <name val="Inknut Antiqua"/>
    </font>
    <font>
      <sz val="10.0"/>
      <color rgb="FFFFFFFF"/>
      <name val="Montserrat"/>
    </font>
    <font>
      <color rgb="FFFFFFFF"/>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b/>
      <sz val="8.0"/>
      <color rgb="FF582A72"/>
      <name val="Montserrat"/>
    </font>
    <font>
      <sz val="11.0"/>
      <color rgb="FF000000"/>
      <name val="Inconsolata"/>
    </font>
    <font>
      <b/>
      <color rgb="FF582A72"/>
      <name val="Inknut Antiqua"/>
    </font>
    <font>
      <b/>
      <sz val="10.0"/>
      <color rgb="FF582A72"/>
      <name val="Inknut Antiqua"/>
    </font>
    <font>
      <sz val="7.0"/>
      <color rgb="FFFBFBEC"/>
      <name val="Montserrat"/>
    </font>
    <font>
      <b/>
      <sz val="9.0"/>
      <color rgb="FF582A72"/>
      <name val="Inknut Antiqua"/>
    </font>
    <font>
      <b/>
      <sz val="12.0"/>
      <color rgb="FF582A72"/>
      <name val="Inknut Antiqua"/>
    </font>
    <font>
      <sz val="6.0"/>
      <color rgb="FF582A72"/>
      <name val="Inknut Antiqua"/>
    </font>
    <font>
      <sz val="14.0"/>
      <name val="Montserrat"/>
    </font>
    <font>
      <color rgb="FF000000"/>
      <name val="Montserrat"/>
    </font>
    <font>
      <color rgb="FF000000"/>
    </font>
    <font>
      <b/>
      <color rgb="FF582A72"/>
      <name val="Montserrat"/>
    </font>
    <font>
      <u/>
      <color rgb="FF1155CC"/>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48">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1"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1" fontId="1" numFmtId="0" xfId="0" applyAlignment="1" applyFont="1">
      <alignment readingOrder="0"/>
    </xf>
    <xf borderId="19" fillId="9" fontId="8" numFmtId="0" xfId="0" applyAlignment="1" applyBorder="1" applyFont="1">
      <alignment horizontal="center" readingOrder="0" shrinkToFit="0" vertical="top" wrapText="1"/>
    </xf>
    <xf borderId="20" fillId="0" fontId="2" numFmtId="0" xfId="0" applyBorder="1" applyFont="1"/>
    <xf borderId="20" fillId="9"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4" numFmtId="0" xfId="0" applyAlignment="1" applyBorder="1" applyFont="1">
      <alignment horizontal="center" readingOrder="0" shrinkToFit="0" vertical="center" wrapText="1"/>
    </xf>
    <xf borderId="16" fillId="5" fontId="5"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4" fillId="11" fontId="1" numFmtId="0" xfId="0" applyAlignment="1" applyBorder="1" applyFont="1">
      <alignment readingOrder="0"/>
    </xf>
    <xf borderId="21" fillId="5" fontId="14" numFmtId="0" xfId="0" applyAlignment="1" applyBorder="1" applyFont="1">
      <alignment horizontal="center" readingOrder="0" shrinkToFit="0" vertical="center"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10" fontId="7" numFmtId="0" xfId="0" applyAlignment="1" applyFont="1">
      <alignment horizontal="center" readingOrder="0" vertical="center"/>
    </xf>
    <xf borderId="0" fillId="9" fontId="19" numFmtId="0" xfId="0" applyAlignment="1" applyFont="1">
      <alignment horizontal="left" readingOrder="0" vertical="top"/>
    </xf>
    <xf borderId="0" fillId="7" fontId="19" numFmtId="0" xfId="0" applyAlignment="1" applyFont="1">
      <alignment horizontal="left" readingOrder="0" vertical="top"/>
    </xf>
    <xf borderId="0" fillId="12" fontId="7" numFmtId="0" xfId="0" applyAlignment="1" applyFont="1">
      <alignment horizontal="center" readingOrder="0" vertical="center"/>
    </xf>
    <xf borderId="0" fillId="9" fontId="2" numFmtId="0" xfId="0" applyFont="1"/>
    <xf borderId="0" fillId="9" fontId="20" numFmtId="0" xfId="0" applyAlignment="1" applyFont="1">
      <alignment horizontal="center" readingOrder="0" vertical="bottom"/>
    </xf>
    <xf borderId="0" fillId="9"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4" fontId="22" numFmtId="0" xfId="0" applyAlignment="1" applyBorder="1" applyFill="1" applyFont="1">
      <alignment horizontal="center" readingOrder="0" shrinkToFit="0" vertical="center" wrapText="1"/>
    </xf>
    <xf borderId="0" fillId="6" fontId="1" numFmtId="0" xfId="0" applyFont="1"/>
    <xf borderId="16" fillId="10" fontId="22"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1" fontId="23" numFmtId="0" xfId="0" applyAlignment="1" applyFont="1">
      <alignment horizontal="center" readingOrder="0" shrinkToFit="0" vertical="center" wrapText="1"/>
    </xf>
    <xf borderId="0" fillId="11" fontId="20" numFmtId="0" xfId="0" applyAlignment="1" applyFont="1">
      <alignment horizontal="center" shrinkToFit="0" vertical="center" wrapText="1"/>
    </xf>
    <xf borderId="0" fillId="11" fontId="20" numFmtId="0" xfId="0" applyAlignment="1" applyFont="1">
      <alignment vertical="center"/>
    </xf>
    <xf borderId="29" fillId="0" fontId="14" numFmtId="0" xfId="0" applyAlignment="1" applyBorder="1" applyFont="1">
      <alignment horizontal="center" readingOrder="0" vertical="center"/>
    </xf>
    <xf borderId="0" fillId="10" fontId="24" numFmtId="0" xfId="0" applyAlignment="1" applyFont="1">
      <alignment horizontal="center" readingOrder="0" shrinkToFit="0" vertical="center" wrapText="1"/>
    </xf>
    <xf borderId="0" fillId="11"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25" numFmtId="0" xfId="0" applyAlignment="1" applyBorder="1" applyFont="1">
      <alignment horizontal="center" readingOrder="0" shrinkToFit="0" vertical="center" wrapText="1"/>
    </xf>
    <xf borderId="0" fillId="13"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1"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1" fontId="8" numFmtId="0" xfId="0" applyAlignment="1" applyBorder="1" applyFont="1">
      <alignment horizontal="center" readingOrder="0" shrinkToFit="0" vertical="center" wrapText="1"/>
    </xf>
    <xf borderId="21" fillId="12" fontId="25" numFmtId="0" xfId="0" applyAlignment="1" applyBorder="1" applyFont="1">
      <alignment horizontal="center" readingOrder="0" shrinkToFit="0" vertical="center" wrapText="1"/>
    </xf>
    <xf borderId="22" fillId="13"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1"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1" fontId="23" numFmtId="0" xfId="0" applyAlignment="1" applyBorder="1" applyFont="1">
      <alignment horizontal="center" readingOrder="0" shrinkToFit="0" vertical="center" wrapText="1"/>
    </xf>
    <xf borderId="22" fillId="11"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0" fontId="24" numFmtId="0" xfId="0" applyAlignment="1" applyBorder="1" applyFont="1">
      <alignment horizontal="center" readingOrder="0" shrinkToFit="0" vertical="center" wrapText="1"/>
    </xf>
    <xf borderId="22" fillId="11"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5" fontId="10" numFmtId="0" xfId="0" applyAlignment="1" applyBorder="1" applyFill="1" applyFont="1">
      <alignment horizontal="center" readingOrder="0" shrinkToFit="0" vertical="center" wrapText="1"/>
    </xf>
    <xf borderId="0" fillId="10"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5" fontId="10" numFmtId="0" xfId="0" applyAlignment="1" applyBorder="1" applyFont="1">
      <alignment horizontal="center" readingOrder="0" shrinkToFit="0" vertical="center" wrapText="1"/>
    </xf>
    <xf borderId="0" fillId="16"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6" fontId="26"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27"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28" numFmtId="0" xfId="0" applyAlignment="1" applyBorder="1" applyFont="1">
      <alignment horizontal="center" readingOrder="0" shrinkToFit="0" vertical="center" wrapText="1"/>
    </xf>
    <xf borderId="18" fillId="6" fontId="28" numFmtId="0" xfId="0" applyAlignment="1" applyBorder="1" applyFont="1">
      <alignment horizontal="center" readingOrder="0" shrinkToFit="0" vertical="center" wrapText="1"/>
    </xf>
    <xf borderId="0" fillId="9" fontId="29" numFmtId="0" xfId="0" applyFont="1"/>
    <xf borderId="33" fillId="5" fontId="28" numFmtId="0" xfId="0" applyAlignment="1" applyBorder="1" applyFont="1">
      <alignment horizontal="center" readingOrder="0" shrinkToFit="0" vertical="center" wrapText="1"/>
    </xf>
    <xf borderId="20" fillId="5" fontId="28" numFmtId="0" xfId="0" applyAlignment="1" applyBorder="1" applyFont="1">
      <alignment horizontal="center" readingOrder="0" shrinkToFit="0" vertical="center" wrapText="1"/>
    </xf>
    <xf borderId="20" fillId="12" fontId="14" numFmtId="0" xfId="0" applyAlignment="1" applyBorder="1" applyFont="1">
      <alignment horizontal="center" vertical="center"/>
    </xf>
    <xf borderId="27" fillId="6" fontId="28" numFmtId="0" xfId="0" applyAlignment="1" applyBorder="1" applyFont="1">
      <alignment horizontal="center" readingOrder="0" shrinkToFit="0" vertical="center" wrapText="1"/>
    </xf>
    <xf borderId="23" fillId="6" fontId="28" numFmtId="0" xfId="0" applyAlignment="1" applyBorder="1" applyFont="1">
      <alignment horizontal="center" readingOrder="0"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16" fillId="3" fontId="22"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7" fontId="24" numFmtId="0" xfId="0" applyAlignment="1" applyFill="1" applyFont="1">
      <alignment horizontal="center" shrinkToFit="0" vertical="center" wrapText="1"/>
    </xf>
    <xf borderId="20" fillId="15"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Alignment="1" applyFont="1">
      <alignment horizontal="center" readingOrder="0" shrinkToFit="0" vertical="center" wrapText="1"/>
    </xf>
    <xf borderId="29" fillId="0" fontId="14" numFmtId="0" xfId="0" applyAlignment="1" applyBorder="1" applyFont="1">
      <alignment horizontal="center" vertical="center"/>
    </xf>
    <xf borderId="21" fillId="9"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Alignment="1" applyBorder="1" applyFont="1">
      <alignment readingOrder="0" vertical="center"/>
    </xf>
    <xf borderId="23" fillId="9"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7" fontId="24" numFmtId="0" xfId="0" applyAlignment="1" applyBorder="1" applyFont="1">
      <alignment horizontal="center" shrinkToFit="0" vertical="center" wrapText="1"/>
    </xf>
    <xf borderId="23" fillId="15"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7" fontId="24" numFmtId="0" xfId="0" applyAlignment="1" applyFont="1">
      <alignment horizontal="center"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7" fontId="24" numFmtId="0" xfId="0" applyAlignment="1" applyBorder="1" applyFont="1">
      <alignment horizontal="center" vertical="center"/>
    </xf>
    <xf borderId="0" fillId="6" fontId="14" numFmtId="0" xfId="0" applyAlignment="1" applyFont="1">
      <alignment horizontal="center" vertical="center"/>
    </xf>
    <xf borderId="0" fillId="6" fontId="14" numFmtId="0" xfId="0" applyFont="1"/>
    <xf borderId="0" fillId="5" fontId="14" numFmtId="0" xfId="0" applyAlignment="1" applyFont="1">
      <alignment horizontal="center" vertical="center"/>
    </xf>
    <xf borderId="0" fillId="5" fontId="14" numFmtId="0" xfId="0" applyFont="1"/>
    <xf borderId="22" fillId="11"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31" numFmtId="0" xfId="0" applyBorder="1" applyFont="1"/>
    <xf borderId="0" fillId="6" fontId="21" numFmtId="0" xfId="0" applyAlignment="1" applyFont="1">
      <alignment horizontal="center" readingOrder="0" shrinkToFit="0" vertical="center" wrapText="1"/>
    </xf>
    <xf borderId="0" fillId="2" fontId="2" numFmtId="0" xfId="0" applyFont="1"/>
    <xf borderId="16" fillId="11" fontId="32" numFmtId="0" xfId="0" applyAlignment="1" applyBorder="1" applyFont="1">
      <alignment horizontal="center" readingOrder="0" vertical="center"/>
    </xf>
    <xf borderId="19" fillId="9" fontId="33" numFmtId="0" xfId="0" applyAlignment="1" applyBorder="1" applyFont="1">
      <alignment horizontal="center" readingOrder="0" textRotation="180" vertical="center"/>
    </xf>
    <xf borderId="0" fillId="9" fontId="20" numFmtId="0" xfId="0" applyAlignment="1" applyFont="1">
      <alignment horizontal="center" readingOrder="0" vertical="center"/>
    </xf>
    <xf borderId="0" fillId="9" fontId="20" numFmtId="49" xfId="0" applyAlignment="1" applyFont="1" applyNumberFormat="1">
      <alignment horizontal="center" readingOrder="0" vertical="center"/>
    </xf>
    <xf borderId="34" fillId="9" fontId="20"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0" numFmtId="0" xfId="0" applyAlignment="1" applyFont="1">
      <alignment horizontal="center" readingOrder="0" shrinkToFit="0" vertical="center" wrapText="1"/>
    </xf>
    <xf borderId="20" fillId="9" fontId="20" numFmtId="0" xfId="0" applyAlignment="1" applyBorder="1" applyFont="1">
      <alignment horizontal="center" readingOrder="0" vertical="center"/>
    </xf>
    <xf borderId="37" fillId="9" fontId="23" numFmtId="0" xfId="0" applyAlignment="1" applyBorder="1" applyFont="1">
      <alignment horizontal="center" readingOrder="0" textRotation="180" vertical="bottom"/>
    </xf>
    <xf borderId="22" fillId="9" fontId="23" numFmtId="0" xfId="0" applyAlignment="1" applyBorder="1" applyFont="1">
      <alignment horizontal="center" readingOrder="0" textRotation="180" vertical="bottom"/>
    </xf>
    <xf borderId="38" fillId="9" fontId="23" numFmtId="0" xfId="0" applyAlignment="1" applyBorder="1" applyFont="1">
      <alignment horizontal="center" readingOrder="0" textRotation="180" vertical="bottom"/>
    </xf>
    <xf borderId="39" fillId="9" fontId="23" numFmtId="0" xfId="0" applyAlignment="1" applyBorder="1" applyFont="1">
      <alignment horizontal="center" readingOrder="0" textRotation="180" vertical="bottom"/>
    </xf>
    <xf borderId="0" fillId="9" fontId="23" numFmtId="0" xfId="0" applyAlignment="1" applyFont="1">
      <alignment horizontal="center" readingOrder="0" textRotation="180" vertical="bottom"/>
    </xf>
    <xf borderId="40" fillId="9" fontId="23" numFmtId="0" xfId="0" applyAlignment="1" applyBorder="1" applyFont="1">
      <alignment horizontal="center" readingOrder="0" textRotation="180" vertical="bottom"/>
    </xf>
    <xf borderId="0" fillId="11" fontId="33" numFmtId="0" xfId="0" applyAlignment="1" applyFont="1">
      <alignment horizontal="center" readingOrder="0" vertical="center"/>
    </xf>
    <xf borderId="0" fillId="5" fontId="34" numFmtId="49" xfId="0" applyAlignment="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32" fillId="5" fontId="17" numFmtId="49" xfId="0" applyAlignment="1" applyBorder="1" applyFont="1" applyNumberFormat="1">
      <alignment horizontal="center" shrinkToFit="0" vertical="center" wrapText="1"/>
    </xf>
    <xf borderId="32" fillId="7" fontId="17" numFmtId="49" xfId="0" applyAlignment="1" applyBorder="1" applyFont="1" applyNumberFormat="1">
      <alignment horizontal="center" vertical="center"/>
    </xf>
    <xf borderId="32"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0" fillId="6" fontId="35" numFmtId="49" xfId="0" applyAlignment="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 xfId="0" applyAlignment="1" applyBorder="1" applyFont="1" applyNumberFormat="1">
      <alignment horizontal="center" readingOrder="0" vertical="center"/>
    </xf>
    <xf borderId="0" fillId="2" fontId="36" numFmtId="0" xfId="0" applyAlignment="1" applyFont="1">
      <alignment horizontal="center" readingOrder="0" shrinkToFit="0" vertical="center" wrapText="0"/>
    </xf>
    <xf borderId="0" fillId="6" fontId="34" numFmtId="49" xfId="0" applyAlignment="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33" fillId="6" fontId="17" numFmtId="49" xfId="0" applyAlignment="1" applyBorder="1" applyFont="1" applyNumberFormat="1">
      <alignment horizontal="center" shrinkToFit="0" vertical="center" wrapText="1"/>
    </xf>
    <xf borderId="33" fillId="7" fontId="17" numFmtId="49" xfId="0" applyAlignment="1" applyBorder="1" applyFont="1" applyNumberFormat="1">
      <alignment horizontal="center" vertical="center"/>
    </xf>
    <xf borderId="33"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 xfId="0" applyAlignment="1" applyBorder="1" applyFont="1" applyNumberFormat="1">
      <alignment horizontal="center" readingOrder="0" vertical="center"/>
    </xf>
    <xf borderId="0" fillId="5" fontId="17" numFmtId="49" xfId="0" applyAlignment="1" applyFont="1" applyNumberFormat="1">
      <alignment horizontal="center" readingOrder="0" shrinkToFit="0" vertical="center" wrapText="1"/>
    </xf>
    <xf borderId="33"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vertical="center"/>
    </xf>
    <xf borderId="0" fillId="6" fontId="34" numFmtId="49" xfId="0" applyAlignment="1" applyFont="1" applyNumberFormat="1">
      <alignment horizontal="center"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7" numFmtId="4" xfId="0" applyAlignment="1" applyFont="1" applyNumberFormat="1">
      <alignment horizontal="center" vertical="center"/>
    </xf>
    <xf borderId="20" fillId="6" fontId="17" numFmtId="4" xfId="0" applyAlignment="1" applyBorder="1" applyFont="1" applyNumberFormat="1">
      <alignment horizontal="center" vertical="center"/>
    </xf>
    <xf borderId="0" fillId="6" fontId="17" numFmtId="49" xfId="0" applyAlignment="1" applyFont="1" applyNumberFormat="1">
      <alignment horizontal="center" shrinkToFit="0" vertical="center" wrapText="1"/>
    </xf>
    <xf borderId="20" fillId="6" fontId="17" numFmtId="0" xfId="0" applyAlignment="1" applyBorder="1" applyFont="1">
      <alignment horizontal="center" shrinkToFit="0" vertical="center" wrapText="1"/>
    </xf>
    <xf borderId="33" fillId="5"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readingOrder="0" vertical="center"/>
    </xf>
    <xf borderId="19" fillId="6" fontId="17" numFmtId="49" xfId="0" applyAlignment="1" applyBorder="1" applyFont="1" applyNumberFormat="1">
      <alignment horizontal="center" readingOrder="0" shrinkToFit="0" vertical="center" wrapText="1"/>
    </xf>
    <xf borderId="33" fillId="6" fontId="17" numFmtId="49" xfId="0" applyAlignment="1" applyBorder="1" applyFont="1" applyNumberFormat="1">
      <alignment horizontal="center" readingOrder="0" shrinkToFit="0" vertical="center" wrapText="1"/>
    </xf>
    <xf borderId="33"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vertical="center"/>
    </xf>
    <xf borderId="21"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readingOrder="0" vertical="center"/>
    </xf>
    <xf borderId="0" fillId="7" fontId="2" numFmtId="0" xfId="0" applyAlignment="1" applyFont="1">
      <alignment readingOrder="0"/>
    </xf>
    <xf borderId="0" fillId="5" fontId="37" numFmtId="0" xfId="0" applyAlignment="1" applyFont="1">
      <alignment horizontal="center" readingOrder="0" shrinkToFit="0" vertical="center" wrapText="1"/>
    </xf>
    <xf borderId="0" fillId="7" fontId="34" numFmtId="0" xfId="0" applyAlignment="1" applyFont="1">
      <alignment horizontal="center" readingOrder="0" shrinkToFit="0" vertical="center" wrapText="1"/>
    </xf>
    <xf borderId="21" fillId="11" fontId="38"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39" numFmtId="0" xfId="0" applyAlignment="1" applyFont="1">
      <alignment horizontal="center" readingOrder="0" vertical="center"/>
    </xf>
    <xf borderId="0" fillId="0" fontId="2" numFmtId="0" xfId="0" applyAlignment="1" applyFont="1">
      <alignment readingOrder="0"/>
    </xf>
    <xf borderId="0" fillId="6" fontId="37" numFmtId="0" xfId="0" applyAlignment="1" applyFont="1">
      <alignment horizontal="center" readingOrder="0" vertical="center"/>
    </xf>
    <xf borderId="0" fillId="5" fontId="6" numFmtId="0" xfId="0" applyAlignment="1" applyFont="1">
      <alignment horizontal="center" vertical="center"/>
    </xf>
    <xf borderId="0" fillId="6" fontId="37" numFmtId="0" xfId="0" applyAlignment="1" applyFont="1">
      <alignment horizontal="center" readingOrder="0" shrinkToFit="0" vertical="center" wrapText="1"/>
    </xf>
    <xf borderId="0" fillId="7" fontId="6" numFmtId="0" xfId="0" applyAlignment="1" applyFont="1">
      <alignment horizontal="center" readingOrder="0" vertical="center"/>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40" numFmtId="0" xfId="0" applyFont="1"/>
    <xf borderId="0" fillId="11" fontId="40" numFmtId="0" xfId="0" applyFont="1"/>
    <xf borderId="0" fillId="11" fontId="17" numFmtId="0" xfId="0" applyAlignment="1" applyFont="1">
      <alignment horizontal="center" readingOrder="0" vertical="center"/>
    </xf>
    <xf borderId="0" fillId="9" fontId="40" numFmtId="0" xfId="0" applyFont="1"/>
    <xf borderId="0" fillId="9" fontId="6" numFmtId="0" xfId="0" applyAlignment="1" applyFont="1">
      <alignment horizontal="center" readingOrder="0" vertical="center"/>
    </xf>
    <xf borderId="0" fillId="9" fontId="40" numFmtId="0" xfId="0" applyFont="1"/>
    <xf borderId="0" fillId="5" fontId="37" numFmtId="0" xfId="0" applyAlignment="1" applyFont="1">
      <alignment horizontal="center" readingOrder="0" vertical="center"/>
    </xf>
    <xf borderId="0" fillId="7" fontId="40" numFmtId="0" xfId="0" applyAlignment="1" applyFont="1">
      <alignment readingOrder="0"/>
    </xf>
    <xf borderId="0" fillId="5" fontId="17" numFmtId="0" xfId="0" applyAlignment="1" applyFont="1">
      <alignment horizontal="center" readingOrder="0" shrinkToFit="0" vertical="center" wrapText="1"/>
    </xf>
    <xf borderId="0" fillId="7" fontId="41" numFmtId="0" xfId="0" applyAlignment="1" applyFont="1">
      <alignment horizontal="center" readingOrder="0" vertical="center"/>
    </xf>
    <xf borderId="0" fillId="11" fontId="42" numFmtId="0" xfId="0" applyAlignment="1" applyFont="1">
      <alignment horizontal="center" readingOrder="0" shrinkToFit="0" wrapText="1"/>
    </xf>
    <xf borderId="0" fillId="9" fontId="42" numFmtId="0" xfId="0" applyAlignment="1" applyFont="1">
      <alignment horizontal="center" readingOrder="0" shrinkToFit="0" wrapText="1"/>
    </xf>
    <xf borderId="0" fillId="9" fontId="37"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37"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37" numFmtId="0" xfId="0" applyAlignment="1" applyFont="1">
      <alignment horizontal="center" readingOrder="0" shrinkToFit="0" wrapText="1"/>
    </xf>
    <xf borderId="0" fillId="12" fontId="40"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43" numFmtId="0" xfId="0" applyAlignment="1" applyFont="1">
      <alignment horizontal="center" readingOrder="0" shrinkToFit="0" vertical="center" wrapText="1"/>
    </xf>
    <xf borderId="0" fillId="5" fontId="42" numFmtId="0" xfId="0" applyAlignment="1" applyFont="1">
      <alignment horizontal="center" readingOrder="0" shrinkToFit="0" vertical="center" wrapText="1"/>
    </xf>
    <xf borderId="0" fillId="2" fontId="40" numFmtId="0" xfId="0" applyFont="1"/>
    <xf borderId="0" fillId="7" fontId="44" numFmtId="0" xfId="0" applyFont="1"/>
    <xf borderId="10" fillId="6" fontId="45" numFmtId="0" xfId="0" applyAlignment="1" applyBorder="1" applyFont="1">
      <alignment horizontal="center" readingOrder="0" vertical="center"/>
    </xf>
    <xf borderId="12" fillId="0" fontId="2" numFmtId="0" xfId="0" applyBorder="1" applyFont="1"/>
    <xf borderId="13" fillId="11" fontId="40" numFmtId="0" xfId="0" applyBorder="1" applyFont="1"/>
    <xf borderId="13" fillId="9" fontId="43"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9" fontId="23"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8"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11" fontId="10" numFmtId="0" xfId="0" applyAlignment="1" applyFont="1">
      <alignment horizontal="center" readingOrder="0" shrinkToFit="0" vertical="center" wrapText="1"/>
    </xf>
    <xf borderId="0" fillId="7" fontId="46" numFmtId="0" xfId="0" applyAlignment="1" applyFont="1">
      <alignment horizontal="center" readingOrder="0" shrinkToFit="0" vertical="center" wrapText="1"/>
    </xf>
    <xf borderId="0" fillId="12" fontId="47" numFmtId="0" xfId="0" applyAlignment="1" applyFont="1">
      <alignment horizontal="right" readingOrder="0" shrinkToFit="0" vertical="center" wrapText="1"/>
    </xf>
    <xf borderId="0" fillId="18" fontId="10" numFmtId="0" xfId="0" applyAlignment="1" applyFont="1">
      <alignment horizontal="center" readingOrder="0" shrinkToFit="0" vertical="center" wrapText="1"/>
    </xf>
    <xf borderId="0" fillId="18" fontId="37"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13" fontId="48" numFmtId="49" xfId="0" applyFont="1" applyNumberFormat="1"/>
    <xf borderId="0" fillId="0" fontId="2" numFmtId="49" xfId="0" applyFont="1" applyNumberFormat="1"/>
    <xf borderId="0" fillId="0" fontId="2" numFmtId="4" xfId="0" applyFont="1" applyNumberFormat="1"/>
    <xf borderId="0" fillId="11" fontId="32" numFmtId="0" xfId="0" applyAlignment="1" applyFont="1">
      <alignment horizontal="center" readingOrder="0" vertical="center"/>
    </xf>
    <xf borderId="16" fillId="6" fontId="49" numFmtId="0" xfId="0" applyAlignment="1" applyBorder="1" applyFont="1">
      <alignment horizontal="center" readingOrder="0" shrinkToFit="0" vertical="center" wrapText="1"/>
    </xf>
    <xf borderId="17" fillId="6" fontId="50" numFmtId="0" xfId="0" applyAlignment="1" applyBorder="1" applyFont="1">
      <alignment horizontal="center" readingOrder="0" shrinkToFit="0" vertical="center" wrapText="1"/>
    </xf>
    <xf borderId="18" fillId="6" fontId="50" numFmtId="0" xfId="0" applyAlignment="1" applyBorder="1" applyFont="1">
      <alignment horizontal="center" readingOrder="0" shrinkToFit="0" vertical="center" wrapText="1"/>
    </xf>
    <xf borderId="19" fillId="6" fontId="49" numFmtId="0" xfId="0" applyAlignment="1" applyBorder="1" applyFont="1">
      <alignment horizontal="center" readingOrder="0" shrinkToFit="0" vertical="center" wrapText="1"/>
    </xf>
    <xf borderId="0" fillId="6" fontId="50" numFmtId="0" xfId="0" applyAlignment="1" applyFont="1">
      <alignment horizontal="center" readingOrder="0" shrinkToFit="0" vertical="center" wrapText="1"/>
    </xf>
    <xf borderId="20" fillId="6" fontId="50" numFmtId="0" xfId="0" applyAlignment="1" applyBorder="1" applyFont="1">
      <alignment horizontal="center" readingOrder="0" shrinkToFit="0" vertical="center" wrapText="1"/>
    </xf>
    <xf borderId="21" fillId="6" fontId="49" numFmtId="0" xfId="0" applyAlignment="1" applyBorder="1" applyFont="1">
      <alignment horizontal="center" readingOrder="0" shrinkToFit="0" vertical="center" wrapText="1"/>
    </xf>
    <xf borderId="22" fillId="6" fontId="50" numFmtId="0" xfId="0" applyAlignment="1" applyBorder="1" applyFont="1">
      <alignment horizontal="center" readingOrder="0" shrinkToFit="0" vertical="center" wrapText="1"/>
    </xf>
    <xf borderId="23" fillId="6" fontId="50" numFmtId="0" xfId="0" applyAlignment="1" applyBorder="1" applyFont="1">
      <alignment horizontal="center" readingOrder="0" shrinkToFit="0" vertical="center" wrapText="1"/>
    </xf>
    <xf borderId="0" fillId="12" fontId="2" numFmtId="0" xfId="0" applyAlignment="1" applyFont="1">
      <alignment readingOrder="0"/>
    </xf>
    <xf borderId="21" fillId="11" fontId="33" numFmtId="0" xfId="0" applyAlignment="1" applyBorder="1" applyFont="1">
      <alignment horizontal="center" readingOrder="0" shrinkToFit="0" vertical="center" wrapText="1"/>
    </xf>
    <xf borderId="22" fillId="11" fontId="33" numFmtId="0" xfId="0" applyAlignment="1" applyBorder="1" applyFont="1">
      <alignment horizontal="center" readingOrder="0" shrinkToFit="0" vertical="center" wrapText="1"/>
    </xf>
    <xf borderId="41" fillId="9" fontId="20" numFmtId="0" xfId="0" applyAlignment="1" applyBorder="1" applyFont="1">
      <alignment horizontal="center" readingOrder="0" shrinkToFit="0" vertical="center" wrapText="1"/>
    </xf>
    <xf borderId="42" fillId="0" fontId="2" numFmtId="0" xfId="0" applyBorder="1" applyFont="1"/>
    <xf borderId="43" fillId="0" fontId="2" numFmtId="0" xfId="0" applyBorder="1" applyFont="1"/>
    <xf borderId="41" fillId="9" fontId="20" numFmtId="0" xfId="0" applyAlignment="1" applyBorder="1" applyFont="1">
      <alignment horizontal="center" readingOrder="0" vertical="center"/>
    </xf>
    <xf borderId="34" fillId="9" fontId="20" numFmtId="49" xfId="0" applyAlignment="1" applyBorder="1" applyFont="1" applyNumberFormat="1">
      <alignment horizontal="center" readingOrder="0" vertical="center"/>
    </xf>
    <xf borderId="44" fillId="9" fontId="20" numFmtId="0" xfId="0" applyAlignment="1" applyBorder="1" applyFont="1">
      <alignment horizontal="center" readingOrder="0" vertical="center"/>
    </xf>
    <xf borderId="45" fillId="0" fontId="2" numFmtId="0" xfId="0" applyBorder="1" applyFont="1"/>
    <xf borderId="39" fillId="9" fontId="51" numFmtId="0" xfId="0" applyAlignment="1" applyBorder="1" applyFont="1">
      <alignment horizontal="center" readingOrder="0" shrinkToFit="0" textRotation="180" vertical="bottom" wrapText="1"/>
    </xf>
    <xf borderId="0" fillId="9" fontId="51" numFmtId="0" xfId="0" applyAlignment="1" applyFont="1">
      <alignment horizontal="center" readingOrder="0" shrinkToFit="0" textRotation="180" vertical="bottom" wrapText="1"/>
    </xf>
    <xf borderId="40" fillId="9" fontId="51" numFmtId="0" xfId="0" applyAlignment="1" applyBorder="1" applyFont="1">
      <alignment horizontal="center" readingOrder="0" shrinkToFit="0" textRotation="180" vertical="bottom" wrapText="1"/>
    </xf>
    <xf borderId="44" fillId="9" fontId="20" numFmtId="0" xfId="0" applyAlignment="1" applyBorder="1" applyFont="1">
      <alignment horizontal="center" readingOrder="0" textRotation="180" vertical="bottom"/>
    </xf>
    <xf borderId="46" fillId="9" fontId="20" numFmtId="0" xfId="0" applyAlignment="1" applyBorder="1" applyFont="1">
      <alignment horizontal="center" readingOrder="0" textRotation="180" vertical="center"/>
    </xf>
    <xf borderId="45" fillId="9" fontId="8" numFmtId="0" xfId="0" applyAlignment="1" applyBorder="1" applyFont="1">
      <alignment horizontal="center" readingOrder="0" textRotation="180" vertical="bottom"/>
    </xf>
    <xf borderId="44" fillId="9" fontId="8" numFmtId="49" xfId="0" applyAlignment="1" applyBorder="1" applyFont="1" applyNumberFormat="1">
      <alignment horizontal="center" readingOrder="0" textRotation="180" vertical="bottom"/>
    </xf>
    <xf borderId="46" fillId="9" fontId="8" numFmtId="49" xfId="0" applyAlignment="1" applyBorder="1" applyFont="1" applyNumberFormat="1">
      <alignment horizontal="center" readingOrder="0" textRotation="180" vertical="bottom"/>
    </xf>
    <xf borderId="41" fillId="9" fontId="20" numFmtId="0" xfId="0" applyAlignment="1" applyBorder="1" applyFont="1">
      <alignment horizontal="center" readingOrder="0" textRotation="180" vertical="bottom"/>
    </xf>
    <xf borderId="43" fillId="9" fontId="8" numFmtId="0" xfId="0" applyAlignment="1" applyBorder="1" applyFont="1">
      <alignment horizontal="center" readingOrder="0" textRotation="180" vertical="bottom"/>
    </xf>
    <xf borderId="19" fillId="11" fontId="33" numFmtId="0" xfId="0" applyAlignment="1" applyBorder="1" applyFont="1">
      <alignment horizontal="center" readingOrder="0" vertical="center"/>
    </xf>
    <xf borderId="16" fillId="6" fontId="52"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52"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3" numFmtId="0" xfId="0" applyAlignment="1" applyBorder="1" applyFont="1">
      <alignment horizontal="center" readingOrder="0" shrinkToFit="0" vertical="center" wrapText="1"/>
    </xf>
    <xf borderId="19" fillId="5" fontId="52"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52"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52"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11" fontId="33" numFmtId="0" xfId="0" applyAlignment="1" applyBorder="1" applyFont="1">
      <alignment horizontal="center" readingOrder="0" vertical="center"/>
    </xf>
    <xf borderId="0" fillId="5" fontId="17" numFmtId="0" xfId="0" applyAlignment="1" applyFont="1">
      <alignment horizontal="center" shrinkToFit="0" vertical="center" wrapText="1"/>
    </xf>
    <xf borderId="0" fillId="5" fontId="54" numFmtId="0" xfId="0" applyAlignment="1" applyFont="1">
      <alignment horizontal="center" readingOrder="0" shrinkToFit="0" vertical="center" wrapText="1"/>
    </xf>
    <xf borderId="21" fillId="11" fontId="33" numFmtId="0" xfId="0" applyAlignment="1" applyBorder="1" applyFont="1">
      <alignment horizontal="center" readingOrder="0" vertical="center"/>
    </xf>
    <xf borderId="21" fillId="6" fontId="52"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2"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52" numFmtId="0" xfId="0" applyAlignment="1" applyBorder="1" applyFont="1">
      <alignment horizontal="center" readingOrder="0" shrinkToFit="0" vertical="center" wrapText="1"/>
    </xf>
    <xf borderId="0" fillId="2" fontId="55" numFmtId="0" xfId="0" applyAlignment="1" applyFont="1">
      <alignment readingOrder="0"/>
    </xf>
    <xf borderId="0" fillId="2" fontId="19" numFmtId="0" xfId="0" applyAlignment="1" applyFont="1">
      <alignment horizontal="center" readingOrder="0" vertical="center"/>
    </xf>
    <xf borderId="16" fillId="9" fontId="20" numFmtId="0" xfId="0" applyAlignment="1" applyBorder="1" applyFont="1">
      <alignment horizontal="center" readingOrder="0" shrinkToFit="0" vertical="center" wrapText="1"/>
    </xf>
    <xf borderId="47" fillId="6" fontId="17" numFmtId="0" xfId="0" applyAlignment="1" applyBorder="1" applyFont="1">
      <alignment horizontal="center" readingOrder="0" vertical="center"/>
    </xf>
    <xf borderId="0" fillId="7" fontId="17" numFmtId="0" xfId="0" applyAlignment="1" applyFont="1">
      <alignment horizontal="center" vertical="center"/>
    </xf>
    <xf borderId="47" fillId="5" fontId="17" numFmtId="0" xfId="0" applyAlignment="1" applyBorder="1" applyFont="1">
      <alignment horizontal="center" vertical="center"/>
    </xf>
    <xf borderId="19" fillId="9" fontId="20" numFmtId="0" xfId="0" applyAlignment="1" applyBorder="1" applyFont="1">
      <alignment horizontal="center" readingOrder="0" shrinkToFit="0" vertical="center" wrapText="1"/>
    </xf>
    <xf borderId="47" fillId="6" fontId="17" numFmtId="0" xfId="0" applyAlignment="1" applyBorder="1" applyFont="1">
      <alignment horizontal="center" vertical="center"/>
    </xf>
    <xf borderId="21" fillId="9" fontId="20" numFmtId="0" xfId="0" applyAlignment="1" applyBorder="1" applyFont="1">
      <alignment horizontal="center" readingOrder="0" shrinkToFit="0" vertical="center" wrapText="1"/>
    </xf>
    <xf borderId="47" fillId="5" fontId="17" numFmtId="0" xfId="0" applyAlignment="1" applyBorder="1" applyFont="1">
      <alignment horizontal="center" readingOrder="0" vertical="center"/>
    </xf>
    <xf borderId="16"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6" fontId="53" numFmtId="0" xfId="0" applyAlignment="1" applyBorder="1" applyFont="1">
      <alignment horizontal="left" readingOrder="0" vertical="center"/>
    </xf>
    <xf borderId="19" fillId="5" fontId="10" numFmtId="0" xfId="0" applyAlignment="1" applyBorder="1" applyFont="1">
      <alignment horizontal="left" vertical="center"/>
    </xf>
    <xf borderId="19" fillId="6" fontId="10" numFmtId="0" xfId="0" applyAlignment="1" applyBorder="1" applyFont="1">
      <alignment horizontal="left" vertical="center"/>
    </xf>
    <xf borderId="21" fillId="6" fontId="10" numFmtId="0" xfId="0" applyAlignment="1" applyBorder="1" applyFont="1">
      <alignment horizontal="left" readingOrder="0" vertical="center"/>
    </xf>
    <xf borderId="23" fillId="6" fontId="2" numFmtId="0" xfId="0" applyBorder="1" applyFont="1"/>
    <xf borderId="0" fillId="2" fontId="55" numFmtId="0" xfId="0" applyFont="1"/>
    <xf borderId="0" fillId="2" fontId="56" numFmtId="0" xfId="0" applyAlignment="1" applyFont="1">
      <alignment readingOrder="0"/>
    </xf>
    <xf borderId="0" fillId="2" fontId="57" numFmtId="0" xfId="0" applyFont="1"/>
    <xf borderId="0" fillId="5" fontId="58" numFmtId="0" xfId="0" applyAlignment="1" applyFont="1">
      <alignment horizontal="right" readingOrder="0" vertical="bottom"/>
    </xf>
    <xf borderId="0" fillId="7" fontId="58" numFmtId="0" xfId="0" applyAlignment="1" applyFont="1">
      <alignment horizontal="right" readingOrder="0" vertical="bottom"/>
    </xf>
    <xf borderId="0" fillId="6" fontId="59" numFmtId="0" xfId="0" applyAlignment="1" applyFont="1">
      <alignment readingOrder="0"/>
    </xf>
    <xf borderId="0" fillId="7" fontId="40" numFmtId="0" xfId="0" applyAlignment="1" applyFont="1">
      <alignment horizontal="right" vertical="bottom"/>
    </xf>
    <xf borderId="0" fillId="6" fontId="1" numFmtId="0" xfId="0" applyAlignment="1" applyFont="1">
      <alignment horizontal="left" readingOrder="0" vertical="bottom"/>
    </xf>
    <xf borderId="0" fillId="5" fontId="40" numFmtId="0" xfId="0" applyAlignment="1" applyFont="1">
      <alignment horizontal="right" vertical="bottom"/>
    </xf>
    <xf borderId="0" fillId="6" fontId="35" numFmtId="0" xfId="0" applyAlignment="1" applyFont="1">
      <alignment readingOrder="0"/>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8"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2.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EJaXbLMbbmH06Y9mJy6u5RYyqLZIQLf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t="str">
        <f t="array" ref="C2">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#N/A</v>
      </c>
      <c r="D2" s="8"/>
      <c r="E2" s="9" t="s">
        <v>1</v>
      </c>
      <c r="F2" s="8"/>
      <c r="G2" s="10" t="s">
        <v>2</v>
      </c>
      <c r="H2" s="8"/>
      <c r="I2" s="11"/>
      <c r="J2" s="12" t="b">
        <v>1</v>
      </c>
      <c r="K2" s="13" t="b">
        <v>1</v>
      </c>
      <c r="L2" s="13" t="b">
        <v>1</v>
      </c>
      <c r="M2" s="14"/>
      <c r="N2" s="15"/>
      <c r="O2" s="4"/>
    </row>
    <row r="3" ht="22.5" customHeight="1">
      <c r="A3" s="16"/>
      <c r="B3" s="17" t="str">
        <f>IMAGE(PORTRAITURL,2)</f>
        <v>#REF!</v>
      </c>
      <c r="C3" s="18" t="s">
        <v>3</v>
      </c>
      <c r="E3" s="18" t="s">
        <v>4</v>
      </c>
      <c r="G3" s="18" t="s">
        <v>5</v>
      </c>
      <c r="N3" s="15"/>
    </row>
    <row r="4" ht="30.0" customHeight="1">
      <c r="A4" s="16"/>
      <c r="B4" s="19"/>
      <c r="C4" s="20" t="s">
        <v>6</v>
      </c>
      <c r="D4" s="21"/>
      <c r="E4" s="22">
        <v>4.0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4</v>
      </c>
      <c r="G4" s="24">
        <v>3.0</v>
      </c>
      <c r="H4" s="25">
        <f>(STR)+G4</f>
        <v>7</v>
      </c>
      <c r="I4" s="26" t="s">
        <v>7</v>
      </c>
      <c r="J4" s="27"/>
      <c r="K4" s="28">
        <v>12.0</v>
      </c>
      <c r="L4" s="29">
        <v>2.0</v>
      </c>
      <c r="N4" s="15"/>
    </row>
    <row r="5" ht="30.0" customHeight="1">
      <c r="A5" s="16"/>
      <c r="B5" s="19"/>
      <c r="C5" s="30" t="s">
        <v>8</v>
      </c>
      <c r="E5" s="31">
        <v>4.0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4</v>
      </c>
      <c r="G5" s="33">
        <v>5.0</v>
      </c>
      <c r="H5" s="34">
        <f>(DEX)+G5-Vitals!BS30</f>
        <v>7</v>
      </c>
      <c r="I5" s="35" t="s">
        <v>9</v>
      </c>
      <c r="J5" s="36"/>
      <c r="K5" s="37" t="s">
        <v>10</v>
      </c>
      <c r="L5" s="38" t="s">
        <v>11</v>
      </c>
      <c r="N5" s="15"/>
    </row>
    <row r="6" ht="30.0" customHeight="1">
      <c r="A6" s="16"/>
      <c r="B6" s="19"/>
      <c r="C6" s="30" t="s">
        <v>12</v>
      </c>
      <c r="E6" s="39">
        <v>4.0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4</v>
      </c>
      <c r="G6" s="40">
        <v>5.0</v>
      </c>
      <c r="H6" s="34">
        <f>(CON)+G6</f>
        <v>9</v>
      </c>
      <c r="I6" s="35" t="s">
        <v>13</v>
      </c>
      <c r="J6" s="36"/>
      <c r="K6" s="41">
        <v>2.0</v>
      </c>
      <c r="L6" s="42">
        <v>0.0</v>
      </c>
      <c r="N6" s="15"/>
    </row>
    <row r="7" ht="30.0" customHeight="1">
      <c r="A7" s="16"/>
      <c r="B7" s="19"/>
      <c r="C7" s="43" t="s">
        <v>14</v>
      </c>
      <c r="E7" s="31">
        <v>14.0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14</v>
      </c>
      <c r="G7" s="33">
        <v>5.0</v>
      </c>
      <c r="H7" s="34">
        <f>(INT)+G7</f>
        <v>19</v>
      </c>
      <c r="I7" s="44" t="s">
        <v>15</v>
      </c>
      <c r="J7" s="36"/>
      <c r="K7" s="37" t="s">
        <v>16</v>
      </c>
      <c r="L7" s="38" t="s">
        <v>17</v>
      </c>
      <c r="N7" s="15"/>
    </row>
    <row r="8" ht="30.0" customHeight="1">
      <c r="A8" s="16"/>
      <c r="B8" s="19"/>
      <c r="C8" s="43" t="s">
        <v>18</v>
      </c>
      <c r="E8" s="39">
        <v>4.0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4</v>
      </c>
      <c r="G8" s="40">
        <v>5.0</v>
      </c>
      <c r="H8" s="34">
        <f>(WIS)+G8</f>
        <v>9</v>
      </c>
      <c r="I8" s="44" t="s">
        <v>19</v>
      </c>
      <c r="J8" s="36"/>
      <c r="K8" s="46">
        <v>34.0</v>
      </c>
      <c r="L8" s="47">
        <v>0.0</v>
      </c>
      <c r="N8" s="15"/>
    </row>
    <row r="9" ht="30.0" customHeight="1">
      <c r="A9" s="16"/>
      <c r="B9" s="19"/>
      <c r="C9" s="48" t="s">
        <v>20</v>
      </c>
      <c r="D9" s="49"/>
      <c r="E9" s="50">
        <v>10.0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10</v>
      </c>
      <c r="G9" s="52">
        <v>7.0</v>
      </c>
      <c r="H9" s="53">
        <f>(CHA)+G9</f>
        <v>17</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11.0</v>
      </c>
      <c r="G12" s="64" t="s">
        <v>32</v>
      </c>
      <c r="H12" s="66"/>
      <c r="I12" s="67"/>
      <c r="J12" s="68" t="s">
        <v>33</v>
      </c>
      <c r="K12" s="65">
        <v>190.0</v>
      </c>
      <c r="L12" s="69" t="s">
        <v>34</v>
      </c>
      <c r="M12" s="70"/>
      <c r="N12" s="15"/>
    </row>
    <row r="13" ht="30.0" customHeight="1">
      <c r="A13" s="16"/>
      <c r="B13" s="19"/>
      <c r="D13" s="71" t="s">
        <v>35</v>
      </c>
      <c r="E13" s="18" t="s">
        <v>36</v>
      </c>
      <c r="F13" s="18" t="s">
        <v>37</v>
      </c>
      <c r="G13" s="18" t="s">
        <v>38</v>
      </c>
      <c r="H13" s="72"/>
      <c r="J13" s="71" t="s">
        <v>39</v>
      </c>
      <c r="K13" s="18" t="s">
        <v>40</v>
      </c>
      <c r="L13" s="73" t="s">
        <v>41</v>
      </c>
      <c r="N13" s="15"/>
    </row>
    <row r="14" ht="30.0" customHeight="1">
      <c r="A14" s="16"/>
      <c r="B14" s="19"/>
      <c r="D14" s="74" t="s">
        <v>42</v>
      </c>
      <c r="E14" s="75">
        <v>5505.0</v>
      </c>
      <c r="F14" s="76" t="s">
        <v>43</v>
      </c>
      <c r="G14" s="77">
        <v>1.0</v>
      </c>
      <c r="H14" s="78" t="s">
        <v>44</v>
      </c>
      <c r="J14" s="79" t="s">
        <v>45</v>
      </c>
      <c r="L14" s="72"/>
      <c r="N14" s="15"/>
    </row>
    <row r="15" ht="30.0" customHeight="1">
      <c r="A15" s="16"/>
      <c r="B15" s="19"/>
      <c r="D15" s="80" t="s">
        <v>46</v>
      </c>
      <c r="E15" s="80" t="s">
        <v>47</v>
      </c>
      <c r="F15" s="80" t="s">
        <v>48</v>
      </c>
      <c r="G15" s="81" t="s">
        <v>49</v>
      </c>
      <c r="H15" s="80" t="s">
        <v>50</v>
      </c>
      <c r="J15" s="82"/>
      <c r="L15" s="72"/>
      <c r="N15" s="15"/>
    </row>
    <row r="16" ht="30.0" customHeight="1">
      <c r="A16" s="16"/>
      <c r="B16" s="19"/>
      <c r="D16" s="83"/>
      <c r="J16" s="84"/>
      <c r="K16" s="85"/>
      <c r="L16" s="86"/>
      <c r="N16" s="15"/>
    </row>
    <row r="17" ht="30.0" customHeight="1">
      <c r="A17" s="16"/>
      <c r="B17" s="87"/>
      <c r="D17" s="88"/>
      <c r="E17" s="89"/>
      <c r="F17" s="89"/>
      <c r="G17" s="89"/>
      <c r="H17" s="66"/>
      <c r="J17" s="90" t="s">
        <v>51</v>
      </c>
      <c r="K17" s="86"/>
      <c r="L17" s="91"/>
      <c r="N17" s="15"/>
    </row>
    <row r="18" ht="30.0" customHeight="1">
      <c r="A18" s="16"/>
      <c r="B18" s="92"/>
      <c r="D18" s="93"/>
      <c r="H18" s="72"/>
      <c r="J18" s="91"/>
      <c r="N18" s="15"/>
    </row>
    <row r="19" ht="30.0" customHeight="1">
      <c r="A19" s="16"/>
      <c r="B19" s="19"/>
      <c r="D19" s="94" t="s">
        <v>52</v>
      </c>
      <c r="H19" s="72"/>
      <c r="J19" s="95">
        <v>25.0</v>
      </c>
      <c r="K19" s="66"/>
      <c r="N19" s="15"/>
    </row>
    <row r="20" ht="30.0" customHeight="1">
      <c r="A20" s="16"/>
      <c r="B20" s="19"/>
      <c r="D20" s="96"/>
      <c r="H20" s="72"/>
      <c r="J20" s="82"/>
      <c r="K20" s="72"/>
      <c r="N20" s="15"/>
    </row>
    <row r="21" ht="30.0" customHeight="1">
      <c r="A21" s="16"/>
      <c r="B21" s="97"/>
      <c r="D21" s="98" t="s">
        <v>53</v>
      </c>
      <c r="E21" s="85"/>
      <c r="F21" s="85"/>
      <c r="G21" s="85"/>
      <c r="H21" s="86"/>
      <c r="J21" s="84"/>
      <c r="K21" s="86"/>
      <c r="N21" s="15"/>
    </row>
    <row r="22" ht="30.75" customHeight="1">
      <c r="A22" s="16"/>
      <c r="B22" s="99"/>
      <c r="D22" s="100" t="s">
        <v>54</v>
      </c>
      <c r="E22" s="62"/>
      <c r="J22" s="100" t="s">
        <v>55</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decimal" operator="greaterThan" allowBlank="1" showErrorMessage="1" sqref="E14">
      <formula1>0.0</formula1>
    </dataValidation>
    <dataValidation type="list" allowBlank="1" showErrorMessage="1" sqref="F12">
      <formula1>"1,2,3,4,5,6,7,8,9,10,11"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04" t="s">
        <v>56</v>
      </c>
      <c r="N1" s="105"/>
      <c r="O1" s="106"/>
      <c r="P1" s="105"/>
      <c r="Q1" s="107" t="s">
        <v>57</v>
      </c>
      <c r="Y1" s="108"/>
    </row>
    <row r="2" ht="18.75" customHeight="1">
      <c r="C2" s="109" t="s">
        <v>58</v>
      </c>
      <c r="D2" s="110" t="s">
        <v>25</v>
      </c>
      <c r="E2" s="109" t="s">
        <v>59</v>
      </c>
      <c r="I2" s="109" t="s">
        <v>29</v>
      </c>
      <c r="J2" s="110" t="s">
        <v>60</v>
      </c>
      <c r="K2" s="110" t="s">
        <v>61</v>
      </c>
      <c r="L2" s="110" t="s">
        <v>62</v>
      </c>
      <c r="M2" s="110" t="s">
        <v>63</v>
      </c>
      <c r="Q2" s="109" t="s">
        <v>58</v>
      </c>
      <c r="R2" s="110" t="s">
        <v>25</v>
      </c>
      <c r="S2" s="110" t="s">
        <v>64</v>
      </c>
      <c r="T2" s="110" t="s">
        <v>29</v>
      </c>
      <c r="U2" s="110" t="s">
        <v>60</v>
      </c>
      <c r="V2" s="110" t="s">
        <v>65</v>
      </c>
      <c r="W2" s="110" t="s">
        <v>62</v>
      </c>
      <c r="X2" s="110" t="s">
        <v>63</v>
      </c>
    </row>
    <row r="3" ht="9.75" customHeight="1">
      <c r="A3" s="1"/>
      <c r="B3" s="1"/>
      <c r="O3" s="111"/>
      <c r="P3" s="112"/>
      <c r="Y3" s="113"/>
    </row>
    <row r="4" ht="22.5" customHeight="1">
      <c r="B4" s="14"/>
      <c r="C4" s="114" t="s">
        <v>66</v>
      </c>
      <c r="D4" s="89"/>
      <c r="E4" s="89"/>
      <c r="F4" s="89"/>
      <c r="G4" s="89"/>
      <c r="H4" s="89"/>
      <c r="I4" s="89"/>
      <c r="J4" s="89"/>
      <c r="K4" s="89"/>
      <c r="L4" s="89"/>
      <c r="M4" s="66"/>
      <c r="N4" s="115"/>
      <c r="P4" s="115"/>
      <c r="Q4" s="116" t="s">
        <v>67</v>
      </c>
      <c r="R4" s="89"/>
      <c r="S4" s="89"/>
      <c r="T4" s="89"/>
      <c r="U4" s="89"/>
      <c r="V4" s="89"/>
      <c r="W4" s="89"/>
      <c r="X4" s="66"/>
    </row>
    <row r="5" ht="22.5" customHeight="1">
      <c r="C5" s="117" t="s">
        <v>68</v>
      </c>
      <c r="D5" s="118">
        <v>2.0</v>
      </c>
      <c r="E5" s="119" t="s">
        <v>69</v>
      </c>
      <c r="F5" s="120">
        <f>STR</f>
        <v>4</v>
      </c>
      <c r="G5" s="120">
        <f>CON</f>
        <v>4</v>
      </c>
      <c r="H5" s="121"/>
      <c r="I5" s="122"/>
      <c r="J5" s="123" t="str">
        <f t="shared" ref="J5:J9" si="1">IF(AND(D5 &lt; 4, D5 &gt; 1)," Coin",
IF(AND(D5 &lt; 20, D5 &gt; 12)," d12",
IF(D5 = 0, "No Skill",
IF(D5 = 1, 1,
" d" &amp; 2*ROUNDDOWN(D5/2,0)))))
&amp;
IF(I5&gt;0,"+"&amp;I5,I5)</f>
        <v> Coin</v>
      </c>
      <c r="K5" s="124">
        <f t="shared" ref="K5:K9" si="2">MIN(F5,G5,H5)</f>
        <v>4</v>
      </c>
      <c r="L5" s="125">
        <f t="shared" ref="L5:L9" si="3">D5+I5</f>
        <v>2</v>
      </c>
      <c r="M5" s="126" t="s">
        <v>70</v>
      </c>
      <c r="Q5" s="127" t="s">
        <v>71</v>
      </c>
      <c r="R5" s="128">
        <v>0.0</v>
      </c>
      <c r="S5" s="129">
        <v>0.0</v>
      </c>
      <c r="T5" s="129">
        <v>2.0</v>
      </c>
      <c r="U5" s="130" t="str">
        <f t="shared" ref="U5:U7" si="4">
IF(AND(R5 &lt; 4, R5 &gt; 1)," Coin",
IF(AND(R5 &lt; 20, R5 &gt; 12)," d12", 
IF(R5 = 0, "No Skill",
IF(R5 = 1, 1,
" d" &amp; 2*ROUNDDOWN(R5/2,0)))))
&amp;
IF(T5&gt;0,"+"&amp;T5,T5)</f>
        <v>No Skill+2</v>
      </c>
      <c r="V5" s="131">
        <f>IF(S5&gt;0,S5,IF(R19="Mercy",10,IF(R19="Severity",0,5)))</f>
        <v>5</v>
      </c>
      <c r="W5" s="130">
        <f>R5+R17+R18+T5</f>
        <v>2</v>
      </c>
      <c r="X5" s="132" t="s">
        <v>70</v>
      </c>
    </row>
    <row r="6" ht="22.5" customHeight="1">
      <c r="C6" s="117" t="s">
        <v>72</v>
      </c>
      <c r="D6" s="118">
        <v>4.0</v>
      </c>
      <c r="E6" s="119" t="s">
        <v>73</v>
      </c>
      <c r="F6" s="120">
        <f>DEX</f>
        <v>4</v>
      </c>
      <c r="G6" s="120">
        <f>WIS</f>
        <v>4</v>
      </c>
      <c r="H6" s="121"/>
      <c r="I6" s="122"/>
      <c r="J6" s="123" t="str">
        <f t="shared" si="1"/>
        <v> d4</v>
      </c>
      <c r="K6" s="124">
        <f t="shared" si="2"/>
        <v>4</v>
      </c>
      <c r="L6" s="125">
        <f t="shared" si="3"/>
        <v>4</v>
      </c>
      <c r="M6" s="126" t="s">
        <v>70</v>
      </c>
      <c r="Q6" s="127" t="s">
        <v>74</v>
      </c>
      <c r="R6" s="128">
        <v>0.0</v>
      </c>
      <c r="S6" s="129">
        <v>0.0</v>
      </c>
      <c r="T6" s="129">
        <v>2.0</v>
      </c>
      <c r="U6" s="130" t="str">
        <f t="shared" si="4"/>
        <v>No Skill+2</v>
      </c>
      <c r="V6" s="131">
        <f>IF(S6&gt;0,S6,IF(R19="Mercy",10,IF(R19="Severity",0,5)))</f>
        <v>5</v>
      </c>
      <c r="W6" s="130">
        <f>R6+R17+R18+T6</f>
        <v>2</v>
      </c>
      <c r="X6" s="132" t="s">
        <v>70</v>
      </c>
    </row>
    <row r="7" ht="22.5" customHeight="1">
      <c r="C7" s="133" t="s">
        <v>75</v>
      </c>
      <c r="D7" s="118">
        <v>6.0</v>
      </c>
      <c r="E7" s="119" t="s">
        <v>76</v>
      </c>
      <c r="F7" s="120">
        <f>STR</f>
        <v>4</v>
      </c>
      <c r="G7" s="120">
        <f>DEX</f>
        <v>4</v>
      </c>
      <c r="H7" s="121"/>
      <c r="I7" s="122"/>
      <c r="J7" s="123" t="str">
        <f t="shared" si="1"/>
        <v> d6</v>
      </c>
      <c r="K7" s="124">
        <f t="shared" si="2"/>
        <v>4</v>
      </c>
      <c r="L7" s="125">
        <f t="shared" si="3"/>
        <v>6</v>
      </c>
      <c r="M7" s="126" t="s">
        <v>70</v>
      </c>
      <c r="Q7" s="134" t="s">
        <v>77</v>
      </c>
      <c r="R7" s="135">
        <v>0.0</v>
      </c>
      <c r="S7" s="136">
        <v>0.0</v>
      </c>
      <c r="T7" s="136">
        <v>2.0</v>
      </c>
      <c r="U7" s="137" t="str">
        <f t="shared" si="4"/>
        <v>No Skill+2</v>
      </c>
      <c r="V7" s="138">
        <f>IF(S7&gt;0,S7,IF(R19="Mercy",10,IF(R19="Severity",0,5)))</f>
        <v>5</v>
      </c>
      <c r="W7" s="137">
        <f>R7+R17+R18+T7</f>
        <v>2</v>
      </c>
      <c r="X7" s="139" t="s">
        <v>70</v>
      </c>
    </row>
    <row r="8" ht="22.5" customHeight="1">
      <c r="C8" s="117" t="s">
        <v>78</v>
      </c>
      <c r="D8" s="118">
        <v>4.0</v>
      </c>
      <c r="E8" s="119" t="s">
        <v>79</v>
      </c>
      <c r="F8" s="120">
        <f>STR</f>
        <v>4</v>
      </c>
      <c r="G8" s="120">
        <f>DEX</f>
        <v>4</v>
      </c>
      <c r="H8" s="120">
        <f>CON</f>
        <v>4</v>
      </c>
      <c r="I8" s="122"/>
      <c r="J8" s="123" t="str">
        <f t="shared" si="1"/>
        <v> d4</v>
      </c>
      <c r="K8" s="124">
        <f t="shared" si="2"/>
        <v>4</v>
      </c>
      <c r="L8" s="125">
        <f t="shared" si="3"/>
        <v>4</v>
      </c>
      <c r="M8" s="126" t="s">
        <v>70</v>
      </c>
      <c r="Q8" s="116" t="s">
        <v>80</v>
      </c>
      <c r="R8" s="89"/>
      <c r="S8" s="89"/>
      <c r="T8" s="89"/>
      <c r="U8" s="89"/>
      <c r="V8" s="89"/>
      <c r="W8" s="89"/>
      <c r="X8" s="66"/>
    </row>
    <row r="9" ht="22.5" customHeight="1">
      <c r="C9" s="140" t="s">
        <v>81</v>
      </c>
      <c r="D9" s="141">
        <v>2.0</v>
      </c>
      <c r="E9" s="142" t="s">
        <v>82</v>
      </c>
      <c r="F9" s="143">
        <f>STR</f>
        <v>4</v>
      </c>
      <c r="G9" s="143">
        <f>DEX</f>
        <v>4</v>
      </c>
      <c r="H9" s="143">
        <f>CHA</f>
        <v>10</v>
      </c>
      <c r="I9" s="144"/>
      <c r="J9" s="145" t="str">
        <f t="shared" si="1"/>
        <v> Coin</v>
      </c>
      <c r="K9" s="146">
        <f t="shared" si="2"/>
        <v>4</v>
      </c>
      <c r="L9" s="147">
        <f t="shared" si="3"/>
        <v>2</v>
      </c>
      <c r="M9" s="148" t="s">
        <v>70</v>
      </c>
      <c r="Q9" s="127" t="s">
        <v>83</v>
      </c>
      <c r="R9" s="149">
        <v>0.0</v>
      </c>
      <c r="S9" s="129">
        <v>0.0</v>
      </c>
      <c r="T9" s="129">
        <v>2.0</v>
      </c>
      <c r="U9" s="130" t="str">
        <f t="shared" ref="U9:U12" si="5">
IF(AND(R9 &lt; 4, R9 &gt; 1)," Coin",
IF(AND(R9 &lt; 20, R9 &gt; 12)," d12", 
IF(R9 = 0, "No Skill",
IF(R9 = 1, 1,
" d" &amp; 2*ROUNDDOWN(R9/2,0)))))
&amp;
IF(T9&gt;0,"+"&amp;T9,T9)</f>
        <v>No Skill+2</v>
      </c>
      <c r="V9" s="131">
        <f>IF(S9&gt;0,S9,IF(R19="Mercy",5,IF(R19="Severity",5,5)))</f>
        <v>5</v>
      </c>
      <c r="W9" s="130">
        <f>R9+R17+R18+T9</f>
        <v>2</v>
      </c>
      <c r="X9" s="150" t="s">
        <v>70</v>
      </c>
    </row>
    <row r="10" ht="22.5" customHeight="1">
      <c r="C10" s="114" t="s">
        <v>84</v>
      </c>
      <c r="D10" s="89"/>
      <c r="E10" s="89"/>
      <c r="F10" s="89"/>
      <c r="G10" s="89"/>
      <c r="H10" s="89"/>
      <c r="I10" s="89"/>
      <c r="J10" s="89"/>
      <c r="K10" s="89"/>
      <c r="L10" s="89"/>
      <c r="M10" s="66"/>
      <c r="Q10" s="127" t="s">
        <v>85</v>
      </c>
      <c r="R10" s="149">
        <v>0.0</v>
      </c>
      <c r="S10" s="129">
        <v>0.0</v>
      </c>
      <c r="T10" s="129">
        <v>2.0</v>
      </c>
      <c r="U10" s="130" t="str">
        <f t="shared" si="5"/>
        <v>No Skill+2</v>
      </c>
      <c r="V10" s="131">
        <f>IF(S10&gt;0,S10,IF(R19="Mercy",5,IF(R19="Severity",5,5)))</f>
        <v>5</v>
      </c>
      <c r="W10" s="130">
        <f>R10+R17+R18+T10</f>
        <v>2</v>
      </c>
      <c r="X10" s="150" t="s">
        <v>70</v>
      </c>
    </row>
    <row r="11" ht="22.5" customHeight="1">
      <c r="C11" s="117" t="s">
        <v>86</v>
      </c>
      <c r="D11" s="118">
        <v>5.0</v>
      </c>
      <c r="E11" s="119" t="s">
        <v>87</v>
      </c>
      <c r="F11" s="120">
        <f>WIS</f>
        <v>4</v>
      </c>
      <c r="G11" s="120">
        <f>CHA</f>
        <v>10</v>
      </c>
      <c r="H11" s="121"/>
      <c r="I11" s="122"/>
      <c r="J11" s="151" t="str">
        <f>IF(AND(D11 &lt; 4, D11 &gt; 1)," Coin",
IF(AND(D11 &lt; 20, D11 &gt; 12)," d12",
IF(D11 = 0, "No Skill",
IF(D11 = 1, 1,
" d" &amp; 2*ROUNDDOWN(D11/2,0)))))
&amp;
IF(I11&gt;0,"+"&amp;I11,I11)
&amp;
IF(BEAUTYMOD &gt; 0,"+" &amp; BEAUTYMOD, "-" &amp; BEAUTYMOD*-1)</f>
        <v> d4+3</v>
      </c>
      <c r="K11" s="124">
        <f t="shared" ref="K11:K15" si="6">MIN(F11,G11,H11)</f>
        <v>4</v>
      </c>
      <c r="L11" s="152">
        <f>BEAUTYMOD+I11+D11</f>
        <v>8</v>
      </c>
      <c r="M11" s="126" t="s">
        <v>70</v>
      </c>
      <c r="Q11" s="127" t="s">
        <v>88</v>
      </c>
      <c r="R11" s="149">
        <v>0.0</v>
      </c>
      <c r="S11" s="129">
        <v>0.0</v>
      </c>
      <c r="T11" s="129">
        <v>2.0</v>
      </c>
      <c r="U11" s="130" t="str">
        <f t="shared" si="5"/>
        <v>No Skill+2</v>
      </c>
      <c r="V11" s="131">
        <f>IF(S11&gt;0,S11,IF(R19="Mercy",5,IF(R19="Severity",5,5)))</f>
        <v>5</v>
      </c>
      <c r="W11" s="130">
        <f>R11+R17+R18+T11</f>
        <v>2</v>
      </c>
      <c r="X11" s="150" t="s">
        <v>70</v>
      </c>
    </row>
    <row r="12" ht="22.5" customHeight="1">
      <c r="C12" s="117" t="s">
        <v>89</v>
      </c>
      <c r="D12" s="118">
        <v>5.0</v>
      </c>
      <c r="E12" s="119" t="s">
        <v>90</v>
      </c>
      <c r="F12" s="120">
        <f>STR</f>
        <v>4</v>
      </c>
      <c r="G12" s="120">
        <f>CHA</f>
        <v>10</v>
      </c>
      <c r="H12" s="121"/>
      <c r="I12" s="122"/>
      <c r="J12" s="151" t="str">
        <f>IF(AND(D12 &lt; 4, D12 &gt; 1)," Coin",
IF(AND(D12 &lt; 20, D12 &gt; 12)," d12",
IF(D12 = 0, "No Skill",
IF(D12 = 1, 1,
" d" &amp; 2*ROUNDDOWN(D12/2,0)))))
&amp;
IF(I12&gt;0,"+"&amp;I12,I12)
&amp;
IF(BEAUTYMOD &gt; 0,"-" &amp; BEAUTYMOD, "+" &amp; BEAUTYMOD*-1)</f>
        <v> d4-3</v>
      </c>
      <c r="K12" s="124">
        <f t="shared" si="6"/>
        <v>4</v>
      </c>
      <c r="L12" s="152">
        <f>(BEAUTYMOD*-1)+I12+D12</f>
        <v>2</v>
      </c>
      <c r="M12" s="126" t="s">
        <v>70</v>
      </c>
      <c r="Q12" s="134" t="s">
        <v>91</v>
      </c>
      <c r="R12" s="153">
        <v>0.0</v>
      </c>
      <c r="S12" s="136">
        <v>0.0</v>
      </c>
      <c r="T12" s="136">
        <v>2.0</v>
      </c>
      <c r="U12" s="137" t="str">
        <f t="shared" si="5"/>
        <v>No Skill+2</v>
      </c>
      <c r="V12" s="138">
        <f>IF(S12&gt;0,S12,IF(R19="Mercy",5,IF(R19="Severity",5,5)))</f>
        <v>5</v>
      </c>
      <c r="W12" s="137">
        <f>R12+R17+R18+T12</f>
        <v>2</v>
      </c>
      <c r="X12" s="154" t="s">
        <v>70</v>
      </c>
    </row>
    <row r="13" ht="22.5" customHeight="1">
      <c r="C13" s="117" t="s">
        <v>92</v>
      </c>
      <c r="D13" s="118">
        <v>12.0</v>
      </c>
      <c r="E13" s="119" t="s">
        <v>93</v>
      </c>
      <c r="F13" s="120">
        <f>INT</f>
        <v>14</v>
      </c>
      <c r="G13" s="120">
        <f>CHA</f>
        <v>10</v>
      </c>
      <c r="H13" s="121"/>
      <c r="I13" s="122"/>
      <c r="J13" s="151" t="str">
        <f>IF(AND(D13 &lt; 4, D13 &gt; 1)," Coin",
IF(AND(D13 &lt; 20, D13 &gt; 12)," d12",
IF(D13 = 0, "No Skill",
IF(D13 = 1, 1,
" d" &amp; 2*ROUNDDOWN(D13/2,0)))))
&amp;
IF(I13&gt;0,"+"&amp;I13,I13)
&amp;
IF(BEAUTYMOD &gt; 0,"+" &amp; BEAUTYMOD, "-" &amp; BEAUTYMOD*-1)</f>
        <v> d12+3</v>
      </c>
      <c r="K13" s="124">
        <f t="shared" si="6"/>
        <v>10</v>
      </c>
      <c r="L13" s="152">
        <f>BEAUTYMOD+I13+D13</f>
        <v>15</v>
      </c>
      <c r="M13" s="126" t="s">
        <v>70</v>
      </c>
      <c r="Q13" s="116" t="s">
        <v>94</v>
      </c>
      <c r="R13" s="89"/>
      <c r="S13" s="89"/>
      <c r="T13" s="89"/>
      <c r="U13" s="89"/>
      <c r="V13" s="89"/>
      <c r="W13" s="89"/>
      <c r="X13" s="66"/>
    </row>
    <row r="14" ht="22.5" customHeight="1">
      <c r="C14" s="117" t="s">
        <v>95</v>
      </c>
      <c r="D14" s="118">
        <v>12.0</v>
      </c>
      <c r="E14" s="119" t="s">
        <v>96</v>
      </c>
      <c r="F14" s="120">
        <f>INT</f>
        <v>14</v>
      </c>
      <c r="G14" s="120">
        <f>WIS</f>
        <v>4</v>
      </c>
      <c r="H14" s="120"/>
      <c r="I14" s="122"/>
      <c r="J14" s="123" t="str">
        <f t="shared" ref="J14:J15" si="7">IF(AND(D14 &lt; 4, D14 &gt; 1)," Coin",
IF(AND(D14 &lt; 20, D14 &gt; 12)," d12",
IF(D14 = 0, "No Skill",
IF(D14 = 1, 1,
" d" &amp; 2*ROUNDDOWN(D14/2,0)))))
&amp;
IF(I14&gt;0,"+"&amp;I14,I14)</f>
        <v> d12</v>
      </c>
      <c r="K14" s="124">
        <f t="shared" si="6"/>
        <v>4</v>
      </c>
      <c r="L14" s="125">
        <f t="shared" ref="L14:L15" si="8">D14+I14</f>
        <v>12</v>
      </c>
      <c r="M14" s="126" t="s">
        <v>70</v>
      </c>
      <c r="Q14" s="127" t="s">
        <v>97</v>
      </c>
      <c r="R14" s="155">
        <v>0.0</v>
      </c>
      <c r="S14" s="129">
        <v>0.0</v>
      </c>
      <c r="T14" s="129">
        <v>2.0</v>
      </c>
      <c r="U14" s="130" t="str">
        <f t="shared" ref="U14:U16" si="9">
IF(AND(R14 &lt; 4, R14 &gt; 1)," Coin",
IF(AND(R14 &lt; 20, R14 &gt; 12)," d12", 
IF(R14 = 0, "No Skill",
IF(R14 = 1, 1,
" d" &amp; 2*ROUNDDOWN(R14/2,0)))))
&amp;
IF(T14&gt;0,"+"&amp;T14,T14)</f>
        <v>No Skill+2</v>
      </c>
      <c r="V14" s="131">
        <f>IF(S14&gt;0,S14,IF(R19="Mercy",0,IF(R19="Severity",10,5)))</f>
        <v>5</v>
      </c>
      <c r="W14" s="130">
        <f>R14+R17+R18+T14</f>
        <v>2</v>
      </c>
      <c r="X14" s="150" t="s">
        <v>70</v>
      </c>
    </row>
    <row r="15" ht="22.5" customHeight="1">
      <c r="C15" s="140" t="s">
        <v>98</v>
      </c>
      <c r="D15" s="141">
        <v>12.0</v>
      </c>
      <c r="E15" s="142" t="s">
        <v>99</v>
      </c>
      <c r="F15" s="143">
        <f>INT</f>
        <v>14</v>
      </c>
      <c r="G15" s="143">
        <f>WIS</f>
        <v>4</v>
      </c>
      <c r="H15" s="143">
        <f>CHA</f>
        <v>10</v>
      </c>
      <c r="I15" s="156"/>
      <c r="J15" s="145" t="str">
        <f t="shared" si="7"/>
        <v> d12</v>
      </c>
      <c r="K15" s="146">
        <f t="shared" si="6"/>
        <v>4</v>
      </c>
      <c r="L15" s="147">
        <f t="shared" si="8"/>
        <v>12</v>
      </c>
      <c r="M15" s="148" t="s">
        <v>70</v>
      </c>
      <c r="Q15" s="127" t="s">
        <v>100</v>
      </c>
      <c r="R15" s="155">
        <v>0.0</v>
      </c>
      <c r="S15" s="129">
        <v>15.0</v>
      </c>
      <c r="T15" s="129">
        <v>2.0</v>
      </c>
      <c r="U15" s="130" t="str">
        <f t="shared" si="9"/>
        <v>No Skill+2</v>
      </c>
      <c r="V15" s="131">
        <f>IF(S15&gt;0,S15,IF(R19="Mercy",0,IF(R19="Severity",10,5)))</f>
        <v>15</v>
      </c>
      <c r="W15" s="130">
        <f>R15+R17+R18+T15</f>
        <v>2</v>
      </c>
      <c r="X15" s="150" t="s">
        <v>70</v>
      </c>
    </row>
    <row r="16" ht="22.5" customHeight="1">
      <c r="C16" s="114" t="s">
        <v>101</v>
      </c>
      <c r="D16" s="89"/>
      <c r="E16" s="89"/>
      <c r="F16" s="89"/>
      <c r="G16" s="89"/>
      <c r="H16" s="89"/>
      <c r="I16" s="89"/>
      <c r="J16" s="89"/>
      <c r="K16" s="89"/>
      <c r="L16" s="89"/>
      <c r="M16" s="66"/>
      <c r="Q16" s="134" t="s">
        <v>102</v>
      </c>
      <c r="R16" s="157">
        <v>0.0</v>
      </c>
      <c r="S16" s="136">
        <v>0.0</v>
      </c>
      <c r="T16" s="136">
        <v>2.0</v>
      </c>
      <c r="U16" s="137" t="str">
        <f t="shared" si="9"/>
        <v>No Skill+2</v>
      </c>
      <c r="V16" s="138">
        <f>IF(S16&gt;0,S16,IF(R19="Mercy",0,IF(R19="Severity",10,5)))</f>
        <v>5</v>
      </c>
      <c r="W16" s="137">
        <f>R16+R17+R18+T16</f>
        <v>2</v>
      </c>
      <c r="X16" s="154" t="s">
        <v>70</v>
      </c>
    </row>
    <row r="17" ht="22.5" customHeight="1">
      <c r="C17" s="133" t="s">
        <v>103</v>
      </c>
      <c r="D17" s="118">
        <v>2.0</v>
      </c>
      <c r="E17" s="119" t="s">
        <v>76</v>
      </c>
      <c r="F17" s="120">
        <f>STR</f>
        <v>4</v>
      </c>
      <c r="G17" s="120">
        <f>DEX</f>
        <v>4</v>
      </c>
      <c r="H17" s="121"/>
      <c r="I17" s="122"/>
      <c r="J17" s="123" t="str">
        <f t="shared" ref="J17:J23" si="10">IF(AND(D17 &lt; 4, D17 &gt; 1)," Coin",
IF(AND(D17 &lt; 20, D17 &gt; 12)," d12",
IF(D17 = 0, "No Skill",
IF(D17 = 1, 1,
" d" &amp; 2*ROUNDDOWN(D17/2,0)))))
&amp;
IF(I17&gt;0,"+"&amp;I17,I17)</f>
        <v> Coin</v>
      </c>
      <c r="K17" s="124">
        <f t="shared" ref="K17:K23" si="11">MIN(F17,G17,H17)</f>
        <v>4</v>
      </c>
      <c r="L17" s="125">
        <f t="shared" ref="L17:L23" si="12">D17+I17</f>
        <v>2</v>
      </c>
      <c r="M17" s="126" t="s">
        <v>70</v>
      </c>
      <c r="Q17" s="133" t="s">
        <v>104</v>
      </c>
      <c r="R17" s="158">
        <v>0.0</v>
      </c>
      <c r="S17" s="159"/>
      <c r="T17" s="159"/>
      <c r="U17" s="159"/>
    </row>
    <row r="18" ht="22.5" customHeight="1">
      <c r="C18" s="117" t="s">
        <v>105</v>
      </c>
      <c r="D18" s="118">
        <v>0.0</v>
      </c>
      <c r="E18" s="119" t="s">
        <v>76</v>
      </c>
      <c r="F18" s="120">
        <f>STR</f>
        <v>4</v>
      </c>
      <c r="G18" s="120">
        <f>DEX</f>
        <v>4</v>
      </c>
      <c r="H18" s="121"/>
      <c r="I18" s="122"/>
      <c r="J18" s="123" t="str">
        <f t="shared" si="10"/>
        <v>No Skill</v>
      </c>
      <c r="K18" s="124">
        <f t="shared" si="11"/>
        <v>4</v>
      </c>
      <c r="L18" s="125">
        <f t="shared" si="12"/>
        <v>0</v>
      </c>
      <c r="M18" s="160" t="s">
        <v>70</v>
      </c>
      <c r="Q18" s="133" t="s">
        <v>106</v>
      </c>
      <c r="R18" s="161">
        <v>0.0</v>
      </c>
      <c r="S18" s="159"/>
      <c r="T18" s="162" t="s">
        <v>107</v>
      </c>
      <c r="U18" s="163" t="s">
        <v>108</v>
      </c>
      <c r="V18" s="164">
        <v>15.0</v>
      </c>
      <c r="W18" s="164">
        <v>15.0</v>
      </c>
      <c r="X18" s="165"/>
    </row>
    <row r="19" ht="22.5" customHeight="1">
      <c r="C19" s="133" t="s">
        <v>109</v>
      </c>
      <c r="D19" s="118">
        <v>8.0</v>
      </c>
      <c r="E19" s="119" t="s">
        <v>69</v>
      </c>
      <c r="F19" s="120">
        <f>STR</f>
        <v>4</v>
      </c>
      <c r="G19" s="120">
        <f>CON</f>
        <v>4</v>
      </c>
      <c r="H19" s="121"/>
      <c r="I19" s="122"/>
      <c r="J19" s="123" t="str">
        <f t="shared" si="10"/>
        <v> d8</v>
      </c>
      <c r="K19" s="124">
        <f t="shared" si="11"/>
        <v>4</v>
      </c>
      <c r="L19" s="125">
        <f t="shared" si="12"/>
        <v>8</v>
      </c>
      <c r="M19" s="160" t="s">
        <v>70</v>
      </c>
      <c r="Q19" s="133" t="s">
        <v>110</v>
      </c>
      <c r="R19" s="158" t="s">
        <v>44</v>
      </c>
      <c r="S19" s="159"/>
      <c r="T19" s="82"/>
      <c r="U19" s="166" t="s">
        <v>111</v>
      </c>
      <c r="V19" s="167">
        <v>30.0</v>
      </c>
      <c r="W19" s="167">
        <v>9.0</v>
      </c>
    </row>
    <row r="20" ht="22.5" customHeight="1">
      <c r="C20" s="117" t="s">
        <v>112</v>
      </c>
      <c r="D20" s="118">
        <v>20.0</v>
      </c>
      <c r="E20" s="119" t="s">
        <v>113</v>
      </c>
      <c r="F20" s="120">
        <f>DEX</f>
        <v>4</v>
      </c>
      <c r="G20" s="120">
        <f>CHA</f>
        <v>10</v>
      </c>
      <c r="H20" s="121"/>
      <c r="I20" s="122"/>
      <c r="J20" s="123" t="str">
        <f t="shared" si="10"/>
        <v> d20</v>
      </c>
      <c r="K20" s="124">
        <f t="shared" si="11"/>
        <v>4</v>
      </c>
      <c r="L20" s="125">
        <f t="shared" si="12"/>
        <v>20</v>
      </c>
      <c r="M20" s="126" t="s">
        <v>70</v>
      </c>
      <c r="Q20" s="133" t="s">
        <v>114</v>
      </c>
      <c r="R20" s="168">
        <f>MAX(Main!H7,1)</f>
        <v>19</v>
      </c>
      <c r="S20" s="159"/>
      <c r="T20" s="84"/>
      <c r="U20" s="169"/>
      <c r="V20" s="170"/>
      <c r="W20" s="170"/>
    </row>
    <row r="21" ht="22.5" customHeight="1">
      <c r="C21" s="117" t="s">
        <v>115</v>
      </c>
      <c r="D21" s="118">
        <v>2.0</v>
      </c>
      <c r="E21" s="119" t="s">
        <v>116</v>
      </c>
      <c r="F21" s="120">
        <f>STR</f>
        <v>4</v>
      </c>
      <c r="G21" s="120">
        <f>DEX</f>
        <v>4</v>
      </c>
      <c r="H21" s="120">
        <f>WIS</f>
        <v>4</v>
      </c>
      <c r="I21" s="122"/>
      <c r="J21" s="123" t="str">
        <f t="shared" si="10"/>
        <v> Coin</v>
      </c>
      <c r="K21" s="124">
        <f t="shared" si="11"/>
        <v>4</v>
      </c>
      <c r="L21" s="125">
        <f t="shared" si="12"/>
        <v>2</v>
      </c>
      <c r="M21" s="160" t="s">
        <v>70</v>
      </c>
      <c r="Q21" s="171" t="s">
        <v>117</v>
      </c>
      <c r="R21" s="172">
        <f>FLOOR(SUM(D5:D9,D11:D15,D17:D23,D25:D27,D29:D31,D33:D36,D38:D42,D44:D48,D50:D53,D55:D57,D59:D61,D63:D65)+SUM(R5:R7,R9:R12,R14:R16)*2,1)</f>
        <v>404</v>
      </c>
      <c r="S21" s="159"/>
      <c r="T21" s="159"/>
      <c r="U21" s="159"/>
    </row>
    <row r="22" ht="22.5" customHeight="1">
      <c r="C22" s="117" t="s">
        <v>118</v>
      </c>
      <c r="D22" s="118">
        <v>0.0</v>
      </c>
      <c r="E22" s="119" t="s">
        <v>119</v>
      </c>
      <c r="F22" s="120">
        <f>DEX</f>
        <v>4</v>
      </c>
      <c r="G22" s="120">
        <f>CON</f>
        <v>4</v>
      </c>
      <c r="H22" s="120">
        <f>WIS</f>
        <v>4</v>
      </c>
      <c r="I22" s="122"/>
      <c r="J22" s="123" t="str">
        <f t="shared" si="10"/>
        <v>No Skill</v>
      </c>
      <c r="K22" s="124">
        <f t="shared" si="11"/>
        <v>4</v>
      </c>
      <c r="L22" s="125">
        <f t="shared" si="12"/>
        <v>0</v>
      </c>
      <c r="M22" s="160" t="s">
        <v>70</v>
      </c>
      <c r="Q22" s="62"/>
    </row>
    <row r="23" ht="22.5" customHeight="1">
      <c r="C23" s="171" t="s">
        <v>120</v>
      </c>
      <c r="D23" s="141">
        <v>20.0</v>
      </c>
      <c r="E23" s="142" t="s">
        <v>79</v>
      </c>
      <c r="F23" s="143">
        <f>STR</f>
        <v>4</v>
      </c>
      <c r="G23" s="143">
        <f>DEX</f>
        <v>4</v>
      </c>
      <c r="H23" s="143">
        <f>CON</f>
        <v>4</v>
      </c>
      <c r="I23" s="156"/>
      <c r="J23" s="145" t="str">
        <f t="shared" si="10"/>
        <v> d20</v>
      </c>
      <c r="K23" s="146">
        <f t="shared" si="11"/>
        <v>4</v>
      </c>
      <c r="L23" s="147">
        <f t="shared" si="12"/>
        <v>20</v>
      </c>
      <c r="M23" s="148" t="s">
        <v>70</v>
      </c>
      <c r="Q23" s="173" t="s">
        <v>121</v>
      </c>
      <c r="R23" s="89"/>
      <c r="S23" s="89"/>
      <c r="T23" s="89"/>
      <c r="U23" s="89"/>
      <c r="V23" s="89"/>
      <c r="W23" s="89"/>
      <c r="X23" s="66"/>
    </row>
    <row r="24" ht="22.5" customHeight="1">
      <c r="C24" s="114" t="s">
        <v>122</v>
      </c>
      <c r="D24" s="89"/>
      <c r="E24" s="89"/>
      <c r="F24" s="89"/>
      <c r="G24" s="89"/>
      <c r="H24" s="89"/>
      <c r="I24" s="89"/>
      <c r="J24" s="89"/>
      <c r="K24" s="89"/>
      <c r="L24" s="89"/>
      <c r="M24" s="66"/>
      <c r="Q24" s="174"/>
      <c r="R24" s="175" t="s">
        <v>123</v>
      </c>
      <c r="T24" s="175" t="s">
        <v>124</v>
      </c>
      <c r="U24" s="175" t="s">
        <v>125</v>
      </c>
      <c r="X24" s="176"/>
    </row>
    <row r="25" ht="22.5" customHeight="1">
      <c r="C25" s="117" t="s">
        <v>126</v>
      </c>
      <c r="D25" s="118">
        <v>4.0</v>
      </c>
      <c r="E25" s="119" t="s">
        <v>96</v>
      </c>
      <c r="F25" s="120">
        <f>INT</f>
        <v>14</v>
      </c>
      <c r="G25" s="120">
        <f>WIS</f>
        <v>4</v>
      </c>
      <c r="H25" s="121"/>
      <c r="I25" s="177"/>
      <c r="J25" s="178" t="str">
        <f>IF(AND(D25 &lt; 4, D25 &gt; 1)," Coin",
IF(AND(D25 &lt; 20, D25 &gt; 12)," d12",
IF(D25 = 0, "No Skill",
IF(D25 = 1, 1,
" d" &amp; 2*ROUNDDOWN(D25/2,0)))))
&amp;
IF(I25&gt;0,"+"&amp;I25,I25)
&amp;
IF(BEAUTYMOD &gt; 0,"+" &amp; BEAUTYMOD, "-" &amp; BEAUTYMOD*-1)</f>
        <v> d4+3</v>
      </c>
      <c r="K25" s="124">
        <f t="shared" ref="K25:K27" si="13">MIN(F25,G25,H25)</f>
        <v>4</v>
      </c>
      <c r="L25" s="179">
        <f>BEAUTYMOD+I25+D25</f>
        <v>7</v>
      </c>
      <c r="M25" s="180" t="s">
        <v>70</v>
      </c>
      <c r="Q25" s="174"/>
      <c r="R25" s="181" t="s">
        <v>127</v>
      </c>
      <c r="T25" s="182"/>
      <c r="U25" s="182" t="s">
        <v>128</v>
      </c>
      <c r="X25" s="176"/>
    </row>
    <row r="26" ht="22.5" customHeight="1">
      <c r="C26" s="117" t="s">
        <v>129</v>
      </c>
      <c r="D26" s="118">
        <v>0.0</v>
      </c>
      <c r="E26" s="119" t="s">
        <v>130</v>
      </c>
      <c r="F26" s="120">
        <f>DEX</f>
        <v>4</v>
      </c>
      <c r="G26" s="120">
        <f>WIS</f>
        <v>4</v>
      </c>
      <c r="H26" s="120">
        <f>CHA</f>
        <v>10</v>
      </c>
      <c r="I26" s="183"/>
      <c r="J26" s="178" t="str">
        <f>IF(AND(D26 &lt; 4, D26 &gt; 1)," Coin",
IF(AND(D26 &lt; 20, D26 &gt; 12)," d12",
IF(D26 = 0, "No Skill",
IF(D26 = 1, 1,
" d" &amp; 2*ROUNDDOWN(D26/2,0)))))
&amp;
IF(I26&gt;0,"+"&amp;I26,I26)
&amp;
IF(BEAUTYMOD &gt; 0,"+" &amp; BEAUTYMOD, "-" &amp; BEAUTYMOD*-1)</f>
        <v>No Skill+3</v>
      </c>
      <c r="K26" s="124">
        <f t="shared" si="13"/>
        <v>4</v>
      </c>
      <c r="L26" s="179">
        <f>BEAUTYMOD+I26+D26</f>
        <v>3</v>
      </c>
      <c r="M26" s="150" t="s">
        <v>70</v>
      </c>
      <c r="Q26" s="184"/>
      <c r="R26" s="185"/>
      <c r="S26" s="186"/>
      <c r="T26" s="75"/>
      <c r="U26" s="187"/>
      <c r="V26" s="186"/>
      <c r="W26" s="186"/>
      <c r="X26" s="188"/>
    </row>
    <row r="27" ht="22.5" customHeight="1">
      <c r="C27" s="140" t="s">
        <v>131</v>
      </c>
      <c r="D27" s="141">
        <v>0.0</v>
      </c>
      <c r="E27" s="142" t="s">
        <v>132</v>
      </c>
      <c r="F27" s="143">
        <f>STR</f>
        <v>4</v>
      </c>
      <c r="G27" s="143">
        <f>DEX</f>
        <v>4</v>
      </c>
      <c r="H27" s="143">
        <f>CHA</f>
        <v>10</v>
      </c>
      <c r="I27" s="189"/>
      <c r="J27" s="190" t="str">
        <f>IF(AND(D27 &lt; 4, D27 &gt; 1)," Coin",
IF(AND(D27 &lt; 20, D27 &gt; 12)," d12",
IF(D27 = 0, "No Skill",
IF(D27 = 1, 1,
" d" &amp; 2*ROUNDDOWN(D27/2,0)))))
&amp;
IF(I27&gt;0,"+"&amp;I27,I27)
&amp;
IF(BEAUTYMOD &gt; 0,"+" &amp; BEAUTYMOD, "-" &amp; BEAUTYMOD*-1)</f>
        <v>No Skill+3</v>
      </c>
      <c r="K27" s="146">
        <f t="shared" si="13"/>
        <v>4</v>
      </c>
      <c r="L27" s="191">
        <f>BEAUTYMOD+I27+D27</f>
        <v>3</v>
      </c>
      <c r="M27" s="192" t="s">
        <v>70</v>
      </c>
      <c r="Q27" s="62"/>
      <c r="R27" s="193"/>
      <c r="S27" s="194"/>
      <c r="X27" s="195"/>
    </row>
    <row r="28" ht="22.5" customHeight="1">
      <c r="C28" s="114" t="s">
        <v>133</v>
      </c>
      <c r="D28" s="89"/>
      <c r="E28" s="89"/>
      <c r="F28" s="89"/>
      <c r="G28" s="89"/>
      <c r="H28" s="89"/>
      <c r="I28" s="89"/>
      <c r="J28" s="89"/>
      <c r="K28" s="89"/>
      <c r="L28" s="89"/>
      <c r="M28" s="66"/>
      <c r="Q28" s="173" t="s">
        <v>134</v>
      </c>
      <c r="R28" s="196"/>
      <c r="S28" s="196"/>
      <c r="T28" s="196"/>
      <c r="U28" s="196"/>
      <c r="V28" s="196"/>
      <c r="W28" s="196"/>
      <c r="X28" s="197"/>
    </row>
    <row r="29" ht="22.5" customHeight="1">
      <c r="C29" s="117" t="s">
        <v>135</v>
      </c>
      <c r="D29" s="118">
        <v>16.0</v>
      </c>
      <c r="E29" s="119" t="s">
        <v>130</v>
      </c>
      <c r="F29" s="120">
        <f>DEX</f>
        <v>4</v>
      </c>
      <c r="G29" s="120">
        <f>WIS</f>
        <v>4</v>
      </c>
      <c r="H29" s="120">
        <f>CHA</f>
        <v>10</v>
      </c>
      <c r="I29" s="183"/>
      <c r="J29" s="178" t="str">
        <f t="shared" ref="J29:J31" si="14">IF(AND(D29 &lt; 4, D29 &gt; 1)," Coin",
IF(AND(D29 &lt; 20, D29 &gt; 12)," d12",
IF(D29 = 0, "No Skill",
IF(D29 = 1, 1,
" d" &amp; 2*ROUNDDOWN(D29/2,0)))))
&amp;
IF(I29&gt;0,"+"&amp;I29,I29)</f>
        <v> d12</v>
      </c>
      <c r="K29" s="124">
        <f t="shared" ref="K29:K31" si="15">MIN(F29,G29,H29)</f>
        <v>4</v>
      </c>
      <c r="L29" s="198">
        <f t="shared" ref="L29:L31" si="16">D29+I29</f>
        <v>16</v>
      </c>
      <c r="M29" s="150" t="s">
        <v>70</v>
      </c>
      <c r="Q29" s="174"/>
      <c r="R29" s="181"/>
      <c r="S29" s="199"/>
      <c r="X29" s="176"/>
    </row>
    <row r="30" ht="22.5" customHeight="1">
      <c r="C30" s="133" t="s">
        <v>136</v>
      </c>
      <c r="D30" s="118">
        <v>0.0</v>
      </c>
      <c r="E30" s="119" t="s">
        <v>130</v>
      </c>
      <c r="F30" s="120">
        <f>DEX</f>
        <v>4</v>
      </c>
      <c r="G30" s="120">
        <f>WIS</f>
        <v>4</v>
      </c>
      <c r="H30" s="120">
        <f>CHA</f>
        <v>10</v>
      </c>
      <c r="I30" s="183"/>
      <c r="J30" s="178" t="str">
        <f t="shared" si="14"/>
        <v>No Skill</v>
      </c>
      <c r="K30" s="124">
        <f t="shared" si="15"/>
        <v>4</v>
      </c>
      <c r="L30" s="198">
        <f t="shared" si="16"/>
        <v>0</v>
      </c>
      <c r="M30" s="180" t="s">
        <v>70</v>
      </c>
      <c r="Q30" s="174"/>
      <c r="R30" s="200"/>
      <c r="S30" s="201"/>
      <c r="X30" s="176"/>
    </row>
    <row r="31" ht="22.5" customHeight="1">
      <c r="C31" s="171" t="s">
        <v>137</v>
      </c>
      <c r="D31" s="141">
        <v>4.0</v>
      </c>
      <c r="E31" s="142" t="s">
        <v>99</v>
      </c>
      <c r="F31" s="143">
        <f>INT</f>
        <v>14</v>
      </c>
      <c r="G31" s="143">
        <f>WIS</f>
        <v>4</v>
      </c>
      <c r="H31" s="143">
        <f>CHA</f>
        <v>10</v>
      </c>
      <c r="I31" s="189"/>
      <c r="J31" s="190" t="str">
        <f t="shared" si="14"/>
        <v> d4</v>
      </c>
      <c r="K31" s="146">
        <f t="shared" si="15"/>
        <v>4</v>
      </c>
      <c r="L31" s="202">
        <f t="shared" si="16"/>
        <v>4</v>
      </c>
      <c r="M31" s="154" t="s">
        <v>70</v>
      </c>
      <c r="Q31" s="174"/>
      <c r="R31" s="181"/>
      <c r="S31" s="199"/>
      <c r="X31" s="176"/>
    </row>
    <row r="32" ht="22.5" customHeight="1">
      <c r="C32" s="114" t="s">
        <v>138</v>
      </c>
      <c r="D32" s="89"/>
      <c r="E32" s="89"/>
      <c r="F32" s="89"/>
      <c r="G32" s="89"/>
      <c r="H32" s="89"/>
      <c r="I32" s="89"/>
      <c r="J32" s="89"/>
      <c r="K32" s="89"/>
      <c r="L32" s="89"/>
      <c r="M32" s="66"/>
      <c r="Q32" s="174"/>
      <c r="R32" s="200"/>
      <c r="S32" s="201"/>
      <c r="X32" s="176"/>
    </row>
    <row r="33" ht="22.5" customHeight="1">
      <c r="C33" s="117" t="s">
        <v>139</v>
      </c>
      <c r="D33" s="118">
        <v>4.0</v>
      </c>
      <c r="E33" s="119" t="s">
        <v>93</v>
      </c>
      <c r="F33" s="120">
        <f>INT</f>
        <v>14</v>
      </c>
      <c r="G33" s="120">
        <f>CHA</f>
        <v>10</v>
      </c>
      <c r="H33" s="121"/>
      <c r="I33" s="183"/>
      <c r="J33" s="178" t="str">
        <f t="shared" ref="J33:J36" si="17">IF(AND(D33 &lt; 4, D33 &gt; 1)," Coin",
IF(AND(D33 &lt; 20, D33 &gt; 12)," d12",
IF(D33 = 0, "No Skill",
IF(D33 = 1, 1,
" d" &amp; 2*ROUNDDOWN(D33/2,0)))))
&amp;
IF(I33&gt;0,"+"&amp;I33,I33)</f>
        <v> d4</v>
      </c>
      <c r="K33" s="124">
        <f t="shared" ref="K33:K36" si="18">MIN(F33,G33,H33)</f>
        <v>10</v>
      </c>
      <c r="L33" s="198">
        <f t="shared" ref="L33:L36" si="19">D33+I33</f>
        <v>4</v>
      </c>
      <c r="M33" s="150" t="s">
        <v>70</v>
      </c>
      <c r="Q33" s="174"/>
      <c r="R33" s="181"/>
      <c r="S33" s="199"/>
      <c r="X33" s="176"/>
    </row>
    <row r="34" ht="22.5" customHeight="1">
      <c r="C34" s="117" t="s">
        <v>140</v>
      </c>
      <c r="D34" s="118">
        <v>4.0</v>
      </c>
      <c r="E34" s="119" t="s">
        <v>87</v>
      </c>
      <c r="F34" s="120">
        <f>WIS</f>
        <v>4</v>
      </c>
      <c r="G34" s="120">
        <f>CHA</f>
        <v>10</v>
      </c>
      <c r="H34" s="121"/>
      <c r="I34" s="183"/>
      <c r="J34" s="178" t="str">
        <f t="shared" si="17"/>
        <v> d4</v>
      </c>
      <c r="K34" s="124">
        <f t="shared" si="18"/>
        <v>4</v>
      </c>
      <c r="L34" s="198">
        <f t="shared" si="19"/>
        <v>4</v>
      </c>
      <c r="M34" s="180" t="s">
        <v>70</v>
      </c>
      <c r="Q34" s="174"/>
      <c r="R34" s="203"/>
      <c r="S34" s="204"/>
      <c r="X34" s="176"/>
    </row>
    <row r="35" ht="22.5" customHeight="1">
      <c r="C35" s="117" t="s">
        <v>141</v>
      </c>
      <c r="D35" s="118">
        <v>1.0</v>
      </c>
      <c r="E35" s="119" t="s">
        <v>93</v>
      </c>
      <c r="F35" s="120">
        <f>INT</f>
        <v>14</v>
      </c>
      <c r="G35" s="120">
        <f>CHA</f>
        <v>10</v>
      </c>
      <c r="H35" s="121"/>
      <c r="I35" s="183"/>
      <c r="J35" s="178" t="str">
        <f t="shared" si="17"/>
        <v>1</v>
      </c>
      <c r="K35" s="124">
        <f t="shared" si="18"/>
        <v>10</v>
      </c>
      <c r="L35" s="198">
        <f t="shared" si="19"/>
        <v>1</v>
      </c>
      <c r="M35" s="180" t="s">
        <v>70</v>
      </c>
      <c r="Q35" s="174"/>
      <c r="R35" s="205"/>
      <c r="S35" s="206"/>
      <c r="X35" s="176"/>
    </row>
    <row r="36" ht="22.5" customHeight="1">
      <c r="C36" s="140" t="s">
        <v>142</v>
      </c>
      <c r="D36" s="141">
        <v>1.0</v>
      </c>
      <c r="E36" s="142" t="s">
        <v>99</v>
      </c>
      <c r="F36" s="143">
        <f>INT</f>
        <v>14</v>
      </c>
      <c r="G36" s="143">
        <f>WIS</f>
        <v>4</v>
      </c>
      <c r="H36" s="143">
        <f>CHA</f>
        <v>10</v>
      </c>
      <c r="I36" s="189"/>
      <c r="J36" s="190" t="str">
        <f t="shared" si="17"/>
        <v>1</v>
      </c>
      <c r="K36" s="146">
        <f t="shared" si="18"/>
        <v>4</v>
      </c>
      <c r="L36" s="202">
        <f t="shared" si="19"/>
        <v>1</v>
      </c>
      <c r="M36" s="192" t="s">
        <v>70</v>
      </c>
      <c r="Q36" s="174"/>
      <c r="R36" s="203"/>
      <c r="S36" s="204"/>
      <c r="X36" s="176"/>
    </row>
    <row r="37" ht="22.5" customHeight="1">
      <c r="C37" s="114" t="s">
        <v>143</v>
      </c>
      <c r="D37" s="89"/>
      <c r="E37" s="89"/>
      <c r="F37" s="89"/>
      <c r="G37" s="89"/>
      <c r="H37" s="89"/>
      <c r="I37" s="89"/>
      <c r="J37" s="89"/>
      <c r="K37" s="89"/>
      <c r="L37" s="89"/>
      <c r="M37" s="66"/>
      <c r="Q37" s="174"/>
      <c r="R37" s="205"/>
      <c r="S37" s="206"/>
      <c r="X37" s="176"/>
    </row>
    <row r="38" ht="22.5" customHeight="1">
      <c r="C38" s="117" t="s">
        <v>144</v>
      </c>
      <c r="D38" s="118">
        <v>20.0</v>
      </c>
      <c r="E38" s="119" t="s">
        <v>96</v>
      </c>
      <c r="F38" s="120">
        <f>INT</f>
        <v>14</v>
      </c>
      <c r="G38" s="120">
        <f>WIS</f>
        <v>4</v>
      </c>
      <c r="H38" s="121"/>
      <c r="I38" s="183"/>
      <c r="J38" s="178" t="str">
        <f t="shared" ref="J38:J42" si="20">IF(AND(D38 &lt; 4, D38 &gt; 1)," Coin",
IF(AND(D38 &lt; 20, D38 &gt; 12)," d12",
IF(D38 = 0, "No Skill",
IF(D38 = 1, 1,
" d" &amp; 2*ROUNDDOWN(D38/2,0)))))
&amp;
IF(I38&gt;0,"+"&amp;I38,I38)</f>
        <v> d20</v>
      </c>
      <c r="K38" s="124">
        <f t="shared" ref="K38:K42" si="21">MIN(F38,G38,H38)</f>
        <v>4</v>
      </c>
      <c r="L38" s="198">
        <f t="shared" ref="L38:L42" si="22">D38+I38</f>
        <v>20</v>
      </c>
      <c r="M38" s="150" t="s">
        <v>70</v>
      </c>
      <c r="Q38" s="174"/>
      <c r="R38" s="203"/>
      <c r="S38" s="204"/>
      <c r="X38" s="176"/>
    </row>
    <row r="39" ht="22.5" customHeight="1">
      <c r="C39" s="133" t="s">
        <v>145</v>
      </c>
      <c r="D39" s="118">
        <v>18.0</v>
      </c>
      <c r="E39" s="119" t="s">
        <v>96</v>
      </c>
      <c r="F39" s="120">
        <f>INT</f>
        <v>14</v>
      </c>
      <c r="G39" s="120">
        <f>WIS</f>
        <v>4</v>
      </c>
      <c r="H39" s="121"/>
      <c r="I39" s="183"/>
      <c r="J39" s="178" t="str">
        <f t="shared" si="20"/>
        <v> d12</v>
      </c>
      <c r="K39" s="124">
        <f t="shared" si="21"/>
        <v>4</v>
      </c>
      <c r="L39" s="198">
        <f t="shared" si="22"/>
        <v>18</v>
      </c>
      <c r="M39" s="150" t="s">
        <v>70</v>
      </c>
      <c r="Q39" s="174"/>
      <c r="R39" s="205"/>
      <c r="S39" s="206"/>
      <c r="X39" s="176"/>
    </row>
    <row r="40" ht="22.5" customHeight="1">
      <c r="C40" s="117" t="s">
        <v>146</v>
      </c>
      <c r="D40" s="118">
        <v>14.0</v>
      </c>
      <c r="E40" s="119" t="s">
        <v>96</v>
      </c>
      <c r="F40" s="120">
        <f>INT</f>
        <v>14</v>
      </c>
      <c r="G40" s="120">
        <f>WIS</f>
        <v>4</v>
      </c>
      <c r="H40" s="121"/>
      <c r="I40" s="183"/>
      <c r="J40" s="178" t="str">
        <f t="shared" si="20"/>
        <v> d12</v>
      </c>
      <c r="K40" s="124">
        <f t="shared" si="21"/>
        <v>4</v>
      </c>
      <c r="L40" s="198">
        <f t="shared" si="22"/>
        <v>14</v>
      </c>
      <c r="M40" s="150" t="s">
        <v>70</v>
      </c>
      <c r="Q40" s="174"/>
      <c r="R40" s="203"/>
      <c r="S40" s="204"/>
      <c r="X40" s="176"/>
    </row>
    <row r="41" ht="22.5" customHeight="1">
      <c r="C41" s="117" t="s">
        <v>147</v>
      </c>
      <c r="D41" s="118">
        <v>20.0</v>
      </c>
      <c r="E41" s="119" t="s">
        <v>96</v>
      </c>
      <c r="F41" s="120">
        <f>INT</f>
        <v>14</v>
      </c>
      <c r="G41" s="120">
        <f>WIS</f>
        <v>4</v>
      </c>
      <c r="H41" s="121"/>
      <c r="I41" s="183"/>
      <c r="J41" s="178" t="str">
        <f t="shared" si="20"/>
        <v> d20</v>
      </c>
      <c r="K41" s="124">
        <f t="shared" si="21"/>
        <v>4</v>
      </c>
      <c r="L41" s="198">
        <f t="shared" si="22"/>
        <v>20</v>
      </c>
      <c r="M41" s="150" t="s">
        <v>70</v>
      </c>
      <c r="Q41" s="174"/>
      <c r="R41" s="205"/>
      <c r="S41" s="206"/>
      <c r="X41" s="176"/>
    </row>
    <row r="42" ht="22.5" customHeight="1">
      <c r="C42" s="171" t="s">
        <v>148</v>
      </c>
      <c r="D42" s="141">
        <v>12.0</v>
      </c>
      <c r="E42" s="142" t="s">
        <v>96</v>
      </c>
      <c r="F42" s="143">
        <f>INT</f>
        <v>14</v>
      </c>
      <c r="G42" s="143">
        <f>WIS</f>
        <v>4</v>
      </c>
      <c r="H42" s="207"/>
      <c r="I42" s="189"/>
      <c r="J42" s="190" t="str">
        <f t="shared" si="20"/>
        <v> d12</v>
      </c>
      <c r="K42" s="146">
        <f t="shared" si="21"/>
        <v>4</v>
      </c>
      <c r="L42" s="202">
        <f t="shared" si="22"/>
        <v>12</v>
      </c>
      <c r="M42" s="192" t="s">
        <v>70</v>
      </c>
      <c r="Q42" s="174"/>
      <c r="R42" s="203"/>
      <c r="S42" s="204"/>
      <c r="X42" s="176"/>
    </row>
    <row r="43" ht="22.5" customHeight="1">
      <c r="C43" s="114" t="s">
        <v>149</v>
      </c>
      <c r="D43" s="89"/>
      <c r="E43" s="89"/>
      <c r="F43" s="89"/>
      <c r="G43" s="89"/>
      <c r="H43" s="89"/>
      <c r="I43" s="89"/>
      <c r="J43" s="89"/>
      <c r="K43" s="89"/>
      <c r="L43" s="89"/>
      <c r="M43" s="66"/>
      <c r="Q43" s="174"/>
      <c r="R43" s="205"/>
      <c r="S43" s="206"/>
      <c r="X43" s="176"/>
    </row>
    <row r="44" ht="22.5" customHeight="1">
      <c r="C44" s="117" t="s">
        <v>150</v>
      </c>
      <c r="D44" s="118">
        <v>12.0</v>
      </c>
      <c r="E44" s="119" t="s">
        <v>99</v>
      </c>
      <c r="F44" s="120">
        <f>INT</f>
        <v>14</v>
      </c>
      <c r="G44" s="120">
        <f>WIS</f>
        <v>4</v>
      </c>
      <c r="H44" s="120">
        <f>CHA</f>
        <v>10</v>
      </c>
      <c r="I44" s="183"/>
      <c r="J44" s="178" t="str">
        <f t="shared" ref="J44:J48" si="23">IF(AND(D44 &lt; 4, D44 &gt; 1)," Coin",
IF(AND(D44 &lt; 20, D44 &gt; 12)," d12",
IF(D44 = 0, "No Skill",
IF(D44 = 1, 1,
" d" &amp; 2*ROUNDDOWN(D44/2,0)))))
&amp;
IF(I44&gt;0,"+"&amp;I44,I44)</f>
        <v> d12</v>
      </c>
      <c r="K44" s="124">
        <f t="shared" ref="K44:K48" si="24">MIN(F44,G44,H44)</f>
        <v>4</v>
      </c>
      <c r="L44" s="198">
        <f t="shared" ref="L44:L48" si="25">D44+I44</f>
        <v>12</v>
      </c>
      <c r="M44" s="150" t="s">
        <v>70</v>
      </c>
      <c r="Q44" s="174"/>
      <c r="R44" s="203"/>
      <c r="S44" s="204"/>
      <c r="X44" s="176"/>
    </row>
    <row r="45" ht="22.5" customHeight="1">
      <c r="C45" s="117" t="s">
        <v>151</v>
      </c>
      <c r="D45" s="118">
        <v>0.0</v>
      </c>
      <c r="E45" s="119" t="s">
        <v>152</v>
      </c>
      <c r="F45" s="120">
        <f>STR</f>
        <v>4</v>
      </c>
      <c r="G45" s="120">
        <f>INT</f>
        <v>14</v>
      </c>
      <c r="H45" s="120">
        <f>WIS</f>
        <v>4</v>
      </c>
      <c r="I45" s="183"/>
      <c r="J45" s="178" t="str">
        <f t="shared" si="23"/>
        <v>No Skill</v>
      </c>
      <c r="K45" s="124">
        <f t="shared" si="24"/>
        <v>4</v>
      </c>
      <c r="L45" s="198">
        <f t="shared" si="25"/>
        <v>0</v>
      </c>
      <c r="M45" s="180" t="s">
        <v>70</v>
      </c>
      <c r="Q45" s="174"/>
      <c r="R45" s="205"/>
      <c r="S45" s="206"/>
      <c r="X45" s="176"/>
    </row>
    <row r="46" ht="22.5" customHeight="1">
      <c r="C46" s="133" t="s">
        <v>153</v>
      </c>
      <c r="D46" s="118">
        <v>19.0</v>
      </c>
      <c r="E46" s="119" t="s">
        <v>154</v>
      </c>
      <c r="F46" s="120">
        <f>DEX</f>
        <v>4</v>
      </c>
      <c r="G46" s="120">
        <f>INT</f>
        <v>14</v>
      </c>
      <c r="H46" s="120">
        <f>WIS</f>
        <v>4</v>
      </c>
      <c r="I46" s="183"/>
      <c r="J46" s="178" t="str">
        <f t="shared" si="23"/>
        <v> d12</v>
      </c>
      <c r="K46" s="124">
        <f t="shared" si="24"/>
        <v>4</v>
      </c>
      <c r="L46" s="198">
        <f t="shared" si="25"/>
        <v>19</v>
      </c>
      <c r="M46" s="150" t="s">
        <v>155</v>
      </c>
      <c r="Q46" s="174"/>
      <c r="R46" s="203"/>
      <c r="S46" s="204"/>
      <c r="X46" s="176"/>
    </row>
    <row r="47" ht="22.5" customHeight="1">
      <c r="C47" s="117" t="s">
        <v>156</v>
      </c>
      <c r="D47" s="118">
        <v>16.0</v>
      </c>
      <c r="E47" s="119" t="s">
        <v>157</v>
      </c>
      <c r="F47" s="120">
        <f>CON</f>
        <v>4</v>
      </c>
      <c r="G47" s="120">
        <f>INT</f>
        <v>14</v>
      </c>
      <c r="H47" s="120">
        <f>WIS</f>
        <v>4</v>
      </c>
      <c r="I47" s="183"/>
      <c r="J47" s="178" t="str">
        <f t="shared" si="23"/>
        <v> d12</v>
      </c>
      <c r="K47" s="124">
        <f t="shared" si="24"/>
        <v>4</v>
      </c>
      <c r="L47" s="198">
        <f t="shared" si="25"/>
        <v>16</v>
      </c>
      <c r="M47" s="150" t="s">
        <v>70</v>
      </c>
      <c r="Q47" s="174"/>
      <c r="R47" s="205"/>
      <c r="S47" s="206"/>
      <c r="X47" s="176"/>
    </row>
    <row r="48" ht="22.5" customHeight="1">
      <c r="C48" s="140" t="s">
        <v>158</v>
      </c>
      <c r="D48" s="141">
        <v>2.0</v>
      </c>
      <c r="E48" s="142" t="s">
        <v>159</v>
      </c>
      <c r="F48" s="143">
        <f>DEX</f>
        <v>4</v>
      </c>
      <c r="G48" s="143">
        <f>INT</f>
        <v>14</v>
      </c>
      <c r="H48" s="143">
        <f>CHA</f>
        <v>10</v>
      </c>
      <c r="I48" s="189"/>
      <c r="J48" s="190" t="str">
        <f t="shared" si="23"/>
        <v> Coin</v>
      </c>
      <c r="K48" s="146">
        <f t="shared" si="24"/>
        <v>4</v>
      </c>
      <c r="L48" s="202">
        <f t="shared" si="25"/>
        <v>2</v>
      </c>
      <c r="M48" s="192" t="s">
        <v>70</v>
      </c>
      <c r="Q48" s="174"/>
      <c r="R48" s="203"/>
      <c r="S48" s="204"/>
      <c r="X48" s="176"/>
    </row>
    <row r="49" ht="22.5" customHeight="1">
      <c r="C49" s="114" t="s">
        <v>160</v>
      </c>
      <c r="D49" s="89"/>
      <c r="E49" s="89"/>
      <c r="F49" s="89"/>
      <c r="G49" s="89"/>
      <c r="H49" s="89"/>
      <c r="I49" s="89"/>
      <c r="J49" s="89"/>
      <c r="K49" s="89"/>
      <c r="L49" s="89"/>
      <c r="M49" s="66"/>
      <c r="Q49" s="174"/>
      <c r="R49" s="205"/>
      <c r="S49" s="206"/>
      <c r="X49" s="176"/>
    </row>
    <row r="50" ht="22.5" customHeight="1">
      <c r="C50" s="117" t="s">
        <v>161</v>
      </c>
      <c r="D50" s="118">
        <v>6.0</v>
      </c>
      <c r="E50" s="119" t="s">
        <v>162</v>
      </c>
      <c r="F50" s="120">
        <f>STR</f>
        <v>4</v>
      </c>
      <c r="G50" s="120">
        <f>DEX</f>
        <v>4</v>
      </c>
      <c r="H50" s="120">
        <f>INT</f>
        <v>14</v>
      </c>
      <c r="I50" s="183"/>
      <c r="J50" s="178" t="str">
        <f t="shared" ref="J50:J53" si="26">IF(AND(D50 &lt; 4, D50 &gt; 1)," Coin",
IF(AND(D50 &lt; 20, D50 &gt; 12)," d12",
IF(D50 = 0, "No Skill",
IF(D50 = 1, 1,
" d" &amp; 2*ROUNDDOWN(D50/2,0)))))
&amp;
IF(I50&gt;0,"+"&amp;I50,I50)</f>
        <v> d6</v>
      </c>
      <c r="K50" s="124">
        <f t="shared" ref="K50:K53" si="27">MIN(F50,G50,H50)</f>
        <v>4</v>
      </c>
      <c r="L50" s="198">
        <f t="shared" ref="L50:L53" si="28">D50+I50</f>
        <v>6</v>
      </c>
      <c r="M50" s="180" t="s">
        <v>70</v>
      </c>
      <c r="Q50" s="174"/>
      <c r="R50" s="203"/>
      <c r="S50" s="204"/>
      <c r="X50" s="176"/>
    </row>
    <row r="51" ht="22.5" customHeight="1">
      <c r="C51" s="117" t="s">
        <v>163</v>
      </c>
      <c r="D51" s="118">
        <v>0.0</v>
      </c>
      <c r="E51" s="119" t="s">
        <v>130</v>
      </c>
      <c r="F51" s="120">
        <f>DEX</f>
        <v>4</v>
      </c>
      <c r="G51" s="120">
        <f>WIS</f>
        <v>4</v>
      </c>
      <c r="H51" s="120">
        <f>CHA</f>
        <v>10</v>
      </c>
      <c r="I51" s="183"/>
      <c r="J51" s="178" t="str">
        <f t="shared" si="26"/>
        <v>No Skill</v>
      </c>
      <c r="K51" s="124">
        <f t="shared" si="27"/>
        <v>4</v>
      </c>
      <c r="L51" s="198">
        <f t="shared" si="28"/>
        <v>0</v>
      </c>
      <c r="M51" s="180" t="s">
        <v>70</v>
      </c>
      <c r="Q51" s="174"/>
      <c r="R51" s="205"/>
      <c r="S51" s="206"/>
      <c r="X51" s="176"/>
    </row>
    <row r="52" ht="22.5" customHeight="1">
      <c r="C52" s="117" t="s">
        <v>164</v>
      </c>
      <c r="D52" s="118">
        <v>12.0</v>
      </c>
      <c r="E52" s="119" t="s">
        <v>165</v>
      </c>
      <c r="F52" s="120">
        <f>DEX</f>
        <v>4</v>
      </c>
      <c r="G52" s="120">
        <f>CON</f>
        <v>4</v>
      </c>
      <c r="H52" s="120">
        <f>INT</f>
        <v>14</v>
      </c>
      <c r="I52" s="183"/>
      <c r="J52" s="178" t="str">
        <f t="shared" si="26"/>
        <v> d12</v>
      </c>
      <c r="K52" s="124">
        <f t="shared" si="27"/>
        <v>4</v>
      </c>
      <c r="L52" s="198">
        <f t="shared" si="28"/>
        <v>12</v>
      </c>
      <c r="M52" s="150" t="s">
        <v>70</v>
      </c>
      <c r="Q52" s="174"/>
      <c r="R52" s="203"/>
      <c r="S52" s="204"/>
      <c r="X52" s="176"/>
    </row>
    <row r="53" ht="22.5" customHeight="1">
      <c r="C53" s="140" t="s">
        <v>166</v>
      </c>
      <c r="D53" s="141">
        <v>0.0</v>
      </c>
      <c r="E53" s="142" t="s">
        <v>82</v>
      </c>
      <c r="F53" s="143">
        <f>STR</f>
        <v>4</v>
      </c>
      <c r="G53" s="143">
        <f>DEX</f>
        <v>4</v>
      </c>
      <c r="H53" s="143">
        <f>CHA</f>
        <v>10</v>
      </c>
      <c r="I53" s="189"/>
      <c r="J53" s="190" t="str">
        <f t="shared" si="26"/>
        <v>No Skill</v>
      </c>
      <c r="K53" s="146">
        <f t="shared" si="27"/>
        <v>4</v>
      </c>
      <c r="L53" s="202">
        <f t="shared" si="28"/>
        <v>0</v>
      </c>
      <c r="M53" s="154" t="s">
        <v>70</v>
      </c>
      <c r="Q53" s="174"/>
      <c r="R53" s="205"/>
      <c r="S53" s="206"/>
      <c r="X53" s="176"/>
    </row>
    <row r="54" ht="22.5" customHeight="1">
      <c r="C54" s="114" t="s">
        <v>167</v>
      </c>
      <c r="D54" s="89"/>
      <c r="E54" s="89"/>
      <c r="F54" s="89"/>
      <c r="G54" s="89"/>
      <c r="H54" s="89"/>
      <c r="I54" s="89"/>
      <c r="J54" s="89"/>
      <c r="K54" s="89"/>
      <c r="L54" s="89"/>
      <c r="M54" s="66"/>
      <c r="Q54" s="174"/>
      <c r="R54" s="203"/>
      <c r="S54" s="204"/>
      <c r="X54" s="176"/>
    </row>
    <row r="55" ht="22.5" customHeight="1">
      <c r="C55" s="133" t="s">
        <v>168</v>
      </c>
      <c r="D55" s="118">
        <v>14.0</v>
      </c>
      <c r="E55" s="119" t="s">
        <v>87</v>
      </c>
      <c r="F55" s="120">
        <f>WIS</f>
        <v>4</v>
      </c>
      <c r="G55" s="120">
        <f>CHA</f>
        <v>10</v>
      </c>
      <c r="H55" s="121"/>
      <c r="I55" s="183"/>
      <c r="J55" s="178" t="str">
        <f t="shared" ref="J55:J57" si="29">IF(AND(D55 &lt; 4, D55 &gt; 1)," Coin",
IF(AND(D55 &lt; 20, D55 &gt; 12)," d12",
IF(D55 = 0, "No Skill",
IF(D55 = 1, 1,
" d" &amp; 2*ROUNDDOWN(D55/2,0)))))
&amp;
IF(I55&gt;0,"+"&amp;I55,I55)</f>
        <v> d12</v>
      </c>
      <c r="K55" s="124">
        <f t="shared" ref="K55:K57" si="30">MIN(F55,G55,H55)</f>
        <v>4</v>
      </c>
      <c r="L55" s="198">
        <f t="shared" ref="L55:L57" si="31">D55+I55</f>
        <v>14</v>
      </c>
      <c r="M55" s="150" t="s">
        <v>70</v>
      </c>
      <c r="Q55" s="174"/>
      <c r="R55" s="205"/>
      <c r="S55" s="206"/>
      <c r="X55" s="176"/>
    </row>
    <row r="56" ht="22.5" customHeight="1">
      <c r="C56" s="133" t="s">
        <v>169</v>
      </c>
      <c r="D56" s="118">
        <v>20.0</v>
      </c>
      <c r="E56" s="119" t="s">
        <v>96</v>
      </c>
      <c r="F56" s="120">
        <f>INT</f>
        <v>14</v>
      </c>
      <c r="G56" s="120">
        <f>WIS</f>
        <v>4</v>
      </c>
      <c r="H56" s="121"/>
      <c r="I56" s="183"/>
      <c r="J56" s="178" t="str">
        <f t="shared" si="29"/>
        <v> d20</v>
      </c>
      <c r="K56" s="124">
        <f t="shared" si="30"/>
        <v>4</v>
      </c>
      <c r="L56" s="198">
        <f t="shared" si="31"/>
        <v>20</v>
      </c>
      <c r="M56" s="150" t="s">
        <v>70</v>
      </c>
      <c r="Q56" s="174"/>
      <c r="R56" s="203"/>
      <c r="S56" s="204"/>
      <c r="X56" s="176"/>
    </row>
    <row r="57" ht="22.5" customHeight="1">
      <c r="C57" s="171" t="s">
        <v>170</v>
      </c>
      <c r="D57" s="141">
        <v>6.0</v>
      </c>
      <c r="E57" s="142" t="s">
        <v>99</v>
      </c>
      <c r="F57" s="143">
        <f>INT</f>
        <v>14</v>
      </c>
      <c r="G57" s="143">
        <f>WIS</f>
        <v>4</v>
      </c>
      <c r="H57" s="143">
        <f>CHA</f>
        <v>10</v>
      </c>
      <c r="I57" s="189"/>
      <c r="J57" s="190" t="str">
        <f t="shared" si="29"/>
        <v> d6</v>
      </c>
      <c r="K57" s="146">
        <f t="shared" si="30"/>
        <v>4</v>
      </c>
      <c r="L57" s="202">
        <f t="shared" si="31"/>
        <v>6</v>
      </c>
      <c r="M57" s="154" t="s">
        <v>70</v>
      </c>
      <c r="Q57" s="174"/>
      <c r="R57" s="205"/>
      <c r="S57" s="206"/>
      <c r="X57" s="176"/>
    </row>
    <row r="58" ht="22.5" customHeight="1">
      <c r="C58" s="114" t="s">
        <v>171</v>
      </c>
      <c r="D58" s="89"/>
      <c r="E58" s="89"/>
      <c r="F58" s="89"/>
      <c r="G58" s="89"/>
      <c r="H58" s="89"/>
      <c r="I58" s="89"/>
      <c r="J58" s="89"/>
      <c r="K58" s="89"/>
      <c r="L58" s="89"/>
      <c r="M58" s="66"/>
      <c r="Q58" s="174"/>
      <c r="R58" s="203"/>
      <c r="S58" s="204"/>
      <c r="X58" s="176"/>
    </row>
    <row r="59" ht="22.5" customHeight="1">
      <c r="C59" s="117" t="s">
        <v>172</v>
      </c>
      <c r="D59" s="118">
        <v>0.0</v>
      </c>
      <c r="E59" s="119" t="s">
        <v>130</v>
      </c>
      <c r="F59" s="120">
        <f>DEX</f>
        <v>4</v>
      </c>
      <c r="G59" s="120">
        <f>WIS</f>
        <v>4</v>
      </c>
      <c r="H59" s="120">
        <f>CHA</f>
        <v>10</v>
      </c>
      <c r="I59" s="183"/>
      <c r="J59" s="178" t="str">
        <f t="shared" ref="J59:J61" si="32">IF(AND(D59 &lt; 4, D59 &gt; 1)," Coin",
IF(AND(D59 &lt; 20, D59 &gt; 12)," d12",
IF(D59 = 0, "No Skill",
IF(D59 = 1, 1,
" d" &amp; 2*ROUNDDOWN(D59/2,0)))))
&amp;
IF(I59&gt;0,"+"&amp;I59,I59)</f>
        <v>No Skill</v>
      </c>
      <c r="K59" s="124">
        <f t="shared" ref="K59:K61" si="33">MIN(F59,G59,H59)</f>
        <v>4</v>
      </c>
      <c r="L59" s="198">
        <f t="shared" ref="L59:L61" si="34">D59+I59</f>
        <v>0</v>
      </c>
      <c r="M59" s="180" t="s">
        <v>70</v>
      </c>
      <c r="Q59" s="174"/>
      <c r="R59" s="205"/>
      <c r="S59" s="206"/>
      <c r="X59" s="176"/>
    </row>
    <row r="60" ht="22.5" customHeight="1">
      <c r="C60" s="117" t="s">
        <v>173</v>
      </c>
      <c r="D60" s="118">
        <v>0.0</v>
      </c>
      <c r="E60" s="119" t="s">
        <v>154</v>
      </c>
      <c r="F60" s="120">
        <f>DEX</f>
        <v>4</v>
      </c>
      <c r="G60" s="120">
        <f>INT</f>
        <v>14</v>
      </c>
      <c r="H60" s="120">
        <f>WIS</f>
        <v>4</v>
      </c>
      <c r="I60" s="183"/>
      <c r="J60" s="178" t="str">
        <f t="shared" si="32"/>
        <v>No Skill</v>
      </c>
      <c r="K60" s="124">
        <f t="shared" si="33"/>
        <v>4</v>
      </c>
      <c r="L60" s="198">
        <f t="shared" si="34"/>
        <v>0</v>
      </c>
      <c r="M60" s="180" t="s">
        <v>70</v>
      </c>
      <c r="Q60" s="174"/>
      <c r="R60" s="203"/>
      <c r="S60" s="204"/>
      <c r="X60" s="176"/>
    </row>
    <row r="61" ht="22.5" customHeight="1">
      <c r="C61" s="140" t="s">
        <v>174</v>
      </c>
      <c r="D61" s="141">
        <v>10.0</v>
      </c>
      <c r="E61" s="142" t="s">
        <v>175</v>
      </c>
      <c r="F61" s="143">
        <f>DEX</f>
        <v>4</v>
      </c>
      <c r="G61" s="143">
        <f>CON</f>
        <v>4</v>
      </c>
      <c r="H61" s="143">
        <f>CHA</f>
        <v>10</v>
      </c>
      <c r="I61" s="189"/>
      <c r="J61" s="190" t="str">
        <f t="shared" si="32"/>
        <v> d10</v>
      </c>
      <c r="K61" s="146">
        <f t="shared" si="33"/>
        <v>4</v>
      </c>
      <c r="L61" s="202">
        <f t="shared" si="34"/>
        <v>10</v>
      </c>
      <c r="M61" s="154" t="s">
        <v>70</v>
      </c>
      <c r="Q61" s="174"/>
      <c r="R61" s="205"/>
      <c r="S61" s="206"/>
      <c r="X61" s="176"/>
    </row>
    <row r="62" ht="22.5" customHeight="1">
      <c r="C62" s="114" t="s">
        <v>176</v>
      </c>
      <c r="D62" s="89"/>
      <c r="E62" s="89"/>
      <c r="F62" s="89"/>
      <c r="G62" s="89"/>
      <c r="H62" s="89"/>
      <c r="I62" s="89"/>
      <c r="J62" s="89"/>
      <c r="K62" s="89"/>
      <c r="L62" s="89"/>
      <c r="M62" s="66"/>
      <c r="Q62" s="174"/>
      <c r="R62" s="203"/>
      <c r="S62" s="204"/>
      <c r="X62" s="176"/>
    </row>
    <row r="63" ht="22.5" customHeight="1">
      <c r="C63" s="117" t="s">
        <v>177</v>
      </c>
      <c r="D63" s="118">
        <v>15.0</v>
      </c>
      <c r="E63" s="119" t="s">
        <v>99</v>
      </c>
      <c r="F63" s="120">
        <f>INT</f>
        <v>14</v>
      </c>
      <c r="G63" s="120">
        <f>WIS</f>
        <v>4</v>
      </c>
      <c r="H63" s="120">
        <f>CHA</f>
        <v>10</v>
      </c>
      <c r="I63" s="183"/>
      <c r="J63" s="178" t="str">
        <f t="shared" ref="J63:J65" si="35">IF(AND(D63 &lt; 4, D63 &gt; 1)," Coin",
IF(AND(D63 &lt; 20, D63 &gt; 12)," d12",
IF(D63 = 0, "No Skill",
IF(D63 = 1, 1,
" d" &amp; 2*ROUNDDOWN(D63/2,0)))))
&amp;
IF(I63&gt;0,"+"&amp;I63,I63)</f>
        <v> d12</v>
      </c>
      <c r="K63" s="124">
        <f t="shared" ref="K63:K65" si="36">MIN(F63,G63,H63)</f>
        <v>4</v>
      </c>
      <c r="L63" s="198">
        <f t="shared" ref="L63:L65" si="37">D63+I63</f>
        <v>15</v>
      </c>
      <c r="M63" s="150" t="s">
        <v>70</v>
      </c>
      <c r="Q63" s="174"/>
      <c r="R63" s="205"/>
      <c r="S63" s="206"/>
      <c r="X63" s="176"/>
    </row>
    <row r="64" ht="22.5" customHeight="1">
      <c r="C64" s="117" t="s">
        <v>178</v>
      </c>
      <c r="D64" s="118">
        <v>20.0</v>
      </c>
      <c r="E64" s="119" t="s">
        <v>99</v>
      </c>
      <c r="F64" s="120">
        <f>INT</f>
        <v>14</v>
      </c>
      <c r="G64" s="120">
        <f>WIS</f>
        <v>4</v>
      </c>
      <c r="H64" s="120">
        <f>CHA</f>
        <v>10</v>
      </c>
      <c r="I64" s="183"/>
      <c r="J64" s="178" t="str">
        <f t="shared" si="35"/>
        <v> d20</v>
      </c>
      <c r="K64" s="124">
        <f t="shared" si="36"/>
        <v>4</v>
      </c>
      <c r="L64" s="198">
        <f t="shared" si="37"/>
        <v>20</v>
      </c>
      <c r="M64" s="150" t="s">
        <v>70</v>
      </c>
      <c r="Q64" s="174"/>
      <c r="R64" s="203"/>
      <c r="S64" s="204"/>
      <c r="X64" s="176"/>
    </row>
    <row r="65" ht="22.5" customHeight="1">
      <c r="C65" s="140" t="s">
        <v>179</v>
      </c>
      <c r="D65" s="141">
        <v>18.0</v>
      </c>
      <c r="E65" s="142" t="s">
        <v>99</v>
      </c>
      <c r="F65" s="143">
        <f>INT</f>
        <v>14</v>
      </c>
      <c r="G65" s="143">
        <f>WIS</f>
        <v>4</v>
      </c>
      <c r="H65" s="143">
        <f>CHA</f>
        <v>10</v>
      </c>
      <c r="I65" s="189"/>
      <c r="J65" s="190" t="str">
        <f t="shared" si="35"/>
        <v> d12</v>
      </c>
      <c r="K65" s="146">
        <f t="shared" si="36"/>
        <v>4</v>
      </c>
      <c r="L65" s="202">
        <f t="shared" si="37"/>
        <v>18</v>
      </c>
      <c r="M65" s="154" t="s">
        <v>70</v>
      </c>
      <c r="Q65" s="184"/>
      <c r="R65" s="208"/>
      <c r="S65" s="209"/>
      <c r="T65" s="210"/>
      <c r="U65" s="210"/>
      <c r="V65" s="210"/>
      <c r="W65" s="210"/>
      <c r="X65" s="211">
        <f>IF(BEAUTY=1,-3,
IF(BEAUTY=2,-2,
IF(BEAUTY=3,-1,
IF(BEAUTY=4,-1,
IF(BEAUTY=5,0,
IF(BEAUTY=6,0,
IF(BEAUTY=7,1,
IF(BEAUTY=8,1,
IF(BEAUTY=9,2,
IF(BEAUTY&gt;=10,3))))))))))</f>
        <v>3</v>
      </c>
    </row>
    <row r="66" ht="16.5" customHeight="1">
      <c r="C66" s="212"/>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(R19)="Mercy"</formula>
    </cfRule>
  </conditionalFormatting>
  <conditionalFormatting sqref="R7">
    <cfRule type="expression" dxfId="11" priority="7">
      <formula>(R19)="Mercy"</formula>
    </cfRule>
  </conditionalFormatting>
  <conditionalFormatting sqref="R6">
    <cfRule type="expression" dxfId="12" priority="8">
      <formula>(R19)="Severity"</formula>
    </cfRule>
  </conditionalFormatting>
  <conditionalFormatting sqref="R7">
    <cfRule type="expression" dxfId="12" priority="9">
      <formula>(R19)="Severity"</formula>
    </cfRule>
  </conditionalFormatting>
  <conditionalFormatting sqref="R14">
    <cfRule type="expression" dxfId="12" priority="10">
      <formula>(R19)="Mercy"</formula>
    </cfRule>
  </conditionalFormatting>
  <conditionalFormatting sqref="R15">
    <cfRule type="expression" dxfId="12" priority="11">
      <formula>(R19)="Mercy"</formula>
    </cfRule>
  </conditionalFormatting>
  <conditionalFormatting sqref="R16">
    <cfRule type="expression" dxfId="12" priority="12">
      <formula>(R19)="Mercy"</formula>
    </cfRule>
  </conditionalFormatting>
  <conditionalFormatting sqref="R14">
    <cfRule type="expression" dxfId="11" priority="13">
      <formula>(R19)="Severity"</formula>
    </cfRule>
  </conditionalFormatting>
  <conditionalFormatting sqref="R15">
    <cfRule type="expression" dxfId="11" priority="14">
      <formula>(R19)="Severity"</formula>
    </cfRule>
  </conditionalFormatting>
  <conditionalFormatting sqref="R16">
    <cfRule type="expression" dxfId="11" priority="15">
      <formula>(R19)="Severity"</formula>
    </cfRule>
  </conditionalFormatting>
  <conditionalFormatting sqref="R5">
    <cfRule type="expression" dxfId="11" priority="16">
      <formula>(R19)="Mercy"</formula>
    </cfRule>
  </conditionalFormatting>
  <conditionalFormatting sqref="R5">
    <cfRule type="expression" dxfId="12" priority="17">
      <formula>(R19)="Severity"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$R19="None"</formula>
    </cfRule>
  </conditionalFormatting>
  <conditionalFormatting sqref="Q6:U6 V6:V7 W6">
    <cfRule type="expression" dxfId="10" priority="35">
      <formula>$R19="None"</formula>
    </cfRule>
  </conditionalFormatting>
  <conditionalFormatting sqref="Q7:W7">
    <cfRule type="expression" dxfId="10" priority="36">
      <formula>$R19="None"</formula>
    </cfRule>
  </conditionalFormatting>
  <conditionalFormatting sqref="Q9:U9 V9:V12 W9">
    <cfRule type="expression" dxfId="10" priority="37">
      <formula>$R19="None"</formula>
    </cfRule>
  </conditionalFormatting>
  <conditionalFormatting sqref="Q10:W10">
    <cfRule type="expression" dxfId="10" priority="38">
      <formula>$R19="None"</formula>
    </cfRule>
  </conditionalFormatting>
  <conditionalFormatting sqref="Q11:W11">
    <cfRule type="expression" dxfId="10" priority="39">
      <formula>$R19="None"</formula>
    </cfRule>
  </conditionalFormatting>
  <conditionalFormatting sqref="Q12:W12">
    <cfRule type="expression" dxfId="10" priority="40">
      <formula>$R19="None"</formula>
    </cfRule>
  </conditionalFormatting>
  <conditionalFormatting sqref="Q14:U14 V14:V16 W14">
    <cfRule type="expression" dxfId="10" priority="41">
      <formula>$R19="None"</formula>
    </cfRule>
  </conditionalFormatting>
  <conditionalFormatting sqref="Q15:W15">
    <cfRule type="expression" dxfId="10" priority="42">
      <formula>$R19="None"</formula>
    </cfRule>
  </conditionalFormatting>
  <conditionalFormatting sqref="Q16:W16">
    <cfRule type="expression" dxfId="10" priority="43">
      <formula>$R19="None"</formula>
    </cfRule>
  </conditionalFormatting>
  <dataValidations>
    <dataValidation type="list" allowBlank="1" showErrorMessage="1" sqref="R19">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213"/>
      <c r="B1" s="214" t="s">
        <v>180</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15" t="s">
        <v>181</v>
      </c>
      <c r="C2" s="216" t="s">
        <v>182</v>
      </c>
      <c r="D2" s="216" t="s">
        <v>183</v>
      </c>
      <c r="E2" s="216" t="s">
        <v>184</v>
      </c>
      <c r="F2" s="217" t="s">
        <v>185</v>
      </c>
      <c r="G2" s="218" t="s">
        <v>186</v>
      </c>
      <c r="H2" s="219"/>
      <c r="I2" s="219"/>
      <c r="J2" s="219"/>
      <c r="K2" s="219"/>
      <c r="L2" s="219"/>
      <c r="M2" s="219"/>
      <c r="N2" s="220"/>
      <c r="O2" s="216" t="s">
        <v>187</v>
      </c>
      <c r="P2" s="218" t="s">
        <v>188</v>
      </c>
      <c r="Q2" s="219"/>
      <c r="R2" s="219"/>
      <c r="S2" s="219"/>
      <c r="T2" s="219"/>
      <c r="U2" s="220"/>
      <c r="V2" s="216" t="s">
        <v>189</v>
      </c>
      <c r="W2" s="218"/>
      <c r="X2" s="219"/>
      <c r="Y2" s="219"/>
      <c r="Z2" s="219"/>
      <c r="AA2" s="219"/>
      <c r="AB2" s="219"/>
      <c r="AC2" s="219"/>
      <c r="AD2" s="219"/>
      <c r="AE2" s="219"/>
      <c r="AF2" s="220"/>
      <c r="AG2" s="216" t="s">
        <v>190</v>
      </c>
      <c r="AH2" s="221" t="s">
        <v>191</v>
      </c>
      <c r="AI2" s="222" t="s">
        <v>40</v>
      </c>
      <c r="AJ2" s="213"/>
    </row>
    <row r="3" ht="45.0" customHeight="1">
      <c r="A3" s="213"/>
      <c r="B3" s="82"/>
      <c r="C3" s="85"/>
      <c r="D3" s="85"/>
      <c r="E3" s="85"/>
      <c r="F3" s="85"/>
      <c r="G3" s="223" t="s">
        <v>192</v>
      </c>
      <c r="H3" s="224" t="s">
        <v>193</v>
      </c>
      <c r="I3" s="224" t="s">
        <v>194</v>
      </c>
      <c r="J3" s="224"/>
      <c r="K3" s="224" t="s">
        <v>195</v>
      </c>
      <c r="L3" s="224" t="s">
        <v>196</v>
      </c>
      <c r="M3" s="224" t="s">
        <v>197</v>
      </c>
      <c r="N3" s="225" t="s">
        <v>198</v>
      </c>
      <c r="O3" s="85"/>
      <c r="P3" s="226" t="s">
        <v>199</v>
      </c>
      <c r="Q3" s="227" t="s">
        <v>123</v>
      </c>
      <c r="R3" s="227" t="s">
        <v>195</v>
      </c>
      <c r="S3" s="227" t="s">
        <v>196</v>
      </c>
      <c r="T3" s="227" t="s">
        <v>197</v>
      </c>
      <c r="U3" s="228" t="s">
        <v>198</v>
      </c>
      <c r="V3" s="85"/>
      <c r="W3" s="223" t="s">
        <v>200</v>
      </c>
      <c r="X3" s="224" t="s">
        <v>201</v>
      </c>
      <c r="Y3" s="224" t="s">
        <v>202</v>
      </c>
      <c r="Z3" s="224" t="s">
        <v>203</v>
      </c>
      <c r="AA3" s="224" t="s">
        <v>204</v>
      </c>
      <c r="AB3" s="224" t="s">
        <v>205</v>
      </c>
      <c r="AC3" s="224" t="s">
        <v>206</v>
      </c>
      <c r="AD3" s="224" t="s">
        <v>207</v>
      </c>
      <c r="AE3" s="224" t="s">
        <v>208</v>
      </c>
      <c r="AF3" s="225" t="s">
        <v>209</v>
      </c>
      <c r="AG3" s="85"/>
      <c r="AH3" s="85"/>
      <c r="AI3" s="86"/>
      <c r="AJ3" s="213"/>
    </row>
    <row r="4" ht="56.25" customHeight="1">
      <c r="A4" s="213"/>
      <c r="B4" s="229">
        <v>1.0</v>
      </c>
      <c r="C4" s="230" t="s">
        <v>210</v>
      </c>
      <c r="D4" s="231" t="s">
        <v>211</v>
      </c>
      <c r="E4" s="231" t="s">
        <v>212</v>
      </c>
      <c r="F4" s="231" t="s">
        <v>213</v>
      </c>
      <c r="G4" s="232"/>
      <c r="H4" s="232"/>
      <c r="I4" s="232"/>
      <c r="J4" s="233" t="s">
        <v>214</v>
      </c>
      <c r="K4" s="234"/>
      <c r="L4" s="234"/>
      <c r="M4" s="234"/>
      <c r="N4" s="234"/>
      <c r="O4" s="235"/>
      <c r="P4" s="236" t="s">
        <v>215</v>
      </c>
      <c r="Q4" s="237" t="s">
        <v>216</v>
      </c>
      <c r="R4" s="238"/>
      <c r="S4" s="238"/>
      <c r="T4" s="238"/>
      <c r="U4" s="239"/>
      <c r="V4" s="240" t="s">
        <v>217</v>
      </c>
      <c r="W4" s="241" t="b">
        <v>0</v>
      </c>
      <c r="X4" s="242" t="b">
        <v>1</v>
      </c>
      <c r="Y4" s="242" t="b">
        <v>1</v>
      </c>
      <c r="Z4" s="242" t="b">
        <v>1</v>
      </c>
      <c r="AA4" s="242" t="b">
        <v>1</v>
      </c>
      <c r="AB4" s="242" t="b">
        <v>1</v>
      </c>
      <c r="AC4" s="242" t="b">
        <v>1</v>
      </c>
      <c r="AD4" s="242" t="b">
        <v>1</v>
      </c>
      <c r="AE4" s="242" t="b">
        <v>0</v>
      </c>
      <c r="AF4" s="243" t="b">
        <v>0</v>
      </c>
      <c r="AG4" s="244" t="s">
        <v>218</v>
      </c>
      <c r="AH4" s="244" t="s">
        <v>219</v>
      </c>
      <c r="AI4" s="245">
        <v>1.98</v>
      </c>
      <c r="AJ4" s="246" t="str">
        <f>IFERROR(__xludf.DUMMYFUNCTION("IF(E4=""Heavy Armor"",IF(REGEXMATCH(V4,""Flexible""),""0"",COUNTIF(W4:AF4,true)),)"),"")</f>
        <v/>
      </c>
    </row>
    <row r="5" ht="56.25" customHeight="1">
      <c r="A5" s="213"/>
      <c r="B5" s="229">
        <v>2.0</v>
      </c>
      <c r="C5" s="247" t="s">
        <v>220</v>
      </c>
      <c r="D5" s="248" t="s">
        <v>211</v>
      </c>
      <c r="E5" s="248" t="s">
        <v>212</v>
      </c>
      <c r="F5" s="248" t="s">
        <v>221</v>
      </c>
      <c r="G5" s="249"/>
      <c r="H5" s="249"/>
      <c r="I5" s="249"/>
      <c r="J5" s="250" t="s">
        <v>214</v>
      </c>
      <c r="K5" s="251"/>
      <c r="L5" s="251"/>
      <c r="M5" s="251"/>
      <c r="N5" s="251"/>
      <c r="O5" s="252"/>
      <c r="P5" s="253" t="s">
        <v>222</v>
      </c>
      <c r="Q5" s="254" t="s">
        <v>223</v>
      </c>
      <c r="R5" s="255"/>
      <c r="S5" s="255"/>
      <c r="T5" s="255"/>
      <c r="U5" s="256"/>
      <c r="V5" s="247" t="s">
        <v>224</v>
      </c>
      <c r="W5" s="257" t="b">
        <v>1</v>
      </c>
      <c r="X5" s="258" t="b">
        <v>0</v>
      </c>
      <c r="Y5" s="258" t="b">
        <v>0</v>
      </c>
      <c r="Z5" s="258" t="b">
        <v>0</v>
      </c>
      <c r="AA5" s="258" t="b">
        <v>0</v>
      </c>
      <c r="AB5" s="258" t="b">
        <v>0</v>
      </c>
      <c r="AC5" s="258" t="b">
        <v>0</v>
      </c>
      <c r="AD5" s="258" t="b">
        <v>0</v>
      </c>
      <c r="AE5" s="258" t="b">
        <v>0</v>
      </c>
      <c r="AF5" s="259" t="b">
        <v>0</v>
      </c>
      <c r="AG5" s="260" t="s">
        <v>218</v>
      </c>
      <c r="AH5" s="260" t="s">
        <v>219</v>
      </c>
      <c r="AI5" s="261">
        <v>0.16</v>
      </c>
      <c r="AJ5" s="246" t="str">
        <f>IFERROR(__xludf.DUMMYFUNCTION("IF(E5=""Heavy Armor"",IF(REGEXMATCH(V5,""Flexible""),""0"",COUNTIF(W5:AF5,true)),)"),"")</f>
        <v/>
      </c>
    </row>
    <row r="6" ht="56.25" customHeight="1">
      <c r="A6" s="213"/>
      <c r="B6" s="229">
        <v>3.0</v>
      </c>
      <c r="C6" s="230" t="s">
        <v>225</v>
      </c>
      <c r="D6" s="262" t="s">
        <v>226</v>
      </c>
      <c r="E6" s="262" t="s">
        <v>227</v>
      </c>
      <c r="F6" s="262" t="s">
        <v>228</v>
      </c>
      <c r="G6" s="263"/>
      <c r="H6" s="263"/>
      <c r="I6" s="263"/>
      <c r="J6" s="250" t="s">
        <v>214</v>
      </c>
      <c r="K6" s="251"/>
      <c r="L6" s="251"/>
      <c r="M6" s="251"/>
      <c r="N6" s="251"/>
      <c r="O6" s="252"/>
      <c r="P6" s="253" t="s">
        <v>229</v>
      </c>
      <c r="Q6" s="254" t="s">
        <v>223</v>
      </c>
      <c r="R6" s="255"/>
      <c r="S6" s="255"/>
      <c r="T6" s="238"/>
      <c r="U6" s="239"/>
      <c r="V6" s="247" t="s">
        <v>230</v>
      </c>
      <c r="W6" s="257" t="b">
        <v>0</v>
      </c>
      <c r="X6" s="258" t="b">
        <v>0</v>
      </c>
      <c r="Y6" s="258" t="b">
        <v>0</v>
      </c>
      <c r="Z6" s="258" t="b">
        <v>0</v>
      </c>
      <c r="AA6" s="258" t="b">
        <v>0</v>
      </c>
      <c r="AB6" s="258" t="b">
        <v>0</v>
      </c>
      <c r="AC6" s="258" t="b">
        <v>0</v>
      </c>
      <c r="AD6" s="258" t="b">
        <v>0</v>
      </c>
      <c r="AE6" s="258" t="b">
        <v>0</v>
      </c>
      <c r="AF6" s="259" t="b">
        <v>0</v>
      </c>
      <c r="AG6" s="260" t="s">
        <v>231</v>
      </c>
      <c r="AH6" s="260" t="s">
        <v>232</v>
      </c>
      <c r="AI6" s="261">
        <v>0.01</v>
      </c>
      <c r="AJ6" s="246" t="str">
        <f>IFERROR(__xludf.DUMMYFUNCTION("IF(E6=""Heavy Armor"",IF(REGEXMATCH(V6,""Flexible""),""0"",COUNTIF(W6:AF6,true)),)"),"")</f>
        <v/>
      </c>
    </row>
    <row r="7" ht="56.25" customHeight="1">
      <c r="A7" s="213"/>
      <c r="B7" s="229">
        <v>4.0</v>
      </c>
      <c r="C7" s="247" t="s">
        <v>233</v>
      </c>
      <c r="D7" s="248" t="s">
        <v>226</v>
      </c>
      <c r="E7" s="248" t="s">
        <v>234</v>
      </c>
      <c r="F7" s="248" t="s">
        <v>235</v>
      </c>
      <c r="G7" s="249"/>
      <c r="H7" s="249"/>
      <c r="I7" s="249"/>
      <c r="J7" s="250" t="s">
        <v>214</v>
      </c>
      <c r="K7" s="251"/>
      <c r="L7" s="251"/>
      <c r="M7" s="251"/>
      <c r="N7" s="251"/>
      <c r="O7" s="252"/>
      <c r="P7" s="253" t="s">
        <v>236</v>
      </c>
      <c r="Q7" s="254" t="s">
        <v>216</v>
      </c>
      <c r="R7" s="255"/>
      <c r="S7" s="255"/>
      <c r="T7" s="255"/>
      <c r="U7" s="256"/>
      <c r="V7" s="240" t="s">
        <v>237</v>
      </c>
      <c r="W7" s="257" t="b">
        <v>0</v>
      </c>
      <c r="X7" s="258" t="b">
        <v>0</v>
      </c>
      <c r="Y7" s="258" t="b">
        <v>0</v>
      </c>
      <c r="Z7" s="258" t="b">
        <v>0</v>
      </c>
      <c r="AA7" s="258" t="b">
        <v>0</v>
      </c>
      <c r="AB7" s="258" t="b">
        <v>0</v>
      </c>
      <c r="AC7" s="258" t="b">
        <v>0</v>
      </c>
      <c r="AD7" s="258" t="b">
        <v>0</v>
      </c>
      <c r="AE7" s="258" t="b">
        <v>0</v>
      </c>
      <c r="AF7" s="259" t="b">
        <v>0</v>
      </c>
      <c r="AG7" s="260" t="s">
        <v>218</v>
      </c>
      <c r="AH7" s="260" t="s">
        <v>232</v>
      </c>
      <c r="AI7" s="261">
        <v>0.0</v>
      </c>
      <c r="AJ7" s="246" t="str">
        <f>IFERROR(__xludf.DUMMYFUNCTION("IF(E7=""Heavy Armor"",IF(REGEXMATCH(V7,""Flexible""),""0"",COUNTIF(W7:AF7,true)),)"),"")</f>
        <v/>
      </c>
    </row>
    <row r="8" ht="56.25" customHeight="1">
      <c r="A8" s="213"/>
      <c r="B8" s="229">
        <v>5.0</v>
      </c>
      <c r="C8" s="230" t="s">
        <v>238</v>
      </c>
      <c r="D8" s="264" t="s">
        <v>239</v>
      </c>
      <c r="E8" s="264" t="s">
        <v>212</v>
      </c>
      <c r="F8" s="264" t="s">
        <v>240</v>
      </c>
      <c r="G8" s="263" t="s">
        <v>241</v>
      </c>
      <c r="H8" s="263" t="s">
        <v>241</v>
      </c>
      <c r="I8" s="263" t="s">
        <v>241</v>
      </c>
      <c r="J8" s="250" t="s">
        <v>214</v>
      </c>
      <c r="K8" s="251" t="s">
        <v>241</v>
      </c>
      <c r="L8" s="251" t="s">
        <v>241</v>
      </c>
      <c r="M8" s="251" t="s">
        <v>241</v>
      </c>
      <c r="N8" s="251" t="s">
        <v>241</v>
      </c>
      <c r="O8" s="252" t="s">
        <v>241</v>
      </c>
      <c r="P8" s="265">
        <v>8.0</v>
      </c>
      <c r="Q8" s="252" t="s">
        <v>216</v>
      </c>
      <c r="R8" s="238" t="s">
        <v>242</v>
      </c>
      <c r="S8" s="238" t="s">
        <v>243</v>
      </c>
      <c r="T8" s="238" t="s">
        <v>243</v>
      </c>
      <c r="U8" s="239" t="s">
        <v>243</v>
      </c>
      <c r="V8" s="266" t="s">
        <v>244</v>
      </c>
      <c r="W8" s="267" t="b">
        <v>0</v>
      </c>
      <c r="X8" s="268" t="b">
        <v>0</v>
      </c>
      <c r="Y8" s="268" t="b">
        <v>0</v>
      </c>
      <c r="Z8" s="268" t="b">
        <v>0</v>
      </c>
      <c r="AA8" s="268" t="b">
        <v>0</v>
      </c>
      <c r="AB8" s="268" t="b">
        <v>0</v>
      </c>
      <c r="AC8" s="268" t="b">
        <v>0</v>
      </c>
      <c r="AD8" s="268" t="b">
        <v>0</v>
      </c>
      <c r="AE8" s="268" t="b">
        <v>1</v>
      </c>
      <c r="AF8" s="259" t="b">
        <v>0</v>
      </c>
      <c r="AG8" s="269" t="s">
        <v>245</v>
      </c>
      <c r="AH8" s="269" t="s">
        <v>232</v>
      </c>
      <c r="AI8" s="270">
        <v>1.43</v>
      </c>
      <c r="AJ8" s="246" t="str">
        <f>IFERROR(__xludf.DUMMYFUNCTION("IF(E8=""Heavy Armor"",IF(REGEXMATCH(V8,""Flexible""),""0"",COUNTIF(W8:AF8,true)),)"),"")</f>
        <v/>
      </c>
    </row>
    <row r="9" ht="56.25" customHeight="1">
      <c r="A9" s="213"/>
      <c r="B9" s="229">
        <v>6.0</v>
      </c>
      <c r="C9" s="247" t="s">
        <v>246</v>
      </c>
      <c r="D9" s="271" t="s">
        <v>239</v>
      </c>
      <c r="E9" s="271" t="s">
        <v>212</v>
      </c>
      <c r="F9" s="271" t="s">
        <v>240</v>
      </c>
      <c r="G9" s="249" t="s">
        <v>241</v>
      </c>
      <c r="H9" s="249" t="s">
        <v>241</v>
      </c>
      <c r="I9" s="249" t="s">
        <v>241</v>
      </c>
      <c r="J9" s="250" t="s">
        <v>214</v>
      </c>
      <c r="K9" s="251" t="s">
        <v>241</v>
      </c>
      <c r="L9" s="251" t="s">
        <v>241</v>
      </c>
      <c r="M9" s="251" t="s">
        <v>241</v>
      </c>
      <c r="N9" s="251" t="s">
        <v>241</v>
      </c>
      <c r="O9" s="252" t="s">
        <v>241</v>
      </c>
      <c r="P9" s="265">
        <v>8.0</v>
      </c>
      <c r="Q9" s="252" t="s">
        <v>216</v>
      </c>
      <c r="R9" s="238" t="s">
        <v>242</v>
      </c>
      <c r="S9" s="238" t="s">
        <v>243</v>
      </c>
      <c r="T9" s="238" t="s">
        <v>243</v>
      </c>
      <c r="U9" s="239" t="s">
        <v>243</v>
      </c>
      <c r="V9" s="266" t="s">
        <v>244</v>
      </c>
      <c r="W9" s="267" t="b">
        <v>0</v>
      </c>
      <c r="X9" s="268" t="b">
        <v>0</v>
      </c>
      <c r="Y9" s="268" t="b">
        <v>0</v>
      </c>
      <c r="Z9" s="268" t="b">
        <v>0</v>
      </c>
      <c r="AA9" s="268" t="b">
        <v>0</v>
      </c>
      <c r="AB9" s="268" t="b">
        <v>0</v>
      </c>
      <c r="AC9" s="268" t="b">
        <v>0</v>
      </c>
      <c r="AD9" s="268" t="b">
        <v>0</v>
      </c>
      <c r="AE9" s="258" t="b">
        <v>0</v>
      </c>
      <c r="AF9" s="272" t="b">
        <v>1</v>
      </c>
      <c r="AG9" s="269" t="s">
        <v>245</v>
      </c>
      <c r="AH9" s="269" t="s">
        <v>232</v>
      </c>
      <c r="AI9" s="270">
        <v>1.43</v>
      </c>
      <c r="AJ9" s="246" t="str">
        <f>IFERROR(__xludf.DUMMYFUNCTION("IF(E9=""Heavy Armor"",IF(REGEXMATCH(V9,""Flexible""),""0"",COUNTIF(W9:AF9,true)),)"),"")</f>
        <v/>
      </c>
    </row>
    <row r="10" ht="56.25" customHeight="1">
      <c r="A10" s="213"/>
      <c r="B10" s="229">
        <v>7.0</v>
      </c>
      <c r="C10" s="230" t="s">
        <v>247</v>
      </c>
      <c r="D10" s="262" t="s">
        <v>239</v>
      </c>
      <c r="E10" s="262" t="s">
        <v>248</v>
      </c>
      <c r="F10" s="262"/>
      <c r="G10" s="273"/>
      <c r="H10" s="273"/>
      <c r="I10" s="273"/>
      <c r="J10" s="274" t="s">
        <v>214</v>
      </c>
      <c r="K10" s="251"/>
      <c r="L10" s="251"/>
      <c r="M10" s="251"/>
      <c r="N10" s="251"/>
      <c r="O10" s="252"/>
      <c r="P10" s="253" t="s">
        <v>249</v>
      </c>
      <c r="Q10" s="254" t="s">
        <v>223</v>
      </c>
      <c r="R10" s="255" t="s">
        <v>250</v>
      </c>
      <c r="S10" s="255"/>
      <c r="T10" s="255" t="s">
        <v>250</v>
      </c>
      <c r="U10" s="256" t="s">
        <v>250</v>
      </c>
      <c r="V10" s="240" t="s">
        <v>251</v>
      </c>
      <c r="W10" s="257" t="b">
        <v>0</v>
      </c>
      <c r="X10" s="258" t="b">
        <v>0</v>
      </c>
      <c r="Y10" s="258" t="b">
        <v>0</v>
      </c>
      <c r="Z10" s="258" t="b">
        <v>1</v>
      </c>
      <c r="AA10" s="258" t="b">
        <v>0</v>
      </c>
      <c r="AB10" s="258" t="b">
        <v>1</v>
      </c>
      <c r="AC10" s="258" t="b">
        <v>0</v>
      </c>
      <c r="AD10" s="258" t="b">
        <v>0</v>
      </c>
      <c r="AE10" s="258" t="b">
        <v>0</v>
      </c>
      <c r="AF10" s="259" t="b">
        <v>0</v>
      </c>
      <c r="AG10" s="260"/>
      <c r="AH10" s="260"/>
      <c r="AI10" s="261"/>
      <c r="AJ10" s="246">
        <f>IFERROR(__xludf.DUMMYFUNCTION("IF(E10=""Heavy Armor"",IF(REGEXMATCH(V10,""Flexible""),""0"",COUNTIF(W10:AF10,true)),)"),2.0)</f>
        <v>2</v>
      </c>
    </row>
    <row r="11" ht="56.25" customHeight="1">
      <c r="A11" s="213"/>
      <c r="B11" s="229">
        <v>8.0</v>
      </c>
      <c r="C11" s="275" t="s">
        <v>252</v>
      </c>
      <c r="D11" s="248" t="s">
        <v>226</v>
      </c>
      <c r="E11" s="248" t="s">
        <v>253</v>
      </c>
      <c r="F11" s="248" t="s">
        <v>254</v>
      </c>
      <c r="G11" s="276" t="s">
        <v>255</v>
      </c>
      <c r="H11" s="276" t="s">
        <v>256</v>
      </c>
      <c r="I11" s="276" t="s">
        <v>257</v>
      </c>
      <c r="J11" s="250" t="s">
        <v>214</v>
      </c>
      <c r="K11" s="277" t="s">
        <v>257</v>
      </c>
      <c r="L11" s="277" t="s">
        <v>257</v>
      </c>
      <c r="M11" s="277" t="s">
        <v>257</v>
      </c>
      <c r="N11" s="277" t="s">
        <v>257</v>
      </c>
      <c r="O11" s="254" t="s">
        <v>258</v>
      </c>
      <c r="P11" s="253" t="s">
        <v>259</v>
      </c>
      <c r="Q11" s="254" t="s">
        <v>223</v>
      </c>
      <c r="R11" s="238"/>
      <c r="S11" s="238"/>
      <c r="T11" s="238"/>
      <c r="U11" s="239"/>
      <c r="V11" s="255" t="s">
        <v>260</v>
      </c>
      <c r="W11" s="257" t="b">
        <v>0</v>
      </c>
      <c r="X11" s="258" t="b">
        <v>0</v>
      </c>
      <c r="Y11" s="258" t="b">
        <v>0</v>
      </c>
      <c r="Z11" s="258" t="b">
        <v>0</v>
      </c>
      <c r="AA11" s="258" t="b">
        <v>0</v>
      </c>
      <c r="AB11" s="258" t="b">
        <v>0</v>
      </c>
      <c r="AC11" s="258" t="b">
        <v>0</v>
      </c>
      <c r="AD11" s="258" t="b">
        <v>0</v>
      </c>
      <c r="AE11" s="258" t="b">
        <v>0</v>
      </c>
      <c r="AF11" s="259" t="b">
        <v>0</v>
      </c>
      <c r="AG11" s="260" t="s">
        <v>261</v>
      </c>
      <c r="AH11" s="260" t="s">
        <v>232</v>
      </c>
      <c r="AI11" s="261">
        <v>0.5</v>
      </c>
      <c r="AJ11" s="246" t="str">
        <f>IFERROR(__xludf.DUMMYFUNCTION("IF(E11=""Heavy Armor"",IF(REGEXMATCH(V11,""Flexible""),""0"",COUNTIF(W11:AF11,true)),)"),"")</f>
        <v/>
      </c>
    </row>
    <row r="12" ht="56.25" customHeight="1">
      <c r="A12" s="213"/>
      <c r="B12" s="229">
        <v>9.0</v>
      </c>
      <c r="C12" s="278" t="s">
        <v>262</v>
      </c>
      <c r="D12" s="262" t="s">
        <v>239</v>
      </c>
      <c r="E12" s="262" t="s">
        <v>263</v>
      </c>
      <c r="F12" s="262" t="s">
        <v>264</v>
      </c>
      <c r="G12" s="273"/>
      <c r="H12" s="273"/>
      <c r="I12" s="273"/>
      <c r="J12" s="274" t="s">
        <v>214</v>
      </c>
      <c r="K12" s="251"/>
      <c r="L12" s="251"/>
      <c r="M12" s="251"/>
      <c r="N12" s="251"/>
      <c r="O12" s="252"/>
      <c r="P12" s="253" t="s">
        <v>265</v>
      </c>
      <c r="Q12" s="254" t="s">
        <v>223</v>
      </c>
      <c r="R12" s="255"/>
      <c r="S12" s="255"/>
      <c r="T12" s="255"/>
      <c r="U12" s="256"/>
      <c r="V12" s="255" t="s">
        <v>266</v>
      </c>
      <c r="W12" s="257" t="b">
        <v>0</v>
      </c>
      <c r="X12" s="258" t="b">
        <v>1</v>
      </c>
      <c r="Y12" s="258" t="b">
        <v>0</v>
      </c>
      <c r="Z12" s="258" t="b">
        <v>0</v>
      </c>
      <c r="AA12" s="258" t="b">
        <v>0</v>
      </c>
      <c r="AB12" s="258" t="b">
        <v>0</v>
      </c>
      <c r="AC12" s="258" t="b">
        <v>0</v>
      </c>
      <c r="AD12" s="258" t="b">
        <v>0</v>
      </c>
      <c r="AE12" s="258" t="b">
        <v>0</v>
      </c>
      <c r="AF12" s="259" t="b">
        <v>0</v>
      </c>
      <c r="AG12" s="260" t="s">
        <v>231</v>
      </c>
      <c r="AH12" s="260" t="s">
        <v>232</v>
      </c>
      <c r="AI12" s="261">
        <v>5.2</v>
      </c>
      <c r="AJ12" s="246" t="str">
        <f>IFERROR(__xludf.DUMMYFUNCTION("IF(E12=""Heavy Armor"",IF(REGEXMATCH(V12,""Flexible""),""0"",COUNTIF(W12:AF12,true)),)"),"")</f>
        <v/>
      </c>
    </row>
    <row r="13" ht="56.25" customHeight="1">
      <c r="A13" s="213"/>
      <c r="B13" s="229">
        <v>10.0</v>
      </c>
      <c r="C13" s="275" t="s">
        <v>267</v>
      </c>
      <c r="D13" s="248" t="s">
        <v>239</v>
      </c>
      <c r="E13" s="248" t="s">
        <v>212</v>
      </c>
      <c r="F13" s="248" t="s">
        <v>100</v>
      </c>
      <c r="G13" s="276"/>
      <c r="H13" s="276"/>
      <c r="I13" s="276"/>
      <c r="J13" s="274" t="s">
        <v>214</v>
      </c>
      <c r="K13" s="251"/>
      <c r="L13" s="251"/>
      <c r="M13" s="251"/>
      <c r="N13" s="251"/>
      <c r="O13" s="252"/>
      <c r="P13" s="253" t="s">
        <v>268</v>
      </c>
      <c r="Q13" s="254" t="s">
        <v>223</v>
      </c>
      <c r="R13" s="255"/>
      <c r="S13" s="255"/>
      <c r="T13" s="255"/>
      <c r="U13" s="256"/>
      <c r="V13" s="255" t="s">
        <v>266</v>
      </c>
      <c r="W13" s="257" t="b">
        <v>1</v>
      </c>
      <c r="X13" s="258" t="b">
        <v>1</v>
      </c>
      <c r="Y13" s="258" t="b">
        <v>1</v>
      </c>
      <c r="Z13" s="258" t="b">
        <v>1</v>
      </c>
      <c r="AA13" s="258" t="b">
        <v>1</v>
      </c>
      <c r="AB13" s="258" t="b">
        <v>1</v>
      </c>
      <c r="AC13" s="258" t="b">
        <v>1</v>
      </c>
      <c r="AD13" s="258" t="b">
        <v>1</v>
      </c>
      <c r="AE13" s="258" t="b">
        <v>1</v>
      </c>
      <c r="AF13" s="259" t="b">
        <v>1</v>
      </c>
      <c r="AG13" s="260"/>
      <c r="AH13" s="260"/>
      <c r="AI13" s="261"/>
      <c r="AJ13" s="246" t="str">
        <f>IFERROR(__xludf.DUMMYFUNCTION("IF(E13=""Heavy Armor"",IF(REGEXMATCH(V13,""Flexible""),""0"",COUNTIF(W13:AF13,true)),)"),"")</f>
        <v/>
      </c>
    </row>
    <row r="14" ht="56.25" customHeight="1">
      <c r="A14" s="213"/>
      <c r="B14" s="229">
        <v>11.0</v>
      </c>
      <c r="C14" s="278" t="s">
        <v>269</v>
      </c>
      <c r="D14" s="262"/>
      <c r="E14" s="262"/>
      <c r="F14" s="262"/>
      <c r="G14" s="273"/>
      <c r="H14" s="273"/>
      <c r="I14" s="273"/>
      <c r="J14" s="274" t="s">
        <v>214</v>
      </c>
      <c r="K14" s="251"/>
      <c r="L14" s="251"/>
      <c r="M14" s="251"/>
      <c r="N14" s="251"/>
      <c r="O14" s="254"/>
      <c r="P14" s="253"/>
      <c r="Q14" s="254"/>
      <c r="R14" s="255"/>
      <c r="S14" s="255"/>
      <c r="T14" s="255"/>
      <c r="U14" s="256"/>
      <c r="V14" s="255"/>
      <c r="W14" s="257" t="b">
        <v>0</v>
      </c>
      <c r="X14" s="258" t="b">
        <v>0</v>
      </c>
      <c r="Y14" s="258" t="b">
        <v>0</v>
      </c>
      <c r="Z14" s="258" t="b">
        <v>0</v>
      </c>
      <c r="AA14" s="258" t="b">
        <v>0</v>
      </c>
      <c r="AB14" s="258" t="b">
        <v>0</v>
      </c>
      <c r="AC14" s="258" t="b">
        <v>0</v>
      </c>
      <c r="AD14" s="258" t="b">
        <v>0</v>
      </c>
      <c r="AE14" s="258" t="b">
        <v>0</v>
      </c>
      <c r="AF14" s="259" t="b">
        <v>0</v>
      </c>
      <c r="AG14" s="260"/>
      <c r="AH14" s="260"/>
      <c r="AI14" s="261"/>
      <c r="AJ14" s="246" t="str">
        <f>IFERROR(__xludf.DUMMYFUNCTION("IF(E14=""Heavy Armor"",IF(REGEXMATCH(V14,""Flexible""),""0"",COUNTIF(W14:AF14,true)),)"),"")</f>
        <v/>
      </c>
    </row>
    <row r="15" ht="56.25" customHeight="1">
      <c r="A15" s="213"/>
      <c r="B15" s="229">
        <v>12.0</v>
      </c>
      <c r="C15" s="275" t="s">
        <v>270</v>
      </c>
      <c r="D15" s="248"/>
      <c r="E15" s="248"/>
      <c r="F15" s="248"/>
      <c r="G15" s="276"/>
      <c r="H15" s="276"/>
      <c r="I15" s="276"/>
      <c r="J15" s="274" t="s">
        <v>214</v>
      </c>
      <c r="K15" s="251"/>
      <c r="L15" s="251"/>
      <c r="M15" s="251"/>
      <c r="N15" s="251"/>
      <c r="O15" s="252"/>
      <c r="P15" s="253"/>
      <c r="Q15" s="254"/>
      <c r="R15" s="255"/>
      <c r="S15" s="255"/>
      <c r="T15" s="255"/>
      <c r="U15" s="256"/>
      <c r="V15" s="255"/>
      <c r="W15" s="257" t="b">
        <v>0</v>
      </c>
      <c r="X15" s="258" t="b">
        <v>0</v>
      </c>
      <c r="Y15" s="258" t="b">
        <v>0</v>
      </c>
      <c r="Z15" s="258" t="b">
        <v>0</v>
      </c>
      <c r="AA15" s="258" t="b">
        <v>0</v>
      </c>
      <c r="AB15" s="258" t="b">
        <v>0</v>
      </c>
      <c r="AC15" s="258" t="b">
        <v>0</v>
      </c>
      <c r="AD15" s="258" t="b">
        <v>0</v>
      </c>
      <c r="AE15" s="258" t="b">
        <v>0</v>
      </c>
      <c r="AF15" s="259" t="b">
        <v>0</v>
      </c>
      <c r="AG15" s="260"/>
      <c r="AH15" s="260"/>
      <c r="AI15" s="261"/>
      <c r="AJ15" s="246" t="str">
        <f>IFERROR(__xludf.DUMMYFUNCTION("IF(E15=""Heavy Armor"",IF(REGEXMATCH(V15,""Flexible""),""0"",COUNTIF(W15:AF15,true)),)"),"")</f>
        <v/>
      </c>
    </row>
    <row r="16" ht="56.25" customHeight="1">
      <c r="A16" s="213"/>
      <c r="B16" s="229">
        <v>13.0</v>
      </c>
      <c r="C16" s="278" t="s">
        <v>271</v>
      </c>
      <c r="D16" s="262"/>
      <c r="E16" s="262"/>
      <c r="F16" s="262"/>
      <c r="G16" s="273"/>
      <c r="H16" s="273"/>
      <c r="I16" s="273"/>
      <c r="J16" s="274" t="s">
        <v>214</v>
      </c>
      <c r="K16" s="277"/>
      <c r="L16" s="277"/>
      <c r="M16" s="277"/>
      <c r="N16" s="277"/>
      <c r="O16" s="252"/>
      <c r="P16" s="253"/>
      <c r="Q16" s="254"/>
      <c r="R16" s="255"/>
      <c r="S16" s="255"/>
      <c r="T16" s="255"/>
      <c r="U16" s="256"/>
      <c r="V16" s="238"/>
      <c r="W16" s="257" t="b">
        <v>0</v>
      </c>
      <c r="X16" s="258" t="b">
        <v>0</v>
      </c>
      <c r="Y16" s="258" t="b">
        <v>0</v>
      </c>
      <c r="Z16" s="258" t="b">
        <v>0</v>
      </c>
      <c r="AA16" s="258" t="b">
        <v>0</v>
      </c>
      <c r="AB16" s="258" t="b">
        <v>0</v>
      </c>
      <c r="AC16" s="258" t="b">
        <v>0</v>
      </c>
      <c r="AD16" s="258" t="b">
        <v>0</v>
      </c>
      <c r="AE16" s="258" t="b">
        <v>0</v>
      </c>
      <c r="AF16" s="259" t="b">
        <v>0</v>
      </c>
      <c r="AG16" s="260"/>
      <c r="AH16" s="260"/>
      <c r="AI16" s="261"/>
      <c r="AJ16" s="246" t="str">
        <f>IFERROR(__xludf.DUMMYFUNCTION("IF(E16=""Heavy Armor"",IF(REGEXMATCH(V16,""Flexible""),""0"",COUNTIF(W16:AF16,true)),)"),"")</f>
        <v/>
      </c>
    </row>
    <row r="17" ht="56.25" customHeight="1">
      <c r="A17" s="213"/>
      <c r="B17" s="229">
        <v>14.0</v>
      </c>
      <c r="C17" s="275" t="s">
        <v>272</v>
      </c>
      <c r="D17" s="248"/>
      <c r="E17" s="248"/>
      <c r="F17" s="248"/>
      <c r="G17" s="276"/>
      <c r="H17" s="276"/>
      <c r="I17" s="276"/>
      <c r="J17" s="274" t="s">
        <v>214</v>
      </c>
      <c r="K17" s="277"/>
      <c r="L17" s="277"/>
      <c r="M17" s="277"/>
      <c r="N17" s="277"/>
      <c r="O17" s="252"/>
      <c r="P17" s="253"/>
      <c r="Q17" s="254"/>
      <c r="R17" s="255"/>
      <c r="S17" s="255"/>
      <c r="T17" s="255"/>
      <c r="U17" s="256"/>
      <c r="V17" s="238"/>
      <c r="W17" s="257" t="b">
        <v>0</v>
      </c>
      <c r="X17" s="258" t="b">
        <v>0</v>
      </c>
      <c r="Y17" s="258" t="b">
        <v>0</v>
      </c>
      <c r="Z17" s="258" t="b">
        <v>0</v>
      </c>
      <c r="AA17" s="258" t="b">
        <v>0</v>
      </c>
      <c r="AB17" s="258" t="b">
        <v>0</v>
      </c>
      <c r="AC17" s="258" t="b">
        <v>0</v>
      </c>
      <c r="AD17" s="258" t="b">
        <v>0</v>
      </c>
      <c r="AE17" s="258" t="b">
        <v>0</v>
      </c>
      <c r="AF17" s="259" t="b">
        <v>0</v>
      </c>
      <c r="AG17" s="260"/>
      <c r="AH17" s="260"/>
      <c r="AI17" s="261"/>
      <c r="AJ17" s="246" t="str">
        <f>IFERROR(__xludf.DUMMYFUNCTION("IF(E17=""Heavy Armor"",IF(REGEXMATCH(V17,""Flexible""),""0"",COUNTIF(W17:AF17,true)),)"),"")</f>
        <v/>
      </c>
    </row>
    <row r="18" ht="56.25" customHeight="1">
      <c r="A18" s="213"/>
      <c r="B18" s="229">
        <v>15.0</v>
      </c>
      <c r="C18" s="278" t="s">
        <v>273</v>
      </c>
      <c r="D18" s="262"/>
      <c r="E18" s="262"/>
      <c r="F18" s="262"/>
      <c r="G18" s="263"/>
      <c r="H18" s="263"/>
      <c r="I18" s="263"/>
      <c r="J18" s="274" t="s">
        <v>214</v>
      </c>
      <c r="K18" s="251"/>
      <c r="L18" s="251"/>
      <c r="M18" s="251"/>
      <c r="N18" s="251"/>
      <c r="O18" s="252"/>
      <c r="P18" s="253"/>
      <c r="Q18" s="254"/>
      <c r="R18" s="255"/>
      <c r="S18" s="255"/>
      <c r="T18" s="255"/>
      <c r="U18" s="256"/>
      <c r="V18" s="255"/>
      <c r="W18" s="257" t="b">
        <v>0</v>
      </c>
      <c r="X18" s="258" t="b">
        <v>0</v>
      </c>
      <c r="Y18" s="258" t="b">
        <v>0</v>
      </c>
      <c r="Z18" s="258" t="b">
        <v>0</v>
      </c>
      <c r="AA18" s="258" t="b">
        <v>0</v>
      </c>
      <c r="AB18" s="258" t="b">
        <v>0</v>
      </c>
      <c r="AC18" s="258" t="b">
        <v>0</v>
      </c>
      <c r="AD18" s="258" t="b">
        <v>0</v>
      </c>
      <c r="AE18" s="258" t="b">
        <v>0</v>
      </c>
      <c r="AF18" s="259" t="b">
        <v>0</v>
      </c>
      <c r="AG18" s="260"/>
      <c r="AH18" s="260"/>
      <c r="AI18" s="261"/>
      <c r="AJ18" s="246" t="str">
        <f>IFERROR(__xludf.DUMMYFUNCTION("IF(E18=""Heavy Armor"",IF(REGEXMATCH(V18,""Flexible""),""0"",COUNTIF(W18:AF18,true)),)"),"")</f>
        <v/>
      </c>
    </row>
    <row r="19" ht="56.25" customHeight="1">
      <c r="A19" s="213"/>
      <c r="B19" s="229">
        <v>16.0</v>
      </c>
      <c r="C19" s="275" t="s">
        <v>274</v>
      </c>
      <c r="D19" s="248"/>
      <c r="E19" s="248"/>
      <c r="F19" s="248"/>
      <c r="G19" s="249"/>
      <c r="H19" s="249"/>
      <c r="I19" s="249"/>
      <c r="J19" s="274" t="s">
        <v>214</v>
      </c>
      <c r="K19" s="251"/>
      <c r="L19" s="251"/>
      <c r="M19" s="251"/>
      <c r="N19" s="251"/>
      <c r="O19" s="252"/>
      <c r="P19" s="265"/>
      <c r="Q19" s="254"/>
      <c r="R19" s="255"/>
      <c r="S19" s="255"/>
      <c r="T19" s="255"/>
      <c r="U19" s="256"/>
      <c r="V19" s="255"/>
      <c r="W19" s="257" t="b">
        <v>0</v>
      </c>
      <c r="X19" s="258" t="b">
        <v>0</v>
      </c>
      <c r="Y19" s="258" t="b">
        <v>0</v>
      </c>
      <c r="Z19" s="258" t="b">
        <v>0</v>
      </c>
      <c r="AA19" s="258" t="b">
        <v>0</v>
      </c>
      <c r="AB19" s="258" t="b">
        <v>0</v>
      </c>
      <c r="AC19" s="258" t="b">
        <v>0</v>
      </c>
      <c r="AD19" s="258" t="b">
        <v>0</v>
      </c>
      <c r="AE19" s="258" t="b">
        <v>0</v>
      </c>
      <c r="AF19" s="259" t="b">
        <v>0</v>
      </c>
      <c r="AG19" s="260"/>
      <c r="AH19" s="260"/>
      <c r="AI19" s="270"/>
      <c r="AJ19" s="246" t="str">
        <f>IFERROR(__xludf.DUMMYFUNCTION("IF(E19=""Heavy Armor"",IF(REGEXMATCH(V19,""Flexible""),""0"",COUNTIF(W19:AF19,true)),)"),"")</f>
        <v/>
      </c>
    </row>
    <row r="20" ht="56.25" customHeight="1">
      <c r="A20" s="213"/>
      <c r="B20" s="229">
        <v>17.0</v>
      </c>
      <c r="C20" s="278" t="s">
        <v>275</v>
      </c>
      <c r="D20" s="262"/>
      <c r="E20" s="262"/>
      <c r="F20" s="262"/>
      <c r="G20" s="273"/>
      <c r="H20" s="273"/>
      <c r="I20" s="273"/>
      <c r="J20" s="274" t="s">
        <v>214</v>
      </c>
      <c r="K20" s="251"/>
      <c r="L20" s="251"/>
      <c r="M20" s="251"/>
      <c r="N20" s="251"/>
      <c r="O20" s="252"/>
      <c r="P20" s="253"/>
      <c r="Q20" s="254"/>
      <c r="R20" s="255"/>
      <c r="S20" s="255"/>
      <c r="T20" s="255"/>
      <c r="U20" s="256"/>
      <c r="V20" s="255" t="s">
        <v>276</v>
      </c>
      <c r="W20" s="257" t="b">
        <v>0</v>
      </c>
      <c r="X20" s="258" t="b">
        <v>0</v>
      </c>
      <c r="Y20" s="258" t="b">
        <v>0</v>
      </c>
      <c r="Z20" s="258" t="b">
        <v>0</v>
      </c>
      <c r="AA20" s="258" t="b">
        <v>0</v>
      </c>
      <c r="AB20" s="258" t="b">
        <v>0</v>
      </c>
      <c r="AC20" s="258" t="b">
        <v>0</v>
      </c>
      <c r="AD20" s="258" t="b">
        <v>0</v>
      </c>
      <c r="AE20" s="258" t="b">
        <v>0</v>
      </c>
      <c r="AF20" s="259" t="b">
        <v>0</v>
      </c>
      <c r="AG20" s="260"/>
      <c r="AH20" s="260"/>
      <c r="AI20" s="261"/>
      <c r="AJ20" s="246" t="str">
        <f>IFERROR(__xludf.DUMMYFUNCTION("IF(E20=""Heavy Armor"",IF(REGEXMATCH(V20,""Flexible""),""0"",COUNTIF(W20:AF20,true)),)"),"")</f>
        <v/>
      </c>
    </row>
    <row r="21" ht="56.25" customHeight="1">
      <c r="A21" s="213"/>
      <c r="B21" s="229">
        <v>18.0</v>
      </c>
      <c r="C21" s="275" t="s">
        <v>277</v>
      </c>
      <c r="D21" s="271"/>
      <c r="E21" s="271"/>
      <c r="F21" s="271"/>
      <c r="G21" s="276"/>
      <c r="H21" s="276"/>
      <c r="I21" s="276"/>
      <c r="J21" s="274" t="s">
        <v>214</v>
      </c>
      <c r="K21" s="251"/>
      <c r="L21" s="251"/>
      <c r="M21" s="251"/>
      <c r="N21" s="251"/>
      <c r="O21" s="252"/>
      <c r="P21" s="265"/>
      <c r="Q21" s="254"/>
      <c r="R21" s="255"/>
      <c r="S21" s="255"/>
      <c r="T21" s="255"/>
      <c r="U21" s="256"/>
      <c r="V21" s="238"/>
      <c r="W21" s="257" t="b">
        <v>0</v>
      </c>
      <c r="X21" s="258" t="b">
        <v>0</v>
      </c>
      <c r="Y21" s="258" t="b">
        <v>0</v>
      </c>
      <c r="Z21" s="258" t="b">
        <v>0</v>
      </c>
      <c r="AA21" s="258" t="b">
        <v>0</v>
      </c>
      <c r="AB21" s="258" t="b">
        <v>0</v>
      </c>
      <c r="AC21" s="258" t="b">
        <v>0</v>
      </c>
      <c r="AD21" s="258" t="b">
        <v>0</v>
      </c>
      <c r="AE21" s="258" t="b">
        <v>0</v>
      </c>
      <c r="AF21" s="259" t="b">
        <v>0</v>
      </c>
      <c r="AG21" s="260"/>
      <c r="AH21" s="260"/>
      <c r="AI21" s="261"/>
      <c r="AJ21" s="246" t="str">
        <f>IFERROR(__xludf.DUMMYFUNCTION("IF(E21=""Heavy Armor"",IF(REGEXMATCH(V21,""Flexible""),""0"",COUNTIF(W21:AF21,true)),)"),"")</f>
        <v/>
      </c>
    </row>
    <row r="22" ht="56.25" customHeight="1">
      <c r="A22" s="213"/>
      <c r="B22" s="229">
        <v>19.0</v>
      </c>
      <c r="C22" s="279"/>
      <c r="D22" s="264"/>
      <c r="E22" s="264"/>
      <c r="F22" s="264"/>
      <c r="G22" s="263"/>
      <c r="H22" s="263"/>
      <c r="I22" s="263"/>
      <c r="J22" s="274" t="s">
        <v>214</v>
      </c>
      <c r="K22" s="251"/>
      <c r="L22" s="251"/>
      <c r="M22" s="251"/>
      <c r="N22" s="251"/>
      <c r="O22" s="252"/>
      <c r="P22" s="265"/>
      <c r="Q22" s="254"/>
      <c r="R22" s="255"/>
      <c r="S22" s="255"/>
      <c r="T22" s="255"/>
      <c r="U22" s="256"/>
      <c r="V22" s="238"/>
      <c r="W22" s="257" t="b">
        <v>0</v>
      </c>
      <c r="X22" s="258" t="b">
        <v>0</v>
      </c>
      <c r="Y22" s="258" t="b">
        <v>0</v>
      </c>
      <c r="Z22" s="258" t="b">
        <v>0</v>
      </c>
      <c r="AA22" s="258" t="b">
        <v>0</v>
      </c>
      <c r="AB22" s="258" t="b">
        <v>0</v>
      </c>
      <c r="AC22" s="258" t="b">
        <v>0</v>
      </c>
      <c r="AD22" s="258" t="b">
        <v>0</v>
      </c>
      <c r="AE22" s="258" t="b">
        <v>0</v>
      </c>
      <c r="AF22" s="259" t="b">
        <v>0</v>
      </c>
      <c r="AG22" s="260"/>
      <c r="AH22" s="260"/>
      <c r="AI22" s="270"/>
      <c r="AJ22" s="246" t="str">
        <f>IFERROR(__xludf.DUMMYFUNCTION("IF(E22=""Heavy Armor"",IF(REGEXMATCH(V22,""Flexible""),""0"",COUNTIF(W22:AF22,true)),)"),"")</f>
        <v/>
      </c>
    </row>
    <row r="23" ht="56.25" customHeight="1">
      <c r="A23" s="213"/>
      <c r="B23" s="229">
        <v>20.0</v>
      </c>
      <c r="C23" s="280"/>
      <c r="D23" s="271"/>
      <c r="E23" s="271"/>
      <c r="F23" s="271"/>
      <c r="G23" s="249"/>
      <c r="H23" s="249"/>
      <c r="I23" s="249"/>
      <c r="J23" s="274" t="s">
        <v>214</v>
      </c>
      <c r="K23" s="251"/>
      <c r="L23" s="251"/>
      <c r="M23" s="251"/>
      <c r="N23" s="251"/>
      <c r="O23" s="252"/>
      <c r="P23" s="265"/>
      <c r="Q23" s="254"/>
      <c r="R23" s="255"/>
      <c r="S23" s="255"/>
      <c r="T23" s="255"/>
      <c r="U23" s="256"/>
      <c r="V23" s="238"/>
      <c r="W23" s="257" t="b">
        <v>0</v>
      </c>
      <c r="X23" s="258" t="b">
        <v>0</v>
      </c>
      <c r="Y23" s="258" t="b">
        <v>0</v>
      </c>
      <c r="Z23" s="258" t="b">
        <v>0</v>
      </c>
      <c r="AA23" s="258" t="b">
        <v>0</v>
      </c>
      <c r="AB23" s="258" t="b">
        <v>0</v>
      </c>
      <c r="AC23" s="258" t="b">
        <v>0</v>
      </c>
      <c r="AD23" s="258" t="b">
        <v>0</v>
      </c>
      <c r="AE23" s="258" t="b">
        <v>0</v>
      </c>
      <c r="AF23" s="259" t="b">
        <v>0</v>
      </c>
      <c r="AG23" s="260"/>
      <c r="AH23" s="260"/>
      <c r="AI23" s="270"/>
      <c r="AJ23" s="246" t="str">
        <f>IFERROR(__xludf.DUMMYFUNCTION("IF(E23=""Heavy Armor"",IF(REGEXMATCH(V23,""Flexible""),""0"",COUNTIF(W23:AF23,true)),)"),"")</f>
        <v/>
      </c>
    </row>
    <row r="24" ht="56.25" customHeight="1">
      <c r="A24" s="213"/>
      <c r="B24" s="229">
        <v>21.0</v>
      </c>
      <c r="C24" s="279"/>
      <c r="D24" s="264"/>
      <c r="E24" s="264"/>
      <c r="F24" s="264"/>
      <c r="G24" s="263"/>
      <c r="H24" s="263"/>
      <c r="I24" s="263"/>
      <c r="J24" s="274" t="s">
        <v>214</v>
      </c>
      <c r="K24" s="251"/>
      <c r="L24" s="251"/>
      <c r="M24" s="251"/>
      <c r="N24" s="251"/>
      <c r="O24" s="252"/>
      <c r="P24" s="265"/>
      <c r="Q24" s="254"/>
      <c r="R24" s="255"/>
      <c r="S24" s="255"/>
      <c r="T24" s="255"/>
      <c r="U24" s="256"/>
      <c r="V24" s="238"/>
      <c r="W24" s="257" t="b">
        <v>0</v>
      </c>
      <c r="X24" s="258" t="b">
        <v>0</v>
      </c>
      <c r="Y24" s="258" t="b">
        <v>0</v>
      </c>
      <c r="Z24" s="258" t="b">
        <v>0</v>
      </c>
      <c r="AA24" s="258" t="b">
        <v>0</v>
      </c>
      <c r="AB24" s="258" t="b">
        <v>0</v>
      </c>
      <c r="AC24" s="258" t="b">
        <v>0</v>
      </c>
      <c r="AD24" s="258" t="b">
        <v>0</v>
      </c>
      <c r="AE24" s="258" t="b">
        <v>0</v>
      </c>
      <c r="AF24" s="259" t="b">
        <v>0</v>
      </c>
      <c r="AG24" s="260"/>
      <c r="AH24" s="260"/>
      <c r="AI24" s="270"/>
      <c r="AJ24" s="246" t="str">
        <f>IFERROR(__xludf.DUMMYFUNCTION("IF(E24=""Heavy Armor"",IF(REGEXMATCH(V24,""Flexible""),""0"",COUNTIF(W24:AF24,true)),)"),"")</f>
        <v/>
      </c>
    </row>
    <row r="25" ht="56.25" customHeight="1">
      <c r="A25" s="213"/>
      <c r="B25" s="229">
        <v>22.0</v>
      </c>
      <c r="C25" s="280"/>
      <c r="D25" s="271"/>
      <c r="E25" s="271"/>
      <c r="F25" s="271"/>
      <c r="G25" s="249"/>
      <c r="H25" s="249"/>
      <c r="I25" s="249"/>
      <c r="J25" s="274" t="s">
        <v>214</v>
      </c>
      <c r="K25" s="251"/>
      <c r="L25" s="251"/>
      <c r="M25" s="251"/>
      <c r="N25" s="251"/>
      <c r="O25" s="252"/>
      <c r="P25" s="265"/>
      <c r="Q25" s="254"/>
      <c r="R25" s="255"/>
      <c r="S25" s="255"/>
      <c r="T25" s="255"/>
      <c r="U25" s="256"/>
      <c r="V25" s="238"/>
      <c r="W25" s="257" t="b">
        <v>0</v>
      </c>
      <c r="X25" s="258" t="b">
        <v>0</v>
      </c>
      <c r="Y25" s="258" t="b">
        <v>0</v>
      </c>
      <c r="Z25" s="258" t="b">
        <v>0</v>
      </c>
      <c r="AA25" s="258" t="b">
        <v>0</v>
      </c>
      <c r="AB25" s="258" t="b">
        <v>0</v>
      </c>
      <c r="AC25" s="258" t="b">
        <v>0</v>
      </c>
      <c r="AD25" s="258" t="b">
        <v>0</v>
      </c>
      <c r="AE25" s="258" t="b">
        <v>0</v>
      </c>
      <c r="AF25" s="259" t="b">
        <v>0</v>
      </c>
      <c r="AG25" s="260"/>
      <c r="AH25" s="260"/>
      <c r="AI25" s="270"/>
      <c r="AJ25" s="246" t="str">
        <f>IFERROR(__xludf.DUMMYFUNCTION("IF(E25=""Heavy Armor"",IF(REGEXMATCH(V25,""Flexible""),""0"",COUNTIF(W25:AF25,true)),)"),"")</f>
        <v/>
      </c>
    </row>
    <row r="26" ht="56.25" customHeight="1">
      <c r="A26" s="213"/>
      <c r="B26" s="229">
        <v>23.0</v>
      </c>
      <c r="C26" s="279"/>
      <c r="D26" s="264"/>
      <c r="E26" s="264"/>
      <c r="F26" s="264"/>
      <c r="G26" s="263"/>
      <c r="H26" s="263"/>
      <c r="I26" s="263"/>
      <c r="J26" s="274" t="s">
        <v>214</v>
      </c>
      <c r="K26" s="251"/>
      <c r="L26" s="251"/>
      <c r="M26" s="251"/>
      <c r="N26" s="251"/>
      <c r="O26" s="252"/>
      <c r="P26" s="265"/>
      <c r="Q26" s="254"/>
      <c r="R26" s="255"/>
      <c r="S26" s="255"/>
      <c r="T26" s="255"/>
      <c r="U26" s="256"/>
      <c r="V26" s="238"/>
      <c r="W26" s="257" t="b">
        <v>0</v>
      </c>
      <c r="X26" s="258" t="b">
        <v>0</v>
      </c>
      <c r="Y26" s="258" t="b">
        <v>0</v>
      </c>
      <c r="Z26" s="258" t="b">
        <v>0</v>
      </c>
      <c r="AA26" s="258" t="b">
        <v>0</v>
      </c>
      <c r="AB26" s="258" t="b">
        <v>0</v>
      </c>
      <c r="AC26" s="258" t="b">
        <v>0</v>
      </c>
      <c r="AD26" s="258" t="b">
        <v>0</v>
      </c>
      <c r="AE26" s="258" t="b">
        <v>0</v>
      </c>
      <c r="AF26" s="259" t="b">
        <v>0</v>
      </c>
      <c r="AG26" s="260"/>
      <c r="AH26" s="260"/>
      <c r="AI26" s="270"/>
      <c r="AJ26" s="246" t="str">
        <f>IFERROR(__xludf.DUMMYFUNCTION("IF(E26=""Heavy Armor"",IF(REGEXMATCH(V26,""Flexible""),""0"",COUNTIF(W26:AF26,true)),)"),"")</f>
        <v/>
      </c>
    </row>
    <row r="27" ht="56.25" customHeight="1">
      <c r="A27" s="213"/>
      <c r="B27" s="229">
        <v>24.0</v>
      </c>
      <c r="C27" s="275"/>
      <c r="D27" s="248"/>
      <c r="E27" s="248"/>
      <c r="F27" s="248"/>
      <c r="G27" s="276"/>
      <c r="H27" s="276"/>
      <c r="I27" s="276"/>
      <c r="J27" s="274" t="s">
        <v>214</v>
      </c>
      <c r="K27" s="277"/>
      <c r="L27" s="277"/>
      <c r="M27" s="277"/>
      <c r="N27" s="277"/>
      <c r="O27" s="254"/>
      <c r="P27" s="253"/>
      <c r="Q27" s="254"/>
      <c r="R27" s="255"/>
      <c r="S27" s="255"/>
      <c r="T27" s="255"/>
      <c r="U27" s="256"/>
      <c r="V27" s="255"/>
      <c r="W27" s="257" t="b">
        <v>0</v>
      </c>
      <c r="X27" s="258" t="b">
        <v>0</v>
      </c>
      <c r="Y27" s="258" t="b">
        <v>0</v>
      </c>
      <c r="Z27" s="258" t="b">
        <v>0</v>
      </c>
      <c r="AA27" s="258" t="b">
        <v>0</v>
      </c>
      <c r="AB27" s="258" t="b">
        <v>0</v>
      </c>
      <c r="AC27" s="258" t="b">
        <v>0</v>
      </c>
      <c r="AD27" s="258" t="b">
        <v>0</v>
      </c>
      <c r="AE27" s="258" t="b">
        <v>0</v>
      </c>
      <c r="AF27" s="259" t="b">
        <v>0</v>
      </c>
      <c r="AG27" s="260"/>
      <c r="AH27" s="260"/>
      <c r="AI27" s="261"/>
      <c r="AJ27" s="246" t="str">
        <f>IFERROR(__xludf.DUMMYFUNCTION("IF(E27=""Heavy Armor"",IF(REGEXMATCH(V27,""Flexible""),""0"",COUNTIF(W27:AF27,true)),)"),"")</f>
        <v/>
      </c>
    </row>
    <row r="28" ht="56.25" customHeight="1">
      <c r="A28" s="213"/>
      <c r="B28" s="229">
        <v>25.0</v>
      </c>
      <c r="C28" s="278"/>
      <c r="D28" s="262"/>
      <c r="E28" s="262"/>
      <c r="F28" s="262"/>
      <c r="G28" s="273"/>
      <c r="H28" s="273"/>
      <c r="I28" s="273"/>
      <c r="J28" s="274" t="s">
        <v>214</v>
      </c>
      <c r="K28" s="251"/>
      <c r="L28" s="251"/>
      <c r="M28" s="251"/>
      <c r="N28" s="251"/>
      <c r="O28" s="252"/>
      <c r="P28" s="253"/>
      <c r="Q28" s="254"/>
      <c r="R28" s="255"/>
      <c r="S28" s="255"/>
      <c r="T28" s="255"/>
      <c r="U28" s="256"/>
      <c r="V28" s="255"/>
      <c r="W28" s="257" t="b">
        <v>0</v>
      </c>
      <c r="X28" s="258" t="b">
        <v>0</v>
      </c>
      <c r="Y28" s="258" t="b">
        <v>0</v>
      </c>
      <c r="Z28" s="258" t="b">
        <v>0</v>
      </c>
      <c r="AA28" s="258" t="b">
        <v>0</v>
      </c>
      <c r="AB28" s="258" t="b">
        <v>0</v>
      </c>
      <c r="AC28" s="258" t="b">
        <v>0</v>
      </c>
      <c r="AD28" s="258" t="b">
        <v>0</v>
      </c>
      <c r="AE28" s="258" t="b">
        <v>0</v>
      </c>
      <c r="AF28" s="259" t="b">
        <v>0</v>
      </c>
      <c r="AG28" s="260"/>
      <c r="AH28" s="260"/>
      <c r="AI28" s="261"/>
      <c r="AJ28" s="246" t="str">
        <f>IFERROR(__xludf.DUMMYFUNCTION("IF(E28=""Heavy Armor"",IF(REGEXMATCH(V28,""Flexible""),""0"",COUNTIF(W28:AF28,true)),)"),"")</f>
        <v/>
      </c>
    </row>
    <row r="29" ht="56.25" customHeight="1">
      <c r="A29" s="213"/>
      <c r="B29" s="229">
        <v>26.0</v>
      </c>
      <c r="C29" s="275"/>
      <c r="D29" s="248"/>
      <c r="E29" s="248"/>
      <c r="F29" s="248"/>
      <c r="G29" s="276"/>
      <c r="H29" s="276"/>
      <c r="I29" s="276"/>
      <c r="J29" s="274" t="s">
        <v>214</v>
      </c>
      <c r="K29" s="277"/>
      <c r="L29" s="277"/>
      <c r="M29" s="277"/>
      <c r="N29" s="277"/>
      <c r="O29" s="254"/>
      <c r="P29" s="253"/>
      <c r="Q29" s="254"/>
      <c r="R29" s="255"/>
      <c r="S29" s="255"/>
      <c r="T29" s="255"/>
      <c r="U29" s="256"/>
      <c r="V29" s="255"/>
      <c r="W29" s="257" t="b">
        <v>0</v>
      </c>
      <c r="X29" s="258" t="b">
        <v>0</v>
      </c>
      <c r="Y29" s="258" t="b">
        <v>0</v>
      </c>
      <c r="Z29" s="258" t="b">
        <v>0</v>
      </c>
      <c r="AA29" s="258" t="b">
        <v>0</v>
      </c>
      <c r="AB29" s="258" t="b">
        <v>0</v>
      </c>
      <c r="AC29" s="258" t="b">
        <v>0</v>
      </c>
      <c r="AD29" s="258" t="b">
        <v>0</v>
      </c>
      <c r="AE29" s="258" t="b">
        <v>0</v>
      </c>
      <c r="AF29" s="259" t="b">
        <v>0</v>
      </c>
      <c r="AG29" s="260"/>
      <c r="AH29" s="260"/>
      <c r="AI29" s="261"/>
      <c r="AJ29" s="246" t="str">
        <f>IFERROR(__xludf.DUMMYFUNCTION("IF(E29=""Heavy Armor"",IF(REGEXMATCH(V29,""Flexible""),""0"",COUNTIF(W29:AF29,true)),)"),"")</f>
        <v/>
      </c>
    </row>
    <row r="30" ht="56.25" customHeight="1">
      <c r="A30" s="213"/>
      <c r="B30" s="229">
        <v>27.0</v>
      </c>
      <c r="C30" s="278"/>
      <c r="D30" s="262"/>
      <c r="E30" s="262"/>
      <c r="F30" s="262"/>
      <c r="G30" s="273"/>
      <c r="H30" s="273"/>
      <c r="I30" s="273"/>
      <c r="J30" s="274" t="s">
        <v>214</v>
      </c>
      <c r="K30" s="251"/>
      <c r="L30" s="251"/>
      <c r="M30" s="251"/>
      <c r="N30" s="251"/>
      <c r="O30" s="252"/>
      <c r="P30" s="253"/>
      <c r="Q30" s="254"/>
      <c r="R30" s="255"/>
      <c r="S30" s="255"/>
      <c r="T30" s="255"/>
      <c r="U30" s="256"/>
      <c r="V30" s="255"/>
      <c r="W30" s="257" t="b">
        <v>0</v>
      </c>
      <c r="X30" s="258" t="b">
        <v>0</v>
      </c>
      <c r="Y30" s="258" t="b">
        <v>0</v>
      </c>
      <c r="Z30" s="258" t="b">
        <v>0</v>
      </c>
      <c r="AA30" s="258" t="b">
        <v>0</v>
      </c>
      <c r="AB30" s="258" t="b">
        <v>0</v>
      </c>
      <c r="AC30" s="258" t="b">
        <v>0</v>
      </c>
      <c r="AD30" s="258" t="b">
        <v>0</v>
      </c>
      <c r="AE30" s="258" t="b">
        <v>0</v>
      </c>
      <c r="AF30" s="259" t="b">
        <v>0</v>
      </c>
      <c r="AG30" s="260"/>
      <c r="AH30" s="260"/>
      <c r="AI30" s="261"/>
      <c r="AJ30" s="246" t="str">
        <f>IFERROR(__xludf.DUMMYFUNCTION("IF(E30=""Heavy Armor"",IF(REGEXMATCH(V30,""Flexible""),""0"",COUNTIF(W30:AF30,true)),)"),"")</f>
        <v/>
      </c>
    </row>
    <row r="31" ht="56.25" customHeight="1">
      <c r="A31" s="213"/>
      <c r="B31" s="229">
        <v>28.0</v>
      </c>
      <c r="C31" s="275"/>
      <c r="D31" s="248"/>
      <c r="E31" s="248"/>
      <c r="F31" s="248"/>
      <c r="G31" s="276"/>
      <c r="H31" s="276"/>
      <c r="I31" s="276"/>
      <c r="J31" s="274" t="s">
        <v>214</v>
      </c>
      <c r="K31" s="277"/>
      <c r="L31" s="277"/>
      <c r="M31" s="277"/>
      <c r="N31" s="277"/>
      <c r="O31" s="254"/>
      <c r="P31" s="253"/>
      <c r="Q31" s="254"/>
      <c r="R31" s="255"/>
      <c r="S31" s="255"/>
      <c r="T31" s="255"/>
      <c r="U31" s="256"/>
      <c r="V31" s="255"/>
      <c r="W31" s="257" t="b">
        <v>0</v>
      </c>
      <c r="X31" s="258" t="b">
        <v>0</v>
      </c>
      <c r="Y31" s="258" t="b">
        <v>0</v>
      </c>
      <c r="Z31" s="258" t="b">
        <v>0</v>
      </c>
      <c r="AA31" s="258" t="b">
        <v>0</v>
      </c>
      <c r="AB31" s="258" t="b">
        <v>0</v>
      </c>
      <c r="AC31" s="258" t="b">
        <v>0</v>
      </c>
      <c r="AD31" s="258" t="b">
        <v>0</v>
      </c>
      <c r="AE31" s="258" t="b">
        <v>0</v>
      </c>
      <c r="AF31" s="259" t="b">
        <v>0</v>
      </c>
      <c r="AG31" s="260"/>
      <c r="AH31" s="260"/>
      <c r="AI31" s="261"/>
      <c r="AJ31" s="246" t="str">
        <f>IFERROR(__xludf.DUMMYFUNCTION("IF(E31=""Heavy Armor"",IF(REGEXMATCH(V31,""Flexible""),""0"",COUNTIF(W31:AF31,true)),)"),"")</f>
        <v/>
      </c>
    </row>
    <row r="32" ht="56.25" customHeight="1">
      <c r="A32" s="213"/>
      <c r="B32" s="229">
        <v>29.0</v>
      </c>
      <c r="C32" s="278"/>
      <c r="D32" s="262"/>
      <c r="E32" s="262"/>
      <c r="F32" s="262"/>
      <c r="G32" s="273"/>
      <c r="H32" s="273"/>
      <c r="I32" s="273"/>
      <c r="J32" s="274" t="s">
        <v>214</v>
      </c>
      <c r="K32" s="277"/>
      <c r="L32" s="277"/>
      <c r="M32" s="277"/>
      <c r="N32" s="277"/>
      <c r="O32" s="254"/>
      <c r="P32" s="253"/>
      <c r="Q32" s="254"/>
      <c r="R32" s="255"/>
      <c r="S32" s="255"/>
      <c r="T32" s="255"/>
      <c r="U32" s="256"/>
      <c r="V32" s="255"/>
      <c r="W32" s="257" t="b">
        <v>0</v>
      </c>
      <c r="X32" s="258" t="b">
        <v>0</v>
      </c>
      <c r="Y32" s="258" t="b">
        <v>0</v>
      </c>
      <c r="Z32" s="258" t="b">
        <v>0</v>
      </c>
      <c r="AA32" s="258" t="b">
        <v>0</v>
      </c>
      <c r="AB32" s="258" t="b">
        <v>0</v>
      </c>
      <c r="AC32" s="258" t="b">
        <v>0</v>
      </c>
      <c r="AD32" s="258" t="b">
        <v>0</v>
      </c>
      <c r="AE32" s="258" t="b">
        <v>0</v>
      </c>
      <c r="AF32" s="259" t="b">
        <v>0</v>
      </c>
      <c r="AG32" s="260"/>
      <c r="AH32" s="260"/>
      <c r="AI32" s="261"/>
      <c r="AJ32" s="246" t="str">
        <f>IFERROR(__xludf.DUMMYFUNCTION("IF(E32=""Heavy Armor"",IF(REGEXMATCH(V32,""Flexible""),""0"",COUNTIF(W32:AF32,true)),)"),"")</f>
        <v/>
      </c>
    </row>
    <row r="33" ht="56.25" customHeight="1">
      <c r="A33" s="213"/>
      <c r="B33" s="229">
        <v>30.0</v>
      </c>
      <c r="C33" s="275"/>
      <c r="D33" s="248"/>
      <c r="E33" s="248"/>
      <c r="F33" s="248"/>
      <c r="G33" s="276"/>
      <c r="H33" s="276"/>
      <c r="I33" s="276"/>
      <c r="J33" s="274" t="s">
        <v>214</v>
      </c>
      <c r="K33" s="277"/>
      <c r="L33" s="277"/>
      <c r="M33" s="277"/>
      <c r="N33" s="277"/>
      <c r="O33" s="254"/>
      <c r="P33" s="253"/>
      <c r="Q33" s="254"/>
      <c r="R33" s="255"/>
      <c r="S33" s="255"/>
      <c r="T33" s="255"/>
      <c r="U33" s="256"/>
      <c r="V33" s="255"/>
      <c r="W33" s="257" t="b">
        <v>0</v>
      </c>
      <c r="X33" s="258" t="b">
        <v>0</v>
      </c>
      <c r="Y33" s="258" t="b">
        <v>0</v>
      </c>
      <c r="Z33" s="258" t="b">
        <v>0</v>
      </c>
      <c r="AA33" s="258" t="b">
        <v>0</v>
      </c>
      <c r="AB33" s="258" t="b">
        <v>0</v>
      </c>
      <c r="AC33" s="258" t="b">
        <v>0</v>
      </c>
      <c r="AD33" s="258" t="b">
        <v>0</v>
      </c>
      <c r="AE33" s="258" t="b">
        <v>0</v>
      </c>
      <c r="AF33" s="259" t="b">
        <v>0</v>
      </c>
      <c r="AG33" s="260"/>
      <c r="AH33" s="260"/>
      <c r="AI33" s="261"/>
      <c r="AJ33" s="246" t="str">
        <f>IFERROR(__xludf.DUMMYFUNCTION("IF(E33=""Heavy Armor"",IF(REGEXMATCH(V33,""Flexible""),""0"",COUNTIF(W33:AF33,true)),)"),"")</f>
        <v/>
      </c>
    </row>
    <row r="34" ht="56.25" customHeight="1">
      <c r="A34" s="213"/>
      <c r="B34" s="229">
        <v>31.0</v>
      </c>
      <c r="C34" s="278"/>
      <c r="D34" s="262"/>
      <c r="E34" s="262"/>
      <c r="F34" s="262"/>
      <c r="G34" s="273"/>
      <c r="H34" s="273"/>
      <c r="I34" s="273"/>
      <c r="J34" s="274" t="s">
        <v>214</v>
      </c>
      <c r="K34" s="251"/>
      <c r="L34" s="251"/>
      <c r="M34" s="251"/>
      <c r="N34" s="251"/>
      <c r="O34" s="252"/>
      <c r="P34" s="253"/>
      <c r="Q34" s="254"/>
      <c r="R34" s="255"/>
      <c r="S34" s="255"/>
      <c r="T34" s="255"/>
      <c r="U34" s="256"/>
      <c r="V34" s="238"/>
      <c r="W34" s="257" t="b">
        <v>0</v>
      </c>
      <c r="X34" s="258" t="b">
        <v>0</v>
      </c>
      <c r="Y34" s="258" t="b">
        <v>0</v>
      </c>
      <c r="Z34" s="258" t="b">
        <v>0</v>
      </c>
      <c r="AA34" s="258" t="b">
        <v>0</v>
      </c>
      <c r="AB34" s="258" t="b">
        <v>0</v>
      </c>
      <c r="AC34" s="258" t="b">
        <v>0</v>
      </c>
      <c r="AD34" s="258" t="b">
        <v>0</v>
      </c>
      <c r="AE34" s="258" t="b">
        <v>0</v>
      </c>
      <c r="AF34" s="259" t="b">
        <v>0</v>
      </c>
      <c r="AG34" s="260"/>
      <c r="AH34" s="260"/>
      <c r="AI34" s="261"/>
      <c r="AJ34" s="246" t="str">
        <f>IFERROR(__xludf.DUMMYFUNCTION("IF(E34=""Heavy Armor"",IF(REGEXMATCH(V34,""Flexible""),""0"",COUNTIF(W34:AF34,true)),)"),"")</f>
        <v/>
      </c>
    </row>
    <row r="35" ht="56.25" customHeight="1">
      <c r="A35" s="213"/>
      <c r="B35" s="229">
        <v>32.0</v>
      </c>
      <c r="C35" s="275" t="s">
        <v>278</v>
      </c>
      <c r="D35" s="248" t="s">
        <v>211</v>
      </c>
      <c r="E35" s="248" t="s">
        <v>227</v>
      </c>
      <c r="F35" s="248"/>
      <c r="G35" s="276" t="s">
        <v>279</v>
      </c>
      <c r="H35" s="276" t="s">
        <v>249</v>
      </c>
      <c r="I35" s="276" t="s">
        <v>257</v>
      </c>
      <c r="J35" s="274" t="s">
        <v>214</v>
      </c>
      <c r="K35" s="277" t="s">
        <v>280</v>
      </c>
      <c r="L35" s="277" t="s">
        <v>257</v>
      </c>
      <c r="M35" s="277" t="s">
        <v>257</v>
      </c>
      <c r="N35" s="277" t="s">
        <v>257</v>
      </c>
      <c r="O35" s="254" t="s">
        <v>241</v>
      </c>
      <c r="P35" s="253" t="s">
        <v>279</v>
      </c>
      <c r="Q35" s="254" t="s">
        <v>223</v>
      </c>
      <c r="R35" s="255"/>
      <c r="S35" s="255"/>
      <c r="T35" s="255"/>
      <c r="U35" s="256"/>
      <c r="V35" s="255" t="s">
        <v>281</v>
      </c>
      <c r="W35" s="257" t="b">
        <v>0</v>
      </c>
      <c r="X35" s="258" t="b">
        <v>0</v>
      </c>
      <c r="Y35" s="258" t="b">
        <v>0</v>
      </c>
      <c r="Z35" s="258" t="b">
        <v>0</v>
      </c>
      <c r="AA35" s="258" t="b">
        <v>0</v>
      </c>
      <c r="AB35" s="258" t="b">
        <v>0</v>
      </c>
      <c r="AC35" s="258" t="b">
        <v>0</v>
      </c>
      <c r="AD35" s="258" t="b">
        <v>0</v>
      </c>
      <c r="AE35" s="258" t="b">
        <v>0</v>
      </c>
      <c r="AF35" s="259" t="b">
        <v>0</v>
      </c>
      <c r="AG35" s="260" t="s">
        <v>282</v>
      </c>
      <c r="AH35" s="260" t="s">
        <v>283</v>
      </c>
      <c r="AI35" s="261">
        <v>2.0</v>
      </c>
      <c r="AJ35" s="246" t="str">
        <f>IFERROR(__xludf.DUMMYFUNCTION("IF(E35=""Heavy Armor"",IF(REGEXMATCH(V35,""Flexible""),""0"",COUNTIF(W35:AF35,true)),)"),"")</f>
        <v/>
      </c>
    </row>
    <row r="36" ht="56.25" customHeight="1">
      <c r="A36" s="213"/>
      <c r="B36" s="229">
        <v>33.0</v>
      </c>
      <c r="C36" s="278" t="s">
        <v>284</v>
      </c>
      <c r="D36" s="262" t="s">
        <v>211</v>
      </c>
      <c r="E36" s="262" t="s">
        <v>227</v>
      </c>
      <c r="F36" s="262"/>
      <c r="G36" s="273" t="s">
        <v>257</v>
      </c>
      <c r="H36" s="273" t="s">
        <v>257</v>
      </c>
      <c r="I36" s="273" t="s">
        <v>257</v>
      </c>
      <c r="J36" s="274" t="s">
        <v>214</v>
      </c>
      <c r="K36" s="277" t="s">
        <v>257</v>
      </c>
      <c r="L36" s="277" t="s">
        <v>257</v>
      </c>
      <c r="M36" s="277" t="s">
        <v>285</v>
      </c>
      <c r="N36" s="277" t="s">
        <v>257</v>
      </c>
      <c r="O36" s="254" t="s">
        <v>241</v>
      </c>
      <c r="P36" s="253" t="s">
        <v>279</v>
      </c>
      <c r="Q36" s="254" t="s">
        <v>223</v>
      </c>
      <c r="R36" s="255"/>
      <c r="S36" s="255"/>
      <c r="T36" s="255"/>
      <c r="U36" s="256"/>
      <c r="V36" s="255" t="s">
        <v>281</v>
      </c>
      <c r="W36" s="257" t="b">
        <v>0</v>
      </c>
      <c r="X36" s="258" t="b">
        <v>0</v>
      </c>
      <c r="Y36" s="258" t="b">
        <v>0</v>
      </c>
      <c r="Z36" s="258" t="b">
        <v>0</v>
      </c>
      <c r="AA36" s="258" t="b">
        <v>0</v>
      </c>
      <c r="AB36" s="258" t="b">
        <v>0</v>
      </c>
      <c r="AC36" s="258" t="b">
        <v>0</v>
      </c>
      <c r="AD36" s="258" t="b">
        <v>0</v>
      </c>
      <c r="AE36" s="258" t="b">
        <v>0</v>
      </c>
      <c r="AF36" s="259" t="b">
        <v>0</v>
      </c>
      <c r="AG36" s="260" t="s">
        <v>282</v>
      </c>
      <c r="AH36" s="260" t="s">
        <v>283</v>
      </c>
      <c r="AI36" s="261">
        <v>2.0</v>
      </c>
      <c r="AJ36" s="246" t="str">
        <f>IFERROR(__xludf.DUMMYFUNCTION("IF(E36=""Heavy Armor"",IF(REGEXMATCH(V36,""Flexible""),""0"",COUNTIF(W36:AF36,true)),)"),"")</f>
        <v/>
      </c>
    </row>
    <row r="37" ht="56.25" customHeight="1">
      <c r="A37" s="213"/>
      <c r="B37" s="229">
        <v>34.0</v>
      </c>
      <c r="C37" s="281" t="s">
        <v>286</v>
      </c>
      <c r="D37" s="282" t="s">
        <v>211</v>
      </c>
      <c r="E37" s="282" t="s">
        <v>253</v>
      </c>
      <c r="F37" s="282" t="s">
        <v>287</v>
      </c>
      <c r="G37" s="283" t="s">
        <v>279</v>
      </c>
      <c r="H37" s="283" t="s">
        <v>256</v>
      </c>
      <c r="I37" s="283" t="s">
        <v>257</v>
      </c>
      <c r="J37" s="284" t="s">
        <v>214</v>
      </c>
      <c r="K37" s="285" t="s">
        <v>257</v>
      </c>
      <c r="L37" s="285" t="s">
        <v>257</v>
      </c>
      <c r="M37" s="285" t="s">
        <v>257</v>
      </c>
      <c r="N37" s="285" t="s">
        <v>257</v>
      </c>
      <c r="O37" s="286" t="s">
        <v>255</v>
      </c>
      <c r="P37" s="287" t="s">
        <v>249</v>
      </c>
      <c r="Q37" s="286" t="s">
        <v>223</v>
      </c>
      <c r="R37" s="288"/>
      <c r="S37" s="288"/>
      <c r="T37" s="288"/>
      <c r="U37" s="289"/>
      <c r="V37" s="288" t="s">
        <v>288</v>
      </c>
      <c r="W37" s="290" t="b">
        <v>0</v>
      </c>
      <c r="X37" s="291" t="b">
        <v>0</v>
      </c>
      <c r="Y37" s="291" t="b">
        <v>0</v>
      </c>
      <c r="Z37" s="291" t="b">
        <v>0</v>
      </c>
      <c r="AA37" s="291" t="b">
        <v>0</v>
      </c>
      <c r="AB37" s="291" t="b">
        <v>0</v>
      </c>
      <c r="AC37" s="291" t="b">
        <v>0</v>
      </c>
      <c r="AD37" s="291" t="b">
        <v>0</v>
      </c>
      <c r="AE37" s="291" t="b">
        <v>0</v>
      </c>
      <c r="AF37" s="292" t="b">
        <v>0</v>
      </c>
      <c r="AG37" s="293" t="s">
        <v>218</v>
      </c>
      <c r="AH37" s="293" t="s">
        <v>219</v>
      </c>
      <c r="AI37" s="294">
        <v>4.4</v>
      </c>
      <c r="AJ37" s="246" t="str">
        <f>IFERROR(__xludf.DUMMYFUNCTION("IF(E37=""Heavy Armor"",IF(REGEXMATCH(V37,""Flexible""),""0"",COUNTIF(W37:AF37,true)),)"),"")</f>
        <v/>
      </c>
    </row>
    <row r="38" ht="31.5" customHeight="1">
      <c r="A38" s="213"/>
      <c r="B38" s="295"/>
      <c r="C38" s="296" t="s">
        <v>289</v>
      </c>
      <c r="E38" s="297"/>
      <c r="F38" s="297"/>
      <c r="AH38" s="298" t="s">
        <v>290</v>
      </c>
      <c r="AI38" s="299">
        <f>SUMPRODUCT(AI4:AI37)</f>
        <v>19.11</v>
      </c>
      <c r="AJ38" s="213"/>
    </row>
    <row r="39" ht="31.5" customHeight="1">
      <c r="A39" s="213"/>
      <c r="B39" s="295"/>
      <c r="AJ39" s="213"/>
    </row>
    <row r="40" ht="7.5" customHeight="1">
      <c r="A40" s="213"/>
      <c r="B40" s="300"/>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30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291</v>
      </c>
    </row>
    <row r="2" ht="7.5" customHeight="1">
      <c r="A2" s="213"/>
      <c r="B2" s="91"/>
      <c r="E2" s="91"/>
      <c r="H2" s="91"/>
      <c r="K2" s="108"/>
      <c r="Q2" s="108"/>
      <c r="Z2" s="108"/>
      <c r="AK2" s="108"/>
      <c r="AT2" s="108"/>
      <c r="BE2" s="108"/>
      <c r="BN2" s="108"/>
      <c r="BT2" s="213"/>
    </row>
    <row r="3" ht="18.75" customHeight="1">
      <c r="E3" s="302" t="s">
        <v>292</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33 Hard</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303">
        <f>IF(E3="Broken", ROUNDDOWN(MAX((TOUGHNESS/2+RESISTMOD)/2, 1),0),ROUNDDOWN(MAX(TOUGHNESS/2+RESISTMOD, 1),0))</f>
        <v>15</v>
      </c>
      <c r="Q5" s="304"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Resist</v>
      </c>
      <c r="U5" s="305"/>
      <c r="V5" s="296"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Proof</v>
      </c>
      <c r="AK5" s="304"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305"/>
      <c r="AP5" s="296"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306"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305"/>
      <c r="BJ5" s="306"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307"/>
      <c r="AK6" s="307"/>
      <c r="BE6" s="307"/>
    </row>
    <row r="7" ht="6.0" customHeight="1">
      <c r="E7" s="308"/>
    </row>
    <row r="8" ht="18.75" customHeight="1">
      <c r="B8" s="309"/>
      <c r="C8" s="302" t="s">
        <v>292</v>
      </c>
      <c r="D8" s="305"/>
      <c r="E8" s="302" t="s">
        <v>292</v>
      </c>
      <c r="H8" s="308"/>
      <c r="I8" s="302" t="s">
        <v>292</v>
      </c>
      <c r="J8" s="310"/>
      <c r="K8" s="311"/>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14 Soft</v>
      </c>
      <c r="P8" s="308"/>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14 Soft</v>
      </c>
      <c r="Z8" s="308"/>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14 Soft</v>
      </c>
      <c r="AE8" s="312"/>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308"/>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42 Hard</v>
      </c>
      <c r="AT8" s="308"/>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312"/>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308"/>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308"/>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80 Hard</v>
      </c>
      <c r="BS8" s="313"/>
    </row>
    <row r="9" ht="18.75" customHeight="1">
      <c r="C9" s="303">
        <f>IF(C8="Broken", ROUNDDOWN(MAX((TOUGHNESS/2+RESISTMOD)/2, 1),0),ROUNDDOWN(MAX(TOUGHNESS/2+RESISTMOD, 1),0))</f>
        <v>15</v>
      </c>
      <c r="I9" s="303">
        <f>IF(I8="Broken", ROUNDDOWN(MAX((TOUGHNESS/2+RESISTMOD)/2, 1),0),ROUNDDOWN(MAX(TOUGHNESS/2+RESISTMOD, 1),0))</f>
        <v>15</v>
      </c>
      <c r="L9" s="30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96"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304"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96"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304"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314"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304"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96"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306"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306"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306"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306"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FEA</v>
      </c>
    </row>
    <row r="10" ht="3.75" customHeight="1">
      <c r="C10" s="308"/>
      <c r="D10" s="309"/>
      <c r="E10" s="303">
        <f>IF(E8="Broken", ROUNDDOWN(MAX((TOUGHNESS+RESISTMOD)/2, 1),0),ROUNDDOWN(MAX(TOUGHNESS+RESISTMOD, 1),0))</f>
        <v>19</v>
      </c>
      <c r="H10" s="309"/>
      <c r="I10" s="308"/>
      <c r="L10" s="315" t="s">
        <v>293</v>
      </c>
      <c r="P10" s="311"/>
      <c r="Z10" s="311"/>
      <c r="AA10" s="308"/>
      <c r="AF10" s="315" t="s">
        <v>293</v>
      </c>
      <c r="AJ10" s="311"/>
      <c r="AT10" s="311"/>
      <c r="AU10" s="308"/>
      <c r="AZ10" s="315" t="s">
        <v>293</v>
      </c>
      <c r="BD10" s="311"/>
      <c r="BN10" s="311"/>
      <c r="BO10" s="308"/>
    </row>
    <row r="11" ht="18.75" customHeight="1">
      <c r="C11" s="302" t="s">
        <v>292</v>
      </c>
      <c r="I11" s="302" t="s">
        <v>292</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14 Soft</v>
      </c>
      <c r="Q11" s="316"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306"/>
      <c r="V11" s="316"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14 Soft</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304"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306"/>
      <c r="AP11" s="296"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316"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306"/>
      <c r="BJ11" s="316"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80 Hard</v>
      </c>
    </row>
    <row r="12" ht="18.75" customHeight="1">
      <c r="C12" s="303">
        <f>IF(C11="Broken", ROUNDDOWN(MAX((TOUGHNESS/2+RESISTMOD)/2, 1),0),ROUNDDOWN(MAX(TOUGHNESS/2+RESISTMOD, 1),0))</f>
        <v>15</v>
      </c>
      <c r="E12" s="305"/>
      <c r="I12" s="303">
        <f>IF(I11="Broken", ROUNDDOWN(MAX((TOUGHNESS/2+RESISTMOD)/2, 1),0),ROUNDDOWN(MAX(TOUGHNESS/2+RESISTMOD, 1),0))</f>
        <v>15</v>
      </c>
      <c r="L12" s="304"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96"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317"/>
      <c r="AA12" s="304"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96"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302"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314"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317"/>
      <c r="AU12" s="304"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96"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306"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306"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317"/>
      <c r="BO12" s="306"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306"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FEA</v>
      </c>
    </row>
    <row r="13" ht="18.75" customHeight="1">
      <c r="B13" s="309"/>
      <c r="E13" s="302" t="s">
        <v>292</v>
      </c>
      <c r="F13" s="309"/>
      <c r="G13" s="302" t="s">
        <v>292</v>
      </c>
      <c r="I13" s="318"/>
      <c r="K13" s="319"/>
      <c r="L13" s="320"/>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14 Soft</v>
      </c>
      <c r="U13" s="321"/>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14 Soft</v>
      </c>
      <c r="AA13" s="311"/>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321"/>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311"/>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321"/>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311"/>
    </row>
    <row r="14" ht="18.75" customHeight="1"/>
    <row r="15" ht="11.25" customHeight="1">
      <c r="E15" s="322">
        <f>IF(E13="Broken", ROUNDDOWN(MAX((TOUGHNESS+RESISTMOD)/2, 1),0),ROUNDDOWN(MAX(TOUGHNESS+RESISTMOD, 1),0))</f>
        <v>19</v>
      </c>
      <c r="G15" s="322">
        <f>IF(G13="Broken", ROUNDDOWN(MAX((TOUGHNESS+RESISTMOD)/2, 1),0),ROUNDDOWN(MAX(TOUGHNESS+RESISTMOD, 1),0))</f>
        <v>19</v>
      </c>
    </row>
    <row r="16" ht="18.75" customHeight="1">
      <c r="Q16" s="30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96"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304"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323"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302"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314"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302"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314"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306"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306"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306"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306"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305"/>
      <c r="G17" s="305"/>
      <c r="Q17" s="305"/>
      <c r="V17" s="305"/>
      <c r="AK17" s="305"/>
      <c r="AP17" s="305"/>
      <c r="BE17" s="305"/>
      <c r="BJ17" s="305"/>
    </row>
    <row r="18" ht="18.75" customHeight="1">
      <c r="E18" s="302" t="s">
        <v>292</v>
      </c>
      <c r="G18" s="324" t="s">
        <v>292</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8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8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303">
        <f>IF(E18="Broken", ROUNDDOWN(MAX((TOUGHNESS/2+RESISTMOD)/2, 1),0),ROUNDDOWN(MAX(TOUGHNESS/2+RESISTMOD, 1),0))</f>
        <v>15</v>
      </c>
      <c r="G19" s="303">
        <f>IF(G18="Broken", ROUNDDOWN(MAX((TOUGHNESS/2+RESISTMOD)/2, 1),0),ROUNDDOWN(MAX(TOUGHNESS/2+RESISTMOD, 1),0))</f>
        <v>15</v>
      </c>
      <c r="Q19" s="304"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F</v>
      </c>
      <c r="S19" s="296"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304"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F</v>
      </c>
      <c r="X19" s="296"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302"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314"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302"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314"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306"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306"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306"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306"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318"/>
      <c r="L20" s="320"/>
      <c r="N20" s="325"/>
      <c r="O20" s="325"/>
      <c r="BS20" s="326"/>
    </row>
    <row r="21" ht="21.0" customHeight="1">
      <c r="B21" s="309"/>
      <c r="C21" s="311"/>
      <c r="D21" s="327" t="s">
        <v>294</v>
      </c>
      <c r="E21" s="21"/>
      <c r="F21" s="21"/>
      <c r="G21" s="21"/>
      <c r="H21" s="27"/>
      <c r="I21" s="319"/>
      <c r="J21" s="319"/>
      <c r="O21" s="328" t="s">
        <v>295</v>
      </c>
      <c r="AB21" s="309"/>
      <c r="AC21" s="326"/>
      <c r="AI21" s="328" t="s">
        <v>296</v>
      </c>
      <c r="AV21" s="309"/>
      <c r="AW21" s="326"/>
      <c r="BC21" s="328" t="s">
        <v>297</v>
      </c>
      <c r="BP21" s="309"/>
      <c r="BQ21" s="326"/>
    </row>
    <row r="22" ht="21.0" customHeight="1">
      <c r="C22" s="329" t="s">
        <v>298</v>
      </c>
      <c r="D22" s="330">
        <f>FOCUSMOD+(Main!H6*4)+(Main!H9*2)</f>
        <v>104</v>
      </c>
      <c r="F22" s="309"/>
      <c r="G22" s="331" t="s">
        <v>299</v>
      </c>
      <c r="H22" s="36"/>
      <c r="I22" s="332" t="s">
        <v>300</v>
      </c>
      <c r="O22" s="304" t="s">
        <v>210</v>
      </c>
      <c r="V22" s="302" t="s">
        <v>292</v>
      </c>
      <c r="AB22" s="309"/>
      <c r="AC22" s="333"/>
      <c r="AD22" s="308"/>
      <c r="AE22" s="326"/>
      <c r="AG22" s="308"/>
      <c r="AI22" s="304" t="s">
        <v>262</v>
      </c>
      <c r="AP22" s="302" t="s">
        <v>292</v>
      </c>
      <c r="AV22" s="309"/>
      <c r="AW22" s="333"/>
      <c r="AX22" s="308"/>
      <c r="AY22" s="326"/>
      <c r="BA22" s="308"/>
      <c r="BC22" s="304" t="s">
        <v>247</v>
      </c>
      <c r="BJ22" s="302" t="s">
        <v>301</v>
      </c>
      <c r="BP22" s="309"/>
      <c r="BQ22" s="333"/>
      <c r="BR22" s="334">
        <f>IFERROR(vlookup(BC22,Inventory!C4:AJ37,34,false),"")</f>
        <v>2</v>
      </c>
    </row>
    <row r="23" ht="21.0" customHeight="1">
      <c r="C23" s="329" t="s">
        <v>302</v>
      </c>
      <c r="D23" s="335">
        <v>74.0</v>
      </c>
      <c r="F23" s="309"/>
      <c r="G23" s="331" t="s">
        <v>303</v>
      </c>
      <c r="H23" s="36"/>
      <c r="O23" s="296" t="s">
        <v>246</v>
      </c>
      <c r="V23" s="314" t="s">
        <v>292</v>
      </c>
      <c r="AB23" s="309"/>
      <c r="AD23" s="308"/>
      <c r="AI23" s="296"/>
      <c r="AP23" s="314" t="s">
        <v>292</v>
      </c>
      <c r="AV23" s="309"/>
      <c r="AX23" s="308"/>
      <c r="BC23" s="296"/>
      <c r="BJ23" s="314"/>
      <c r="BP23" s="309"/>
      <c r="BR23" s="334" t="str">
        <f>IFERROR(vlookup(BC23,Inventory!C4:AJ37,34,false),"")</f>
        <v/>
      </c>
      <c r="BS23" s="308"/>
    </row>
    <row r="24" ht="21.0" customHeight="1">
      <c r="D24" s="336"/>
      <c r="E24" s="49"/>
      <c r="F24" s="337"/>
      <c r="G24" s="338" t="s">
        <v>304</v>
      </c>
      <c r="H24" s="55"/>
      <c r="I24" s="339" t="b">
        <v>1</v>
      </c>
      <c r="O24" s="304" t="s">
        <v>238</v>
      </c>
      <c r="V24" s="302" t="s">
        <v>292</v>
      </c>
      <c r="AB24" s="309"/>
      <c r="AI24" s="304"/>
      <c r="AP24" s="302" t="s">
        <v>292</v>
      </c>
      <c r="AV24" s="309"/>
      <c r="BC24" s="304"/>
      <c r="BJ24" s="302" t="s">
        <v>292</v>
      </c>
      <c r="BP24" s="309"/>
      <c r="BR24" s="334" t="str">
        <f>IFERROR(vlookup(BC24,Inventory!C4:AJ37,34,false),"")</f>
        <v/>
      </c>
      <c r="BS24" s="308"/>
    </row>
    <row r="25" ht="21.0" customHeight="1">
      <c r="C25" s="311"/>
      <c r="D25" s="340" t="s">
        <v>305</v>
      </c>
      <c r="F25" s="311"/>
      <c r="G25" s="311"/>
      <c r="O25" s="296" t="s">
        <v>220</v>
      </c>
      <c r="V25" s="314" t="s">
        <v>292</v>
      </c>
      <c r="AB25" s="309"/>
      <c r="AI25" s="296"/>
      <c r="AP25" s="314" t="s">
        <v>292</v>
      </c>
      <c r="AV25" s="309"/>
      <c r="BC25" s="296"/>
      <c r="BJ25" s="314" t="s">
        <v>292</v>
      </c>
      <c r="BP25" s="309"/>
      <c r="BR25" s="334" t="str">
        <f>IFERROR(vlookup(BC25,Inventory!C4:AJ37,34,false),"")</f>
        <v/>
      </c>
      <c r="BS25" s="308"/>
    </row>
    <row r="26" ht="21.0" customHeight="1">
      <c r="B26" s="309"/>
      <c r="D26" s="341" t="s">
        <v>306</v>
      </c>
      <c r="F26" s="342"/>
      <c r="G26" s="343">
        <f>2*ROUNDDOWN(MAX(MAX(Main!H6,0), 0)/2,0)+REGENMOD</f>
        <v>10</v>
      </c>
      <c r="H26" s="344"/>
      <c r="I26" s="345"/>
      <c r="J26" s="345"/>
      <c r="O26" s="304"/>
      <c r="V26" s="302" t="s">
        <v>292</v>
      </c>
      <c r="AB26" s="309"/>
      <c r="AI26" s="304"/>
      <c r="AP26" s="302" t="s">
        <v>292</v>
      </c>
      <c r="AV26" s="309"/>
      <c r="BC26" s="304"/>
      <c r="BJ26" s="302" t="s">
        <v>292</v>
      </c>
      <c r="BP26" s="309"/>
      <c r="BR26" s="334" t="str">
        <f>IFERROR(vlookup(BC26,Inventory!C4:AJ37,34,false),"")</f>
        <v/>
      </c>
      <c r="BS26" s="308"/>
    </row>
    <row r="27" ht="21.0" customHeight="1">
      <c r="D27" s="341" t="s">
        <v>307</v>
      </c>
      <c r="G27" s="343">
        <f>APTMOD+MAX(MIN(STR,WIS,DEX), 1)</f>
        <v>6</v>
      </c>
      <c r="H27" s="344"/>
      <c r="I27" s="346" t="s">
        <v>308</v>
      </c>
      <c r="O27" s="296"/>
      <c r="V27" s="314" t="s">
        <v>292</v>
      </c>
      <c r="AB27" s="309"/>
      <c r="AI27" s="296"/>
      <c r="AP27" s="314" t="s">
        <v>292</v>
      </c>
      <c r="AV27" s="309"/>
      <c r="BC27" s="296"/>
      <c r="BJ27" s="314" t="s">
        <v>292</v>
      </c>
      <c r="BP27" s="309"/>
      <c r="BR27" s="334" t="str">
        <f>IFERROR(vlookup(BC27,Inventory!C4:AJ37,34,false),"")</f>
        <v/>
      </c>
      <c r="BS27" s="308"/>
    </row>
    <row r="28" ht="21.0" customHeight="1">
      <c r="D28" s="341" t="s">
        <v>309</v>
      </c>
      <c r="G28" s="343" t="str">
        <f>IF(STR * 10 + 50 &gt;= Inventory!AI38, SPEEDMOD*5+20+Main!H5*5 &amp; "ft (" &amp; 6+Main!H5 + SPEEDMOD &amp; ")", 20+Main!H5*5 - MROUND(ROUND((Inventory!AI38-(STR*10+50))/5*5,0),5) &amp; "ft (" &amp; 6+Main!H5 - (ROUND((Inventory!AI38-(STR*10+50))/5,0)) &amp; ")*")</f>
        <v>55ft (13)</v>
      </c>
      <c r="H28" s="344"/>
      <c r="I28" s="347" t="s">
        <v>310</v>
      </c>
      <c r="J28" s="348">
        <f>MAX(ROUNDDOWN(TOUGHNESS/2+BLOCKMOD,0), 0)</f>
        <v>3</v>
      </c>
      <c r="O28" s="304"/>
      <c r="V28" s="302" t="s">
        <v>292</v>
      </c>
      <c r="AB28" s="309"/>
      <c r="AI28" s="304"/>
      <c r="AP28" s="302" t="s">
        <v>292</v>
      </c>
      <c r="AV28" s="309"/>
      <c r="BC28" s="304"/>
      <c r="BJ28" s="302" t="s">
        <v>292</v>
      </c>
      <c r="BP28" s="309"/>
      <c r="BR28" s="334" t="str">
        <f>IFERROR(vlookup(BC28,Inventory!C4:AJ37,34,false),"")</f>
        <v/>
      </c>
      <c r="BS28" s="308"/>
    </row>
    <row r="29" ht="21.0" customHeight="1">
      <c r="D29" s="341" t="s">
        <v>311</v>
      </c>
      <c r="G29" s="349" t="str">
        <f>Main!H5*0.25+Main!F4*0.25 &amp; "ft Vertical" &amp; "
" &amp; (SPEEDMOD*5+20+Main!H5*5)*0.25+Main!E4*0.25 &amp; "ft Long"</f>
        <v>2.75ft Vertical
14.75ft Long</v>
      </c>
      <c r="H29" s="306"/>
      <c r="I29" s="347" t="s">
        <v>312</v>
      </c>
      <c r="J29" s="350">
        <v>0.0</v>
      </c>
      <c r="O29" s="296"/>
      <c r="V29" s="314" t="s">
        <v>292</v>
      </c>
      <c r="AB29" s="309"/>
      <c r="AI29" s="296"/>
      <c r="AP29" s="314" t="s">
        <v>292</v>
      </c>
      <c r="AV29" s="309"/>
      <c r="BC29" s="296"/>
      <c r="BJ29" s="314" t="s">
        <v>292</v>
      </c>
      <c r="BP29" s="309"/>
      <c r="BR29" s="334" t="str">
        <f>IFERROR(vlookup(BC29,Inventory!C4:AJ37,34,false),"")</f>
        <v/>
      </c>
      <c r="BS29" s="308"/>
    </row>
    <row r="30" ht="21.0" customHeight="1">
      <c r="D30" s="341" t="s">
        <v>313</v>
      </c>
      <c r="G30" s="349" t="str">
        <f>"0/"&amp; STR*2+Main!L8 &amp;"/0 : 0/0/0"</f>
        <v>0/8/0 : 0/0/0</v>
      </c>
      <c r="H30" s="351"/>
      <c r="I30" s="352"/>
      <c r="O30" s="304"/>
      <c r="V30" s="302" t="s">
        <v>292</v>
      </c>
      <c r="AB30" s="309"/>
      <c r="AI30" s="304"/>
      <c r="AP30" s="302" t="s">
        <v>292</v>
      </c>
      <c r="AV30" s="309"/>
      <c r="BC30" s="304"/>
      <c r="BJ30" s="302" t="s">
        <v>292</v>
      </c>
      <c r="BP30" s="309"/>
      <c r="BR30" s="334" t="str">
        <f>IFERROR(vlookup(BC30,Inventory!C4:AJ37,34,false),"")</f>
        <v/>
      </c>
      <c r="BS30" s="334">
        <f>Sum(BR22:BR31)</f>
        <v>2</v>
      </c>
    </row>
    <row r="31" ht="21.0" customHeight="1">
      <c r="B31" s="309"/>
      <c r="O31" s="296"/>
      <c r="V31" s="314" t="s">
        <v>292</v>
      </c>
      <c r="AB31" s="309"/>
      <c r="AD31" s="308"/>
      <c r="AE31" s="326"/>
      <c r="AG31" s="308"/>
      <c r="AI31" s="296"/>
      <c r="AP31" s="314" t="s">
        <v>292</v>
      </c>
      <c r="AV31" s="309"/>
      <c r="AX31" s="308"/>
      <c r="AY31" s="326"/>
      <c r="BA31" s="308"/>
      <c r="BC31" s="296"/>
      <c r="BJ31" s="314" t="s">
        <v>292</v>
      </c>
      <c r="BP31" s="309"/>
      <c r="BR31" s="334" t="str">
        <f>IFERROR(vlookup(BC31,Inventory!C4:AJ37,34,false),"")</f>
        <v/>
      </c>
      <c r="BS31" s="326"/>
    </row>
    <row r="32" ht="11.25" customHeight="1">
      <c r="O32" s="326"/>
    </row>
    <row r="33" ht="11.25" customHeight="1">
      <c r="B33" s="311"/>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7:J27"/>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AL6:AN6 BE6:BH6 Q11:T11 AK11:AN11 BE11:BH11">
    <cfRule type="cellIs" dxfId="10" priority="38" operator="equal">
      <formula>" Resist"</formula>
    </cfRule>
  </conditionalFormatting>
  <conditionalFormatting sqref="AP5 V11:Y11 AP11:AS11 BJ11:BM11">
    <cfRule type="beginsWith" dxfId="10" priority="39" operator="beginsWith" text=" Proof">
      <formula>LEFT((AP5),LEN(" Proof"))=(" Proof")</formula>
    </cfRule>
  </conditionalFormatting>
  <conditionalFormatting sqref="AK5:AK6 AL6:AN6 BE6:BH6 Q11:T11 AK11:AN11 BE11:BH11">
    <cfRule type="containsBlanks" dxfId="10" priority="40">
      <formula>LEN(TRIM(AK5))=0</formula>
    </cfRule>
  </conditionalFormatting>
  <conditionalFormatting sqref="AP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F12:AI12 AU12:AX12 AK16:AN16 AP16:AS16 AK19:AN19 AP19:AS19">
    <cfRule type="containsBlanks" dxfId="10" priority="90">
      <formula>LEN(TRIM(AF9))=0</formula>
    </cfRule>
  </conditionalFormatting>
  <conditionalFormatting sqref="AK5:AN5 AP5:AS5 AK19:AL19 AM19:AN19 AP19:AQ19 AR19:AS19 AF9:AG9 AH9:AI9 AF12:AG12 AH12:AI12 AU9:AV9 AW9:AX9 AU12:AV12 AW12:AX12 AK16:AL16 AM16:AN16 AP16:AQ16 AR16:AS16">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NOT(G17&gt;I28)</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301" t="str">
        <f t="array" ref="A1:AG1">vlookup(Inventory!C38,A2:AG1000,{1,2,3,4,5,6,7,8,9,10,11,12,13,14,15,16,17,18,19,20,21,22,23,24,25,26,27,28,29,30,31,32,33},False)</f>
        <v>Leather Boot</v>
      </c>
      <c r="B1" t="s">
        <v>314</v>
      </c>
      <c r="C1" t="s">
        <v>212</v>
      </c>
      <c r="D1" t="s">
        <v>240</v>
      </c>
      <c r="E1" t="s">
        <v>241</v>
      </c>
      <c r="F1" t="s">
        <v>241</v>
      </c>
      <c r="G1" t="s">
        <v>241</v>
      </c>
      <c r="H1" t="s">
        <v>214</v>
      </c>
      <c r="I1" t="s">
        <v>241</v>
      </c>
      <c r="J1" t="s">
        <v>241</v>
      </c>
      <c r="K1" t="s">
        <v>241</v>
      </c>
      <c r="L1" t="s">
        <v>241</v>
      </c>
      <c r="M1" t="s">
        <v>241</v>
      </c>
      <c r="N1">
        <v>8.0</v>
      </c>
      <c r="O1" t="s">
        <v>216</v>
      </c>
      <c r="P1" t="s">
        <v>242</v>
      </c>
      <c r="Q1" t="s">
        <v>243</v>
      </c>
      <c r="R1" t="s">
        <v>243</v>
      </c>
      <c r="S1" t="s">
        <v>243</v>
      </c>
      <c r="T1" t="s">
        <v>244</v>
      </c>
      <c r="U1" t="b">
        <v>0</v>
      </c>
      <c r="V1" t="b">
        <v>0</v>
      </c>
      <c r="W1" t="b">
        <v>0</v>
      </c>
      <c r="X1" t="b">
        <v>0</v>
      </c>
      <c r="Y1" t="b">
        <v>0</v>
      </c>
      <c r="Z1" t="b">
        <v>0</v>
      </c>
      <c r="AA1" t="b">
        <v>0</v>
      </c>
      <c r="AB1" t="b">
        <v>0</v>
      </c>
      <c r="AC1" t="b">
        <v>1</v>
      </c>
      <c r="AD1" t="b">
        <v>1</v>
      </c>
      <c r="AE1">
        <v>4.0</v>
      </c>
      <c r="AF1" t="s">
        <v>232</v>
      </c>
      <c r="AG1" t="s">
        <v>315</v>
      </c>
    </row>
    <row r="2">
      <c r="A2" s="353" t="str">
        <f>IFERROR(__xludf.DUMMYFUNCTION("IMPORTRANGE(""1VVGrF2QdfeY3pp71N4fqMx-5eAXFuDpcCfRHuuxKYTY"", ""Munition Items!B4:AH"")"),"Thick Heavy Gambeson")</f>
        <v>Thick Heavy Gambeson</v>
      </c>
      <c r="B2" s="354" t="str">
        <f>IFERROR(__xludf.DUMMYFUNCTION("""COMPUTED_VALUE"""),"5 - Munitions")</f>
        <v>5 - Munitions</v>
      </c>
      <c r="C2" s="354" t="str">
        <f>IFERROR(__xludf.DUMMYFUNCTION("""COMPUTED_VALUE"""),"Heavy Armor")</f>
        <v>Heavy Armor</v>
      </c>
      <c r="D2" s="354" t="str">
        <f>IFERROR(__xludf.DUMMYFUNCTION("""COMPUTED_VALUE"""),"Wool")</f>
        <v>Wool</v>
      </c>
      <c r="E2" s="354" t="str">
        <f>IFERROR(__xludf.DUMMYFUNCTION("""COMPUTED_VALUE"""),"-")</f>
        <v>-</v>
      </c>
      <c r="F2" s="354" t="str">
        <f>IFERROR(__xludf.DUMMYFUNCTION("""COMPUTED_VALUE"""),"-")</f>
        <v>-</v>
      </c>
      <c r="G2" s="354" t="str">
        <f>IFERROR(__xludf.DUMMYFUNCTION("""COMPUTED_VALUE"""),"-")</f>
        <v>-</v>
      </c>
      <c r="H2" s="354" t="str">
        <f>IFERROR(__xludf.DUMMYFUNCTION("""COMPUTED_VALUE"""),":")</f>
        <v>:</v>
      </c>
      <c r="I2" s="354" t="str">
        <f>IFERROR(__xludf.DUMMYFUNCTION("""COMPUTED_VALUE"""),"-")</f>
        <v>-</v>
      </c>
      <c r="J2" s="354" t="str">
        <f>IFERROR(__xludf.DUMMYFUNCTION("""COMPUTED_VALUE"""),"-")</f>
        <v>-</v>
      </c>
      <c r="K2" s="354" t="str">
        <f>IFERROR(__xludf.DUMMYFUNCTION("""COMPUTED_VALUE"""),"-")</f>
        <v>-</v>
      </c>
      <c r="L2" s="354" t="str">
        <f>IFERROR(__xludf.DUMMYFUNCTION("""COMPUTED_VALUE"""),"-")</f>
        <v>-</v>
      </c>
      <c r="M2" s="354" t="str">
        <f>IFERROR(__xludf.DUMMYFUNCTION("""COMPUTED_VALUE"""),"-")</f>
        <v>-</v>
      </c>
      <c r="N2" s="354">
        <f>IFERROR(__xludf.DUMMYFUNCTION("""COMPUTED_VALUE"""),7.0)</f>
        <v>7</v>
      </c>
      <c r="O2" s="354" t="str">
        <f>IFERROR(__xludf.DUMMYFUNCTION("""COMPUTED_VALUE"""),"Soft")</f>
        <v>Soft</v>
      </c>
      <c r="P2" s="354" t="str">
        <f>IFERROR(__xludf.DUMMYFUNCTION("""COMPUTED_VALUE"""),"R")</f>
        <v>R</v>
      </c>
      <c r="Q2" s="354" t="str">
        <f>IFERROR(__xludf.DUMMYFUNCTION("""COMPUTED_VALUE"""),"R")</f>
        <v>R</v>
      </c>
      <c r="R2" s="354" t="str">
        <f>IFERROR(__xludf.DUMMYFUNCTION("""COMPUTED_VALUE"""),"")</f>
        <v/>
      </c>
      <c r="S2" s="354" t="str">
        <f>IFERROR(__xludf.DUMMYFUNCTION("""COMPUTED_VALUE"""),"")</f>
        <v/>
      </c>
      <c r="T2" s="354"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55" t="str">
        <f>IFERROR(__xludf.DUMMYFUNCTION("""COMPUTED_VALUE"""),"3 - Undamaged")</f>
        <v>3 - Undamaged</v>
      </c>
      <c r="AG2" s="354" t="str">
        <f>IFERROR(__xludf.DUMMYFUNCTION("""COMPUTED_VALUE"""),"4 - Moderate")</f>
        <v>4 - Moderate</v>
      </c>
    </row>
    <row r="3">
      <c r="A3" s="354" t="str">
        <f>IFERROR(__xludf.DUMMYFUNCTION("""COMPUTED_VALUE"""),"Wooden Scutum")</f>
        <v>Wooden Scutum</v>
      </c>
      <c r="B3" s="354" t="str">
        <f>IFERROR(__xludf.DUMMYFUNCTION("""COMPUTED_VALUE"""),"5 - Munitions")</f>
        <v>5 - Munitions</v>
      </c>
      <c r="C3" s="354" t="str">
        <f>IFERROR(__xludf.DUMMYFUNCTION("""COMPUTED_VALUE"""),"Heavy Armor")</f>
        <v>Heavy Armor</v>
      </c>
      <c r="D3" s="354" t="str">
        <f>IFERROR(__xludf.DUMMYFUNCTION("""COMPUTED_VALUE"""),"Wood")</f>
        <v>Wood</v>
      </c>
      <c r="E3" s="354" t="str">
        <f>IFERROR(__xludf.DUMMYFUNCTION("""COMPUTED_VALUE"""),"-")</f>
        <v>-</v>
      </c>
      <c r="F3" s="354" t="str">
        <f>IFERROR(__xludf.DUMMYFUNCTION("""COMPUTED_VALUE"""),"-")</f>
        <v>-</v>
      </c>
      <c r="G3" s="354" t="str">
        <f>IFERROR(__xludf.DUMMYFUNCTION("""COMPUTED_VALUE"""),"-")</f>
        <v>-</v>
      </c>
      <c r="H3" s="354" t="str">
        <f>IFERROR(__xludf.DUMMYFUNCTION("""COMPUTED_VALUE"""),":")</f>
        <v>:</v>
      </c>
      <c r="I3" s="354" t="str">
        <f>IFERROR(__xludf.DUMMYFUNCTION("""COMPUTED_VALUE"""),"-")</f>
        <v>-</v>
      </c>
      <c r="J3" s="354" t="str">
        <f>IFERROR(__xludf.DUMMYFUNCTION("""COMPUTED_VALUE"""),"-")</f>
        <v>-</v>
      </c>
      <c r="K3" s="354" t="str">
        <f>IFERROR(__xludf.DUMMYFUNCTION("""COMPUTED_VALUE"""),"-")</f>
        <v>-</v>
      </c>
      <c r="L3" s="354" t="str">
        <f>IFERROR(__xludf.DUMMYFUNCTION("""COMPUTED_VALUE"""),"-")</f>
        <v>-</v>
      </c>
      <c r="M3" s="354" t="str">
        <f>IFERROR(__xludf.DUMMYFUNCTION("""COMPUTED_VALUE"""),"-")</f>
        <v>-</v>
      </c>
      <c r="N3" s="354">
        <f>IFERROR(__xludf.DUMMYFUNCTION("""COMPUTED_VALUE"""),32.0)</f>
        <v>32</v>
      </c>
      <c r="O3" s="354" t="str">
        <f>IFERROR(__xludf.DUMMYFUNCTION("""COMPUTED_VALUE"""),"Hard")</f>
        <v>Hard</v>
      </c>
      <c r="P3" s="354" t="str">
        <f>IFERROR(__xludf.DUMMYFUNCTION("""COMPUTED_VALUE"""),"")</f>
        <v/>
      </c>
      <c r="Q3" s="354" t="str">
        <f>IFERROR(__xludf.DUMMYFUNCTION("""COMPUTED_VALUE"""),"")</f>
        <v/>
      </c>
      <c r="R3" s="354" t="str">
        <f>IFERROR(__xludf.DUMMYFUNCTION("""COMPUTED_VALUE"""),"")</f>
        <v/>
      </c>
      <c r="S3" s="354" t="str">
        <f>IFERROR(__xludf.DUMMYFUNCTION("""COMPUTED_VALUE"""),"")</f>
        <v/>
      </c>
      <c r="T3" s="354"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55" t="str">
        <f>IFERROR(__xludf.DUMMYFUNCTION("""COMPUTED_VALUE"""),"3 - Undamaged")</f>
        <v>3 - Undamaged</v>
      </c>
      <c r="AG3" s="354" t="str">
        <f>IFERROR(__xludf.DUMMYFUNCTION("""COMPUTED_VALUE"""),"5 - Heavy")</f>
        <v>5 - Heavy</v>
      </c>
    </row>
    <row r="4">
      <c r="A4" s="354" t="str">
        <f>IFERROR(__xludf.DUMMYFUNCTION("""COMPUTED_VALUE"""),"Curiass")</f>
        <v>Curiass</v>
      </c>
      <c r="B4" s="354" t="str">
        <f>IFERROR(__xludf.DUMMYFUNCTION("""COMPUTED_VALUE"""),"5 - Munitions")</f>
        <v>5 - Munitions</v>
      </c>
      <c r="C4" s="354" t="str">
        <f>IFERROR(__xludf.DUMMYFUNCTION("""COMPUTED_VALUE"""),"Light Armor")</f>
        <v>Light Armor</v>
      </c>
      <c r="D4" s="354" t="str">
        <f>IFERROR(__xludf.DUMMYFUNCTION("""COMPUTED_VALUE"""),"Steel")</f>
        <v>Steel</v>
      </c>
      <c r="E4" s="354" t="str">
        <f>IFERROR(__xludf.DUMMYFUNCTION("""COMPUTED_VALUE"""),"-")</f>
        <v>-</v>
      </c>
      <c r="F4" s="354" t="str">
        <f>IFERROR(__xludf.DUMMYFUNCTION("""COMPUTED_VALUE"""),"-")</f>
        <v>-</v>
      </c>
      <c r="G4" s="354" t="str">
        <f>IFERROR(__xludf.DUMMYFUNCTION("""COMPUTED_VALUE"""),"-")</f>
        <v>-</v>
      </c>
      <c r="H4" s="354" t="str">
        <f>IFERROR(__xludf.DUMMYFUNCTION("""COMPUTED_VALUE"""),":")</f>
        <v>:</v>
      </c>
      <c r="I4" s="354" t="str">
        <f>IFERROR(__xludf.DUMMYFUNCTION("""COMPUTED_VALUE"""),"-")</f>
        <v>-</v>
      </c>
      <c r="J4" s="354" t="str">
        <f>IFERROR(__xludf.DUMMYFUNCTION("""COMPUTED_VALUE"""),"-")</f>
        <v>-</v>
      </c>
      <c r="K4" s="354" t="str">
        <f>IFERROR(__xludf.DUMMYFUNCTION("""COMPUTED_VALUE"""),"-")</f>
        <v>-</v>
      </c>
      <c r="L4" s="354" t="str">
        <f>IFERROR(__xludf.DUMMYFUNCTION("""COMPUTED_VALUE"""),"-")</f>
        <v>-</v>
      </c>
      <c r="M4" s="354" t="str">
        <f>IFERROR(__xludf.DUMMYFUNCTION("""COMPUTED_VALUE"""),"-")</f>
        <v>-</v>
      </c>
      <c r="N4" s="354">
        <f>IFERROR(__xludf.DUMMYFUNCTION("""COMPUTED_VALUE"""),36.0)</f>
        <v>36</v>
      </c>
      <c r="O4" s="354" t="str">
        <f>IFERROR(__xludf.DUMMYFUNCTION("""COMPUTED_VALUE"""),"Hard")</f>
        <v>Hard</v>
      </c>
      <c r="P4" s="354" t="str">
        <f>IFERROR(__xludf.DUMMYFUNCTION("""COMPUTED_VALUE"""),"")</f>
        <v/>
      </c>
      <c r="Q4" s="354" t="str">
        <f>IFERROR(__xludf.DUMMYFUNCTION("""COMPUTED_VALUE"""),"")</f>
        <v/>
      </c>
      <c r="R4" s="354" t="str">
        <f>IFERROR(__xludf.DUMMYFUNCTION("""COMPUTED_VALUE"""),"")</f>
        <v/>
      </c>
      <c r="S4" s="354" t="str">
        <f>IFERROR(__xludf.DUMMYFUNCTION("""COMPUTED_VALUE"""),"")</f>
        <v/>
      </c>
      <c r="T4" s="354"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55" t="str">
        <f>IFERROR(__xludf.DUMMYFUNCTION("""COMPUTED_VALUE"""),"3 - Undamaged")</f>
        <v>3 - Undamaged</v>
      </c>
      <c r="AG4" s="354" t="str">
        <f>IFERROR(__xludf.DUMMYFUNCTION("""COMPUTED_VALUE"""),"5 - Heavy")</f>
        <v>5 - Heavy</v>
      </c>
    </row>
    <row r="5">
      <c r="A5" s="354" t="str">
        <f>IFERROR(__xludf.DUMMYFUNCTION("""COMPUTED_VALUE"""),"Heavy Curiass")</f>
        <v>Heavy Curiass</v>
      </c>
      <c r="B5" s="354" t="str">
        <f>IFERROR(__xludf.DUMMYFUNCTION("""COMPUTED_VALUE"""),"5 - Munitions")</f>
        <v>5 - Munitions</v>
      </c>
      <c r="C5" s="354" t="str">
        <f>IFERROR(__xludf.DUMMYFUNCTION("""COMPUTED_VALUE"""),"Heavy Armor")</f>
        <v>Heavy Armor</v>
      </c>
      <c r="D5" s="354" t="str">
        <f>IFERROR(__xludf.DUMMYFUNCTION("""COMPUTED_VALUE"""),"Steel")</f>
        <v>Steel</v>
      </c>
      <c r="E5" s="354" t="str">
        <f>IFERROR(__xludf.DUMMYFUNCTION("""COMPUTED_VALUE"""),"-")</f>
        <v>-</v>
      </c>
      <c r="F5" s="354" t="str">
        <f>IFERROR(__xludf.DUMMYFUNCTION("""COMPUTED_VALUE"""),"-")</f>
        <v>-</v>
      </c>
      <c r="G5" s="354" t="str">
        <f>IFERROR(__xludf.DUMMYFUNCTION("""COMPUTED_VALUE"""),"-")</f>
        <v>-</v>
      </c>
      <c r="H5" s="354" t="str">
        <f>IFERROR(__xludf.DUMMYFUNCTION("""COMPUTED_VALUE"""),":")</f>
        <v>:</v>
      </c>
      <c r="I5" s="354" t="str">
        <f>IFERROR(__xludf.DUMMYFUNCTION("""COMPUTED_VALUE"""),"-")</f>
        <v>-</v>
      </c>
      <c r="J5" s="354" t="str">
        <f>IFERROR(__xludf.DUMMYFUNCTION("""COMPUTED_VALUE"""),"-")</f>
        <v>-</v>
      </c>
      <c r="K5" s="354" t="str">
        <f>IFERROR(__xludf.DUMMYFUNCTION("""COMPUTED_VALUE"""),"-")</f>
        <v>-</v>
      </c>
      <c r="L5" s="354" t="str">
        <f>IFERROR(__xludf.DUMMYFUNCTION("""COMPUTED_VALUE"""),"-")</f>
        <v>-</v>
      </c>
      <c r="M5" s="354" t="str">
        <f>IFERROR(__xludf.DUMMYFUNCTION("""COMPUTED_VALUE"""),"-")</f>
        <v>-</v>
      </c>
      <c r="N5" s="354">
        <f>IFERROR(__xludf.DUMMYFUNCTION("""COMPUTED_VALUE"""),48.0)</f>
        <v>48</v>
      </c>
      <c r="O5" s="354" t="str">
        <f>IFERROR(__xludf.DUMMYFUNCTION("""COMPUTED_VALUE"""),"Hard")</f>
        <v>Hard</v>
      </c>
      <c r="P5" s="354" t="str">
        <f>IFERROR(__xludf.DUMMYFUNCTION("""COMPUTED_VALUE"""),"")</f>
        <v/>
      </c>
      <c r="Q5" s="354" t="str">
        <f>IFERROR(__xludf.DUMMYFUNCTION("""COMPUTED_VALUE"""),"")</f>
        <v/>
      </c>
      <c r="R5" s="354" t="str">
        <f>IFERROR(__xludf.DUMMYFUNCTION("""COMPUTED_VALUE"""),"")</f>
        <v/>
      </c>
      <c r="S5" s="354" t="str">
        <f>IFERROR(__xludf.DUMMYFUNCTION("""COMPUTED_VALUE"""),"")</f>
        <v/>
      </c>
      <c r="T5" s="354"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55" t="str">
        <f>IFERROR(__xludf.DUMMYFUNCTION("""COMPUTED_VALUE"""),"3 - Undamaged")</f>
        <v>3 - Undamaged</v>
      </c>
      <c r="AG5" s="354" t="str">
        <f>IFERROR(__xludf.DUMMYFUNCTION("""COMPUTED_VALUE"""),"6 - Hefty")</f>
        <v>6 - Hefty</v>
      </c>
    </row>
    <row r="6">
      <c r="A6" s="354" t="str">
        <f>IFERROR(__xludf.DUMMYFUNCTION("""COMPUTED_VALUE"""),"Heavy Brigandine")</f>
        <v>Heavy Brigandine</v>
      </c>
      <c r="B6" s="354" t="str">
        <f>IFERROR(__xludf.DUMMYFUNCTION("""COMPUTED_VALUE"""),"5 - Munitions")</f>
        <v>5 - Munitions</v>
      </c>
      <c r="C6" s="354" t="str">
        <f>IFERROR(__xludf.DUMMYFUNCTION("""COMPUTED_VALUE"""),"Heavy Armor")</f>
        <v>Heavy Armor</v>
      </c>
      <c r="D6" s="354" t="str">
        <f>IFERROR(__xludf.DUMMYFUNCTION("""COMPUTED_VALUE"""),"Leather")</f>
        <v>Leather</v>
      </c>
      <c r="E6" s="354" t="str">
        <f>IFERROR(__xludf.DUMMYFUNCTION("""COMPUTED_VALUE"""),"-")</f>
        <v>-</v>
      </c>
      <c r="F6" s="354" t="str">
        <f>IFERROR(__xludf.DUMMYFUNCTION("""COMPUTED_VALUE"""),"-")</f>
        <v>-</v>
      </c>
      <c r="G6" s="354" t="str">
        <f>IFERROR(__xludf.DUMMYFUNCTION("""COMPUTED_VALUE"""),"-")</f>
        <v>-</v>
      </c>
      <c r="H6" s="354" t="str">
        <f>IFERROR(__xludf.DUMMYFUNCTION("""COMPUTED_VALUE"""),":")</f>
        <v>:</v>
      </c>
      <c r="I6" s="354" t="str">
        <f>IFERROR(__xludf.DUMMYFUNCTION("""COMPUTED_VALUE"""),"-")</f>
        <v>-</v>
      </c>
      <c r="J6" s="354" t="str">
        <f>IFERROR(__xludf.DUMMYFUNCTION("""COMPUTED_VALUE"""),"-")</f>
        <v>-</v>
      </c>
      <c r="K6" s="354" t="str">
        <f>IFERROR(__xludf.DUMMYFUNCTION("""COMPUTED_VALUE"""),"-")</f>
        <v>-</v>
      </c>
      <c r="L6" s="354" t="str">
        <f>IFERROR(__xludf.DUMMYFUNCTION("""COMPUTED_VALUE"""),"-")</f>
        <v>-</v>
      </c>
      <c r="M6" s="354" t="str">
        <f>IFERROR(__xludf.DUMMYFUNCTION("""COMPUTED_VALUE"""),"-")</f>
        <v>-</v>
      </c>
      <c r="N6" s="354">
        <f>IFERROR(__xludf.DUMMYFUNCTION("""COMPUTED_VALUE"""),18.0)</f>
        <v>18</v>
      </c>
      <c r="O6" s="354" t="str">
        <f>IFERROR(__xludf.DUMMYFUNCTION("""COMPUTED_VALUE"""),"Soft")</f>
        <v>Soft</v>
      </c>
      <c r="P6" s="354" t="str">
        <f>IFERROR(__xludf.DUMMYFUNCTION("""COMPUTED_VALUE"""),"R")</f>
        <v>R</v>
      </c>
      <c r="Q6" s="354" t="str">
        <f>IFERROR(__xludf.DUMMYFUNCTION("""COMPUTED_VALUE"""),"")</f>
        <v/>
      </c>
      <c r="R6" s="354" t="str">
        <f>IFERROR(__xludf.DUMMYFUNCTION("""COMPUTED_VALUE"""),"")</f>
        <v/>
      </c>
      <c r="S6" s="354" t="str">
        <f>IFERROR(__xludf.DUMMYFUNCTION("""COMPUTED_VALUE"""),"")</f>
        <v/>
      </c>
      <c r="T6" s="354"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55" t="str">
        <f>IFERROR(__xludf.DUMMYFUNCTION("""COMPUTED_VALUE"""),"3 - Undamaged")</f>
        <v>3 - Undamaged</v>
      </c>
      <c r="AG6" s="354" t="str">
        <f>IFERROR(__xludf.DUMMYFUNCTION("""COMPUTED_VALUE"""),"3 - Light")</f>
        <v>3 - Light</v>
      </c>
    </row>
    <row r="7">
      <c r="A7" s="354" t="str">
        <f>IFERROR(__xludf.DUMMYFUNCTION("""COMPUTED_VALUE"""),"Heavy Boiled Brigandine")</f>
        <v>Heavy Boiled Brigandine</v>
      </c>
      <c r="B7" s="354" t="str">
        <f>IFERROR(__xludf.DUMMYFUNCTION("""COMPUTED_VALUE"""),"5 - Munitions")</f>
        <v>5 - Munitions</v>
      </c>
      <c r="C7" s="354" t="str">
        <f>IFERROR(__xludf.DUMMYFUNCTION("""COMPUTED_VALUE"""),"Heavy Armor")</f>
        <v>Heavy Armor</v>
      </c>
      <c r="D7" s="354" t="str">
        <f>IFERROR(__xludf.DUMMYFUNCTION("""COMPUTED_VALUE"""),"Rawhide")</f>
        <v>Rawhide</v>
      </c>
      <c r="E7" s="354" t="str">
        <f>IFERROR(__xludf.DUMMYFUNCTION("""COMPUTED_VALUE"""),"-")</f>
        <v>-</v>
      </c>
      <c r="F7" s="354" t="str">
        <f>IFERROR(__xludf.DUMMYFUNCTION("""COMPUTED_VALUE"""),"-")</f>
        <v>-</v>
      </c>
      <c r="G7" s="354" t="str">
        <f>IFERROR(__xludf.DUMMYFUNCTION("""COMPUTED_VALUE"""),"-")</f>
        <v>-</v>
      </c>
      <c r="H7" s="354" t="str">
        <f>IFERROR(__xludf.DUMMYFUNCTION("""COMPUTED_VALUE"""),":")</f>
        <v>:</v>
      </c>
      <c r="I7" s="354" t="str">
        <f>IFERROR(__xludf.DUMMYFUNCTION("""COMPUTED_VALUE"""),"-")</f>
        <v>-</v>
      </c>
      <c r="J7" s="354" t="str">
        <f>IFERROR(__xludf.DUMMYFUNCTION("""COMPUTED_VALUE"""),"-")</f>
        <v>-</v>
      </c>
      <c r="K7" s="354" t="str">
        <f>IFERROR(__xludf.DUMMYFUNCTION("""COMPUTED_VALUE"""),"-")</f>
        <v>-</v>
      </c>
      <c r="L7" s="354" t="str">
        <f>IFERROR(__xludf.DUMMYFUNCTION("""COMPUTED_VALUE"""),"-")</f>
        <v>-</v>
      </c>
      <c r="M7" s="354" t="str">
        <f>IFERROR(__xludf.DUMMYFUNCTION("""COMPUTED_VALUE"""),"-")</f>
        <v>-</v>
      </c>
      <c r="N7" s="354">
        <f>IFERROR(__xludf.DUMMYFUNCTION("""COMPUTED_VALUE"""),20.0)</f>
        <v>20</v>
      </c>
      <c r="O7" s="354" t="str">
        <f>IFERROR(__xludf.DUMMYFUNCTION("""COMPUTED_VALUE"""),"Hard")</f>
        <v>Hard</v>
      </c>
      <c r="P7" s="354" t="str">
        <f>IFERROR(__xludf.DUMMYFUNCTION("""COMPUTED_VALUE"""),"R")</f>
        <v>R</v>
      </c>
      <c r="Q7" s="354" t="str">
        <f>IFERROR(__xludf.DUMMYFUNCTION("""COMPUTED_VALUE"""),"")</f>
        <v/>
      </c>
      <c r="R7" s="354" t="str">
        <f>IFERROR(__xludf.DUMMYFUNCTION("""COMPUTED_VALUE"""),"")</f>
        <v/>
      </c>
      <c r="S7" s="354" t="str">
        <f>IFERROR(__xludf.DUMMYFUNCTION("""COMPUTED_VALUE"""),"")</f>
        <v/>
      </c>
      <c r="T7" s="354"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55" t="str">
        <f>IFERROR(__xludf.DUMMYFUNCTION("""COMPUTED_VALUE"""),"3 - Undamaged")</f>
        <v>3 - Undamaged</v>
      </c>
      <c r="AG7" s="354" t="str">
        <f>IFERROR(__xludf.DUMMYFUNCTION("""COMPUTED_VALUE"""),"3 - Light")</f>
        <v>3 - Light</v>
      </c>
    </row>
    <row r="8">
      <c r="A8" s="354" t="str">
        <f>IFERROR(__xludf.DUMMYFUNCTION("""COMPUTED_VALUE"""),"Brigandine")</f>
        <v>Brigandine</v>
      </c>
      <c r="B8" s="354" t="str">
        <f>IFERROR(__xludf.DUMMYFUNCTION("""COMPUTED_VALUE"""),"5 - Munitions")</f>
        <v>5 - Munitions</v>
      </c>
      <c r="C8" s="354" t="str">
        <f>IFERROR(__xludf.DUMMYFUNCTION("""COMPUTED_VALUE"""),"Light Armor")</f>
        <v>Light Armor</v>
      </c>
      <c r="D8" s="354" t="str">
        <f>IFERROR(__xludf.DUMMYFUNCTION("""COMPUTED_VALUE"""),"Leather")</f>
        <v>Leather</v>
      </c>
      <c r="E8" s="354" t="str">
        <f>IFERROR(__xludf.DUMMYFUNCTION("""COMPUTED_VALUE"""),"-")</f>
        <v>-</v>
      </c>
      <c r="F8" s="354" t="str">
        <f>IFERROR(__xludf.DUMMYFUNCTION("""COMPUTED_VALUE"""),"-")</f>
        <v>-</v>
      </c>
      <c r="G8" s="354" t="str">
        <f>IFERROR(__xludf.DUMMYFUNCTION("""COMPUTED_VALUE"""),"-")</f>
        <v>-</v>
      </c>
      <c r="H8" s="354" t="str">
        <f>IFERROR(__xludf.DUMMYFUNCTION("""COMPUTED_VALUE"""),":")</f>
        <v>:</v>
      </c>
      <c r="I8" s="354" t="str">
        <f>IFERROR(__xludf.DUMMYFUNCTION("""COMPUTED_VALUE"""),"-")</f>
        <v>-</v>
      </c>
      <c r="J8" s="354" t="str">
        <f>IFERROR(__xludf.DUMMYFUNCTION("""COMPUTED_VALUE"""),"-")</f>
        <v>-</v>
      </c>
      <c r="K8" s="354" t="str">
        <f>IFERROR(__xludf.DUMMYFUNCTION("""COMPUTED_VALUE"""),"-")</f>
        <v>-</v>
      </c>
      <c r="L8" s="354" t="str">
        <f>IFERROR(__xludf.DUMMYFUNCTION("""COMPUTED_VALUE"""),"-")</f>
        <v>-</v>
      </c>
      <c r="M8" s="354" t="str">
        <f>IFERROR(__xludf.DUMMYFUNCTION("""COMPUTED_VALUE"""),"-")</f>
        <v>-</v>
      </c>
      <c r="N8" s="354">
        <f>IFERROR(__xludf.DUMMYFUNCTION("""COMPUTED_VALUE"""),14.0)</f>
        <v>14</v>
      </c>
      <c r="O8" s="354" t="str">
        <f>IFERROR(__xludf.DUMMYFUNCTION("""COMPUTED_VALUE"""),"Soft")</f>
        <v>Soft</v>
      </c>
      <c r="P8" s="354" t="str">
        <f>IFERROR(__xludf.DUMMYFUNCTION("""COMPUTED_VALUE"""),"R")</f>
        <v>R</v>
      </c>
      <c r="Q8" s="354" t="str">
        <f>IFERROR(__xludf.DUMMYFUNCTION("""COMPUTED_VALUE"""),"")</f>
        <v/>
      </c>
      <c r="R8" s="354" t="str">
        <f>IFERROR(__xludf.DUMMYFUNCTION("""COMPUTED_VALUE"""),"")</f>
        <v/>
      </c>
      <c r="S8" s="354" t="str">
        <f>IFERROR(__xludf.DUMMYFUNCTION("""COMPUTED_VALUE"""),"")</f>
        <v/>
      </c>
      <c r="T8" s="354"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55" t="str">
        <f>IFERROR(__xludf.DUMMYFUNCTION("""COMPUTED_VALUE"""),"3 - Undamaged")</f>
        <v>3 - Undamaged</v>
      </c>
      <c r="AG8" s="354" t="str">
        <f>IFERROR(__xludf.DUMMYFUNCTION("""COMPUTED_VALUE"""),"2 - Trivial")</f>
        <v>2 - Trivial</v>
      </c>
    </row>
    <row r="9">
      <c r="A9" s="354" t="str">
        <f>IFERROR(__xludf.DUMMYFUNCTION("""COMPUTED_VALUE"""),"Boiled Brigandine")</f>
        <v>Boiled Brigandine</v>
      </c>
      <c r="B9" s="354" t="str">
        <f>IFERROR(__xludf.DUMMYFUNCTION("""COMPUTED_VALUE"""),"5 - Munitions")</f>
        <v>5 - Munitions</v>
      </c>
      <c r="C9" s="354" t="str">
        <f>IFERROR(__xludf.DUMMYFUNCTION("""COMPUTED_VALUE"""),"Light Armor")</f>
        <v>Light Armor</v>
      </c>
      <c r="D9" s="354" t="str">
        <f>IFERROR(__xludf.DUMMYFUNCTION("""COMPUTED_VALUE"""),"Rawhide")</f>
        <v>Rawhide</v>
      </c>
      <c r="E9" s="354" t="str">
        <f>IFERROR(__xludf.DUMMYFUNCTION("""COMPUTED_VALUE"""),"-")</f>
        <v>-</v>
      </c>
      <c r="F9" s="354" t="str">
        <f>IFERROR(__xludf.DUMMYFUNCTION("""COMPUTED_VALUE"""),"-")</f>
        <v>-</v>
      </c>
      <c r="G9" s="354" t="str">
        <f>IFERROR(__xludf.DUMMYFUNCTION("""COMPUTED_VALUE"""),"-")</f>
        <v>-</v>
      </c>
      <c r="H9" s="354" t="str">
        <f>IFERROR(__xludf.DUMMYFUNCTION("""COMPUTED_VALUE"""),":")</f>
        <v>:</v>
      </c>
      <c r="I9" s="354" t="str">
        <f>IFERROR(__xludf.DUMMYFUNCTION("""COMPUTED_VALUE"""),"-")</f>
        <v>-</v>
      </c>
      <c r="J9" s="354" t="str">
        <f>IFERROR(__xludf.DUMMYFUNCTION("""COMPUTED_VALUE"""),"-")</f>
        <v>-</v>
      </c>
      <c r="K9" s="354" t="str">
        <f>IFERROR(__xludf.DUMMYFUNCTION("""COMPUTED_VALUE"""),"-")</f>
        <v>-</v>
      </c>
      <c r="L9" s="354" t="str">
        <f>IFERROR(__xludf.DUMMYFUNCTION("""COMPUTED_VALUE"""),"-")</f>
        <v>-</v>
      </c>
      <c r="M9" s="354" t="str">
        <f>IFERROR(__xludf.DUMMYFUNCTION("""COMPUTED_VALUE"""),"-")</f>
        <v>-</v>
      </c>
      <c r="N9" s="354">
        <f>IFERROR(__xludf.DUMMYFUNCTION("""COMPUTED_VALUE"""),15.0)</f>
        <v>15</v>
      </c>
      <c r="O9" s="354" t="str">
        <f>IFERROR(__xludf.DUMMYFUNCTION("""COMPUTED_VALUE"""),"Hard")</f>
        <v>Hard</v>
      </c>
      <c r="P9" s="354" t="str">
        <f>IFERROR(__xludf.DUMMYFUNCTION("""COMPUTED_VALUE"""),"R")</f>
        <v>R</v>
      </c>
      <c r="Q9" s="354" t="str">
        <f>IFERROR(__xludf.DUMMYFUNCTION("""COMPUTED_VALUE"""),"")</f>
        <v/>
      </c>
      <c r="R9" s="354" t="str">
        <f>IFERROR(__xludf.DUMMYFUNCTION("""COMPUTED_VALUE"""),"")</f>
        <v/>
      </c>
      <c r="S9" s="354" t="str">
        <f>IFERROR(__xludf.DUMMYFUNCTION("""COMPUTED_VALUE"""),"")</f>
        <v/>
      </c>
      <c r="T9" s="354"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55" t="str">
        <f>IFERROR(__xludf.DUMMYFUNCTION("""COMPUTED_VALUE"""),"3 - Undamaged")</f>
        <v>3 - Undamaged</v>
      </c>
      <c r="AG9" s="354" t="str">
        <f>IFERROR(__xludf.DUMMYFUNCTION("""COMPUTED_VALUE"""),"2 - Trivial")</f>
        <v>2 - Trivial</v>
      </c>
    </row>
    <row r="10">
      <c r="A10" s="354" t="str">
        <f>IFERROR(__xludf.DUMMYFUNCTION("""COMPUTED_VALUE"""),"Tortoise Curiass")</f>
        <v>Tortoise Curiass</v>
      </c>
      <c r="B10" s="354" t="str">
        <f>IFERROR(__xludf.DUMMYFUNCTION("""COMPUTED_VALUE"""),"5 - Munitions")</f>
        <v>5 - Munitions</v>
      </c>
      <c r="C10" s="354" t="str">
        <f>IFERROR(__xludf.DUMMYFUNCTION("""COMPUTED_VALUE"""),"Heavy Armor")</f>
        <v>Heavy Armor</v>
      </c>
      <c r="D10" s="354" t="str">
        <f>IFERROR(__xludf.DUMMYFUNCTION("""COMPUTED_VALUE"""),"Bone")</f>
        <v>Bone</v>
      </c>
      <c r="E10" s="354" t="str">
        <f>IFERROR(__xludf.DUMMYFUNCTION("""COMPUTED_VALUE"""),"-")</f>
        <v>-</v>
      </c>
      <c r="F10" s="354" t="str">
        <f>IFERROR(__xludf.DUMMYFUNCTION("""COMPUTED_VALUE"""),"-")</f>
        <v>-</v>
      </c>
      <c r="G10" s="354" t="str">
        <f>IFERROR(__xludf.DUMMYFUNCTION("""COMPUTED_VALUE"""),"-")</f>
        <v>-</v>
      </c>
      <c r="H10" s="354" t="str">
        <f>IFERROR(__xludf.DUMMYFUNCTION("""COMPUTED_VALUE"""),":")</f>
        <v>:</v>
      </c>
      <c r="I10" s="354" t="str">
        <f>IFERROR(__xludf.DUMMYFUNCTION("""COMPUTED_VALUE"""),"-")</f>
        <v>-</v>
      </c>
      <c r="J10" s="354" t="str">
        <f>IFERROR(__xludf.DUMMYFUNCTION("""COMPUTED_VALUE"""),"-")</f>
        <v>-</v>
      </c>
      <c r="K10" s="354" t="str">
        <f>IFERROR(__xludf.DUMMYFUNCTION("""COMPUTED_VALUE"""),"-")</f>
        <v>-</v>
      </c>
      <c r="L10" s="354" t="str">
        <f>IFERROR(__xludf.DUMMYFUNCTION("""COMPUTED_VALUE"""),"-")</f>
        <v>-</v>
      </c>
      <c r="M10" s="354" t="str">
        <f>IFERROR(__xludf.DUMMYFUNCTION("""COMPUTED_VALUE"""),"-")</f>
        <v>-</v>
      </c>
      <c r="N10" s="354">
        <f>IFERROR(__xludf.DUMMYFUNCTION("""COMPUTED_VALUE"""),34.0)</f>
        <v>34</v>
      </c>
      <c r="O10" s="354" t="str">
        <f>IFERROR(__xludf.DUMMYFUNCTION("""COMPUTED_VALUE"""),"Hard")</f>
        <v>Hard</v>
      </c>
      <c r="P10" s="354" t="str">
        <f>IFERROR(__xludf.DUMMYFUNCTION("""COMPUTED_VALUE"""),"")</f>
        <v/>
      </c>
      <c r="Q10" s="354" t="str">
        <f>IFERROR(__xludf.DUMMYFUNCTION("""COMPUTED_VALUE"""),"")</f>
        <v/>
      </c>
      <c r="R10" s="354" t="str">
        <f>IFERROR(__xludf.DUMMYFUNCTION("""COMPUTED_VALUE"""),"")</f>
        <v/>
      </c>
      <c r="S10" s="354" t="str">
        <f>IFERROR(__xludf.DUMMYFUNCTION("""COMPUTED_VALUE"""),"")</f>
        <v/>
      </c>
      <c r="T10" s="354"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55" t="str">
        <f>IFERROR(__xludf.DUMMYFUNCTION("""COMPUTED_VALUE"""),"3 - Undamaged")</f>
        <v>3 - Undamaged</v>
      </c>
      <c r="AG10" s="354" t="str">
        <f>IFERROR(__xludf.DUMMYFUNCTION("""COMPUTED_VALUE"""),"4 - Moderate")</f>
        <v>4 - Moderate</v>
      </c>
    </row>
    <row r="11">
      <c r="A11" s="354" t="str">
        <f>IFERROR(__xludf.DUMMYFUNCTION("""COMPUTED_VALUE""")," Full Chain Mail Shirt")</f>
        <v> Full Chain Mail Shirt</v>
      </c>
      <c r="B11" s="354" t="str">
        <f>IFERROR(__xludf.DUMMYFUNCTION("""COMPUTED_VALUE"""),"5 - Munitions")</f>
        <v>5 - Munitions</v>
      </c>
      <c r="C11" s="354" t="str">
        <f>IFERROR(__xludf.DUMMYFUNCTION("""COMPUTED_VALUE"""),"Light Armor")</f>
        <v>Light Armor</v>
      </c>
      <c r="D11" s="354" t="str">
        <f>IFERROR(__xludf.DUMMYFUNCTION("""COMPUTED_VALUE"""),"Steel")</f>
        <v>Steel</v>
      </c>
      <c r="E11" s="354" t="str">
        <f>IFERROR(__xludf.DUMMYFUNCTION("""COMPUTED_VALUE"""),"-")</f>
        <v>-</v>
      </c>
      <c r="F11" s="354" t="str">
        <f>IFERROR(__xludf.DUMMYFUNCTION("""COMPUTED_VALUE"""),"-")</f>
        <v>-</v>
      </c>
      <c r="G11" s="354" t="str">
        <f>IFERROR(__xludf.DUMMYFUNCTION("""COMPUTED_VALUE"""),"-")</f>
        <v>-</v>
      </c>
      <c r="H11" s="354" t="str">
        <f>IFERROR(__xludf.DUMMYFUNCTION("""COMPUTED_VALUE"""),":")</f>
        <v>:</v>
      </c>
      <c r="I11" s="354" t="str">
        <f>IFERROR(__xludf.DUMMYFUNCTION("""COMPUTED_VALUE"""),"-")</f>
        <v>-</v>
      </c>
      <c r="J11" s="354" t="str">
        <f>IFERROR(__xludf.DUMMYFUNCTION("""COMPUTED_VALUE"""),"-")</f>
        <v>-</v>
      </c>
      <c r="K11" s="354" t="str">
        <f>IFERROR(__xludf.DUMMYFUNCTION("""COMPUTED_VALUE"""),"-")</f>
        <v>-</v>
      </c>
      <c r="L11" s="354" t="str">
        <f>IFERROR(__xludf.DUMMYFUNCTION("""COMPUTED_VALUE"""),"-")</f>
        <v>-</v>
      </c>
      <c r="M11" s="354" t="str">
        <f>IFERROR(__xludf.DUMMYFUNCTION("""COMPUTED_VALUE"""),"-")</f>
        <v>-</v>
      </c>
      <c r="N11" s="354">
        <f>IFERROR(__xludf.DUMMYFUNCTION("""COMPUTED_VALUE"""),34.0)</f>
        <v>34</v>
      </c>
      <c r="O11" s="354" t="str">
        <f>IFERROR(__xludf.DUMMYFUNCTION("""COMPUTED_VALUE"""),"Hard")</f>
        <v>Hard</v>
      </c>
      <c r="P11" s="354" t="str">
        <f>IFERROR(__xludf.DUMMYFUNCTION("""COMPUTED_VALUE"""),"")</f>
        <v/>
      </c>
      <c r="Q11" s="354" t="str">
        <f>IFERROR(__xludf.DUMMYFUNCTION("""COMPUTED_VALUE"""),"")</f>
        <v/>
      </c>
      <c r="R11" s="354" t="str">
        <f>IFERROR(__xludf.DUMMYFUNCTION("""COMPUTED_VALUE"""),"")</f>
        <v/>
      </c>
      <c r="S11" s="354" t="str">
        <f>IFERROR(__xludf.DUMMYFUNCTION("""COMPUTED_VALUE"""),"")</f>
        <v/>
      </c>
      <c r="T11" s="354"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55" t="str">
        <f>IFERROR(__xludf.DUMMYFUNCTION("""COMPUTED_VALUE"""),"3 - Undamaged")</f>
        <v>3 - Undamaged</v>
      </c>
      <c r="AG11" s="354" t="str">
        <f>IFERROR(__xludf.DUMMYFUNCTION("""COMPUTED_VALUE"""),"6 - Hefty")</f>
        <v>6 - Hefty</v>
      </c>
    </row>
    <row r="12">
      <c r="A12" s="354" t="str">
        <f>IFERROR(__xludf.DUMMYFUNCTION("""COMPUTED_VALUE"""),"Heavy Silk Gambeson")</f>
        <v>Heavy Silk Gambeson</v>
      </c>
      <c r="B12" s="354" t="str">
        <f>IFERROR(__xludf.DUMMYFUNCTION("""COMPUTED_VALUE"""),"5 - Munitions")</f>
        <v>5 - Munitions</v>
      </c>
      <c r="C12" s="354" t="str">
        <f>IFERROR(__xludf.DUMMYFUNCTION("""COMPUTED_VALUE"""),"Heavy Armor")</f>
        <v>Heavy Armor</v>
      </c>
      <c r="D12" s="354" t="str">
        <f>IFERROR(__xludf.DUMMYFUNCTION("""COMPUTED_VALUE"""),"Silk")</f>
        <v>Silk</v>
      </c>
      <c r="E12" s="354" t="str">
        <f>IFERROR(__xludf.DUMMYFUNCTION("""COMPUTED_VALUE"""),"-")</f>
        <v>-</v>
      </c>
      <c r="F12" s="354" t="str">
        <f>IFERROR(__xludf.DUMMYFUNCTION("""COMPUTED_VALUE"""),"-")</f>
        <v>-</v>
      </c>
      <c r="G12" s="354" t="str">
        <f>IFERROR(__xludf.DUMMYFUNCTION("""COMPUTED_VALUE"""),"-")</f>
        <v>-</v>
      </c>
      <c r="H12" s="354" t="str">
        <f>IFERROR(__xludf.DUMMYFUNCTION("""COMPUTED_VALUE"""),":")</f>
        <v>:</v>
      </c>
      <c r="I12" s="354" t="str">
        <f>IFERROR(__xludf.DUMMYFUNCTION("""COMPUTED_VALUE"""),"-")</f>
        <v>-</v>
      </c>
      <c r="J12" s="354" t="str">
        <f>IFERROR(__xludf.DUMMYFUNCTION("""COMPUTED_VALUE"""),"-")</f>
        <v>-</v>
      </c>
      <c r="K12" s="354" t="str">
        <f>IFERROR(__xludf.DUMMYFUNCTION("""COMPUTED_VALUE"""),"-")</f>
        <v>-</v>
      </c>
      <c r="L12" s="354" t="str">
        <f>IFERROR(__xludf.DUMMYFUNCTION("""COMPUTED_VALUE"""),"-")</f>
        <v>-</v>
      </c>
      <c r="M12" s="354" t="str">
        <f>IFERROR(__xludf.DUMMYFUNCTION("""COMPUTED_VALUE"""),"-")</f>
        <v>-</v>
      </c>
      <c r="N12" s="354">
        <f>IFERROR(__xludf.DUMMYFUNCTION("""COMPUTED_VALUE"""),22.0)</f>
        <v>22</v>
      </c>
      <c r="O12" s="354" t="str">
        <f>IFERROR(__xludf.DUMMYFUNCTION("""COMPUTED_VALUE"""),"Soft")</f>
        <v>Soft</v>
      </c>
      <c r="P12" s="354" t="str">
        <f>IFERROR(__xludf.DUMMYFUNCTION("""COMPUTED_VALUE"""),"")</f>
        <v/>
      </c>
      <c r="Q12" s="354" t="str">
        <f>IFERROR(__xludf.DUMMYFUNCTION("""COMPUTED_VALUE"""),"")</f>
        <v/>
      </c>
      <c r="R12" s="354" t="str">
        <f>IFERROR(__xludf.DUMMYFUNCTION("""COMPUTED_VALUE"""),"")</f>
        <v/>
      </c>
      <c r="S12" s="354" t="str">
        <f>IFERROR(__xludf.DUMMYFUNCTION("""COMPUTED_VALUE"""),"")</f>
        <v/>
      </c>
      <c r="T12" s="354"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55" t="str">
        <f>IFERROR(__xludf.DUMMYFUNCTION("""COMPUTED_VALUE"""),"3 - Undamaged")</f>
        <v>3 - Undamaged</v>
      </c>
      <c r="AG12" s="354" t="str">
        <f>IFERROR(__xludf.DUMMYFUNCTION("""COMPUTED_VALUE"""),"4 - Moderate")</f>
        <v>4 - Moderate</v>
      </c>
    </row>
    <row r="13">
      <c r="A13" s="354" t="str">
        <f>IFERROR(__xludf.DUMMYFUNCTION("""COMPUTED_VALUE"""),"Armored Leather Skirt")</f>
        <v>Armored Leather Skirt</v>
      </c>
      <c r="B13" s="354" t="str">
        <f>IFERROR(__xludf.DUMMYFUNCTION("""COMPUTED_VALUE"""),"5 - Munitions")</f>
        <v>5 - Munitions</v>
      </c>
      <c r="C13" s="354" t="str">
        <f>IFERROR(__xludf.DUMMYFUNCTION("""COMPUTED_VALUE"""),"Light Armor")</f>
        <v>Light Armor</v>
      </c>
      <c r="D13" s="354" t="str">
        <f>IFERROR(__xludf.DUMMYFUNCTION("""COMPUTED_VALUE"""),"Leather")</f>
        <v>Leather</v>
      </c>
      <c r="E13" s="354" t="str">
        <f>IFERROR(__xludf.DUMMYFUNCTION("""COMPUTED_VALUE"""),"-")</f>
        <v>-</v>
      </c>
      <c r="F13" s="354" t="str">
        <f>IFERROR(__xludf.DUMMYFUNCTION("""COMPUTED_VALUE"""),"-")</f>
        <v>-</v>
      </c>
      <c r="G13" s="354" t="str">
        <f>IFERROR(__xludf.DUMMYFUNCTION("""COMPUTED_VALUE"""),"-")</f>
        <v>-</v>
      </c>
      <c r="H13" s="354" t="str">
        <f>IFERROR(__xludf.DUMMYFUNCTION("""COMPUTED_VALUE"""),":")</f>
        <v>:</v>
      </c>
      <c r="I13" s="354" t="str">
        <f>IFERROR(__xludf.DUMMYFUNCTION("""COMPUTED_VALUE"""),"-")</f>
        <v>-</v>
      </c>
      <c r="J13" s="354" t="str">
        <f>IFERROR(__xludf.DUMMYFUNCTION("""COMPUTED_VALUE"""),"-")</f>
        <v>-</v>
      </c>
      <c r="K13" s="354" t="str">
        <f>IFERROR(__xludf.DUMMYFUNCTION("""COMPUTED_VALUE"""),"-")</f>
        <v>-</v>
      </c>
      <c r="L13" s="354" t="str">
        <f>IFERROR(__xludf.DUMMYFUNCTION("""COMPUTED_VALUE"""),"-")</f>
        <v>-</v>
      </c>
      <c r="M13" s="354" t="str">
        <f>IFERROR(__xludf.DUMMYFUNCTION("""COMPUTED_VALUE"""),"-")</f>
        <v>-</v>
      </c>
      <c r="N13" s="354">
        <f>IFERROR(__xludf.DUMMYFUNCTION("""COMPUTED_VALUE"""),12.0)</f>
        <v>12</v>
      </c>
      <c r="O13" s="354" t="str">
        <f>IFERROR(__xludf.DUMMYFUNCTION("""COMPUTED_VALUE"""),"Soft")</f>
        <v>Soft</v>
      </c>
      <c r="P13" s="354" t="str">
        <f>IFERROR(__xludf.DUMMYFUNCTION("""COMPUTED_VALUE"""),"R")</f>
        <v>R</v>
      </c>
      <c r="Q13" s="354" t="str">
        <f>IFERROR(__xludf.DUMMYFUNCTION("""COMPUTED_VALUE"""),"")</f>
        <v/>
      </c>
      <c r="R13" s="354" t="str">
        <f>IFERROR(__xludf.DUMMYFUNCTION("""COMPUTED_VALUE"""),"")</f>
        <v/>
      </c>
      <c r="S13" s="354" t="str">
        <f>IFERROR(__xludf.DUMMYFUNCTION("""COMPUTED_VALUE"""),"")</f>
        <v/>
      </c>
      <c r="T13" s="354"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55" t="str">
        <f>IFERROR(__xludf.DUMMYFUNCTION("""COMPUTED_VALUE"""),"3 - Undamaged")</f>
        <v>3 - Undamaged</v>
      </c>
      <c r="AG13" s="354" t="str">
        <f>IFERROR(__xludf.DUMMYFUNCTION("""COMPUTED_VALUE"""),"1 - Featherlight")</f>
        <v>1 - Featherlight</v>
      </c>
    </row>
    <row r="14">
      <c r="A14" s="354" t="str">
        <f>IFERROR(__xludf.DUMMYFUNCTION("""COMPUTED_VALUE""")," Cloak")</f>
        <v> Cloak</v>
      </c>
      <c r="B14" s="354" t="str">
        <f>IFERROR(__xludf.DUMMYFUNCTION("""COMPUTED_VALUE"""),"5 - Munitions")</f>
        <v>5 - Munitions</v>
      </c>
      <c r="C14" s="354" t="str">
        <f>IFERROR(__xludf.DUMMYFUNCTION("""COMPUTED_VALUE"""),"Clothing")</f>
        <v>Clothing</v>
      </c>
      <c r="D14" s="354" t="str">
        <f>IFERROR(__xludf.DUMMYFUNCTION("""COMPUTED_VALUE"""),"Wool")</f>
        <v>Wool</v>
      </c>
      <c r="E14" s="354" t="str">
        <f>IFERROR(__xludf.DUMMYFUNCTION("""COMPUTED_VALUE"""),"-")</f>
        <v>-</v>
      </c>
      <c r="F14" s="354" t="str">
        <f>IFERROR(__xludf.DUMMYFUNCTION("""COMPUTED_VALUE"""),"-")</f>
        <v>-</v>
      </c>
      <c r="G14" s="354" t="str">
        <f>IFERROR(__xludf.DUMMYFUNCTION("""COMPUTED_VALUE"""),"-")</f>
        <v>-</v>
      </c>
      <c r="H14" s="354" t="str">
        <f>IFERROR(__xludf.DUMMYFUNCTION("""COMPUTED_VALUE"""),":")</f>
        <v>:</v>
      </c>
      <c r="I14" s="354" t="str">
        <f>IFERROR(__xludf.DUMMYFUNCTION("""COMPUTED_VALUE"""),"-")</f>
        <v>-</v>
      </c>
      <c r="J14" s="354" t="str">
        <f>IFERROR(__xludf.DUMMYFUNCTION("""COMPUTED_VALUE"""),"-")</f>
        <v>-</v>
      </c>
      <c r="K14" s="354" t="str">
        <f>IFERROR(__xludf.DUMMYFUNCTION("""COMPUTED_VALUE"""),"-")</f>
        <v>-</v>
      </c>
      <c r="L14" s="354" t="str">
        <f>IFERROR(__xludf.DUMMYFUNCTION("""COMPUTED_VALUE"""),"-")</f>
        <v>-</v>
      </c>
      <c r="M14" s="354" t="str">
        <f>IFERROR(__xludf.DUMMYFUNCTION("""COMPUTED_VALUE"""),"-")</f>
        <v>-</v>
      </c>
      <c r="N14" s="354">
        <f>IFERROR(__xludf.DUMMYFUNCTION("""COMPUTED_VALUE"""),1.0)</f>
        <v>1</v>
      </c>
      <c r="O14" s="354" t="str">
        <f>IFERROR(__xludf.DUMMYFUNCTION("""COMPUTED_VALUE"""),"Soft")</f>
        <v>Soft</v>
      </c>
      <c r="P14" s="354" t="str">
        <f>IFERROR(__xludf.DUMMYFUNCTION("""COMPUTED_VALUE"""),"R")</f>
        <v>R</v>
      </c>
      <c r="Q14" s="354" t="str">
        <f>IFERROR(__xludf.DUMMYFUNCTION("""COMPUTED_VALUE"""),"R")</f>
        <v>R</v>
      </c>
      <c r="R14" s="354" t="str">
        <f>IFERROR(__xludf.DUMMYFUNCTION("""COMPUTED_VALUE"""),"")</f>
        <v/>
      </c>
      <c r="S14" s="354" t="str">
        <f>IFERROR(__xludf.DUMMYFUNCTION("""COMPUTED_VALUE"""),"")</f>
        <v/>
      </c>
      <c r="T14" s="354"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55" t="str">
        <f>IFERROR(__xludf.DUMMYFUNCTION("""COMPUTED_VALUE"""),"3 - Undamaged")</f>
        <v>3 - Undamaged</v>
      </c>
      <c r="AG14" s="354" t="str">
        <f>IFERROR(__xludf.DUMMYFUNCTION("""COMPUTED_VALUE"""),"2 - Trivial")</f>
        <v>2 - Trivial</v>
      </c>
    </row>
    <row r="15">
      <c r="A15" s="354" t="str">
        <f>IFERROR(__xludf.DUMMYFUNCTION("""COMPUTED_VALUE""")," Gauntlet")</f>
        <v> Gauntlet</v>
      </c>
      <c r="B15" s="354" t="str">
        <f>IFERROR(__xludf.DUMMYFUNCTION("""COMPUTED_VALUE"""),"5 - Munitions")</f>
        <v>5 - Munitions</v>
      </c>
      <c r="C15" s="354" t="str">
        <f>IFERROR(__xludf.DUMMYFUNCTION("""COMPUTED_VALUE"""),"Light Armor")</f>
        <v>Light Armor</v>
      </c>
      <c r="D15" s="354" t="str">
        <f>IFERROR(__xludf.DUMMYFUNCTION("""COMPUTED_VALUE"""),"Steel")</f>
        <v>Steel</v>
      </c>
      <c r="E15" s="354" t="str">
        <f>IFERROR(__xludf.DUMMYFUNCTION("""COMPUTED_VALUE"""),"-")</f>
        <v>-</v>
      </c>
      <c r="F15" s="354" t="str">
        <f>IFERROR(__xludf.DUMMYFUNCTION("""COMPUTED_VALUE"""),"-")</f>
        <v>-</v>
      </c>
      <c r="G15" s="354" t="str">
        <f>IFERROR(__xludf.DUMMYFUNCTION("""COMPUTED_VALUE"""),"-")</f>
        <v>-</v>
      </c>
      <c r="H15" s="354" t="str">
        <f>IFERROR(__xludf.DUMMYFUNCTION("""COMPUTED_VALUE"""),":")</f>
        <v>:</v>
      </c>
      <c r="I15" s="354" t="str">
        <f>IFERROR(__xludf.DUMMYFUNCTION("""COMPUTED_VALUE"""),"-")</f>
        <v>-</v>
      </c>
      <c r="J15" s="354" t="str">
        <f>IFERROR(__xludf.DUMMYFUNCTION("""COMPUTED_VALUE"""),"-")</f>
        <v>-</v>
      </c>
      <c r="K15" s="354" t="str">
        <f>IFERROR(__xludf.DUMMYFUNCTION("""COMPUTED_VALUE"""),"-")</f>
        <v>-</v>
      </c>
      <c r="L15" s="354" t="str">
        <f>IFERROR(__xludf.DUMMYFUNCTION("""COMPUTED_VALUE"""),"-")</f>
        <v>-</v>
      </c>
      <c r="M15" s="354" t="str">
        <f>IFERROR(__xludf.DUMMYFUNCTION("""COMPUTED_VALUE"""),"-")</f>
        <v>-</v>
      </c>
      <c r="N15" s="354">
        <f>IFERROR(__xludf.DUMMYFUNCTION("""COMPUTED_VALUE"""),34.0)</f>
        <v>34</v>
      </c>
      <c r="O15" s="354" t="str">
        <f>IFERROR(__xludf.DUMMYFUNCTION("""COMPUTED_VALUE"""),"Hard")</f>
        <v>Hard</v>
      </c>
      <c r="P15" s="354" t="str">
        <f>IFERROR(__xludf.DUMMYFUNCTION("""COMPUTED_VALUE"""),"")</f>
        <v/>
      </c>
      <c r="Q15" s="354" t="str">
        <f>IFERROR(__xludf.DUMMYFUNCTION("""COMPUTED_VALUE"""),"")</f>
        <v/>
      </c>
      <c r="R15" s="354" t="str">
        <f>IFERROR(__xludf.DUMMYFUNCTION("""COMPUTED_VALUE"""),"")</f>
        <v/>
      </c>
      <c r="S15" s="354" t="str">
        <f>IFERROR(__xludf.DUMMYFUNCTION("""COMPUTED_VALUE"""),"")</f>
        <v/>
      </c>
      <c r="T15" s="354"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55" t="str">
        <f>IFERROR(__xludf.DUMMYFUNCTION("""COMPUTED_VALUE"""),"3 - Undamaged")</f>
        <v>3 - Undamaged</v>
      </c>
      <c r="AG15" s="354" t="str">
        <f>IFERROR(__xludf.DUMMYFUNCTION("""COMPUTED_VALUE"""),"4 - Moderate")</f>
        <v>4 - Moderate</v>
      </c>
    </row>
    <row r="16">
      <c r="A16" s="354" t="str">
        <f>IFERROR(__xludf.DUMMYFUNCTION("""COMPUTED_VALUE"""),"Armored Leather Long Boot")</f>
        <v>Armored Leather Long Boot</v>
      </c>
      <c r="B16" s="354" t="str">
        <f>IFERROR(__xludf.DUMMYFUNCTION("""COMPUTED_VALUE"""),"5 - Munitions")</f>
        <v>5 - Munitions</v>
      </c>
      <c r="C16" s="354" t="str">
        <f>IFERROR(__xludf.DUMMYFUNCTION("""COMPUTED_VALUE"""),"Light Armor")</f>
        <v>Light Armor</v>
      </c>
      <c r="D16" s="354" t="str">
        <f>IFERROR(__xludf.DUMMYFUNCTION("""COMPUTED_VALUE"""),"Leather")</f>
        <v>Leather</v>
      </c>
      <c r="E16" s="354" t="str">
        <f>IFERROR(__xludf.DUMMYFUNCTION("""COMPUTED_VALUE"""),"-")</f>
        <v>-</v>
      </c>
      <c r="F16" s="354" t="str">
        <f>IFERROR(__xludf.DUMMYFUNCTION("""COMPUTED_VALUE"""),"-")</f>
        <v>-</v>
      </c>
      <c r="G16" s="354" t="str">
        <f>IFERROR(__xludf.DUMMYFUNCTION("""COMPUTED_VALUE"""),"-")</f>
        <v>-</v>
      </c>
      <c r="H16" s="354" t="str">
        <f>IFERROR(__xludf.DUMMYFUNCTION("""COMPUTED_VALUE"""),":")</f>
        <v>:</v>
      </c>
      <c r="I16" s="354" t="str">
        <f>IFERROR(__xludf.DUMMYFUNCTION("""COMPUTED_VALUE"""),"-")</f>
        <v>-</v>
      </c>
      <c r="J16" s="354" t="str">
        <f>IFERROR(__xludf.DUMMYFUNCTION("""COMPUTED_VALUE"""),"-")</f>
        <v>-</v>
      </c>
      <c r="K16" s="354" t="str">
        <f>IFERROR(__xludf.DUMMYFUNCTION("""COMPUTED_VALUE"""),"-")</f>
        <v>-</v>
      </c>
      <c r="L16" s="354" t="str">
        <f>IFERROR(__xludf.DUMMYFUNCTION("""COMPUTED_VALUE"""),"-")</f>
        <v>-</v>
      </c>
      <c r="M16" s="354" t="str">
        <f>IFERROR(__xludf.DUMMYFUNCTION("""COMPUTED_VALUE"""),"-")</f>
        <v>-</v>
      </c>
      <c r="N16" s="354">
        <f>IFERROR(__xludf.DUMMYFUNCTION("""COMPUTED_VALUE"""),12.0)</f>
        <v>12</v>
      </c>
      <c r="O16" s="354" t="str">
        <f>IFERROR(__xludf.DUMMYFUNCTION("""COMPUTED_VALUE"""),"Soft")</f>
        <v>Soft</v>
      </c>
      <c r="P16" s="354" t="str">
        <f>IFERROR(__xludf.DUMMYFUNCTION("""COMPUTED_VALUE"""),"R")</f>
        <v>R</v>
      </c>
      <c r="Q16" s="354" t="str">
        <f>IFERROR(__xludf.DUMMYFUNCTION("""COMPUTED_VALUE"""),"")</f>
        <v/>
      </c>
      <c r="R16" s="354" t="str">
        <f>IFERROR(__xludf.DUMMYFUNCTION("""COMPUTED_VALUE"""),"")</f>
        <v/>
      </c>
      <c r="S16" s="354" t="str">
        <f>IFERROR(__xludf.DUMMYFUNCTION("""COMPUTED_VALUE"""),"")</f>
        <v/>
      </c>
      <c r="T16" s="354"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55" t="str">
        <f>IFERROR(__xludf.DUMMYFUNCTION("""COMPUTED_VALUE"""),"3 - Undamaged")</f>
        <v>3 - Undamaged</v>
      </c>
      <c r="AG16" s="354" t="str">
        <f>IFERROR(__xludf.DUMMYFUNCTION("""COMPUTED_VALUE"""),"2 - Trivial")</f>
        <v>2 - Trivial</v>
      </c>
    </row>
    <row r="17">
      <c r="A17" s="354" t="str">
        <f>IFERROR(__xludf.DUMMYFUNCTION("""COMPUTED_VALUE"""),"Fishnet Leggings")</f>
        <v>Fishnet Leggings</v>
      </c>
      <c r="B17" s="354" t="str">
        <f>IFERROR(__xludf.DUMMYFUNCTION("""COMPUTED_VALUE"""),"5 - Munitions")</f>
        <v>5 - Munitions</v>
      </c>
      <c r="C17" s="354" t="str">
        <f>IFERROR(__xludf.DUMMYFUNCTION("""COMPUTED_VALUE"""),"Clothing")</f>
        <v>Clothing</v>
      </c>
      <c r="D17" s="354" t="str">
        <f>IFERROR(__xludf.DUMMYFUNCTION("""COMPUTED_VALUE"""),"Cotton")</f>
        <v>Cotton</v>
      </c>
      <c r="E17" s="354" t="str">
        <f>IFERROR(__xludf.DUMMYFUNCTION("""COMPUTED_VALUE"""),"-")</f>
        <v>-</v>
      </c>
      <c r="F17" s="354" t="str">
        <f>IFERROR(__xludf.DUMMYFUNCTION("""COMPUTED_VALUE"""),"-")</f>
        <v>-</v>
      </c>
      <c r="G17" s="354" t="str">
        <f>IFERROR(__xludf.DUMMYFUNCTION("""COMPUTED_VALUE"""),"-")</f>
        <v>-</v>
      </c>
      <c r="H17" s="354" t="str">
        <f>IFERROR(__xludf.DUMMYFUNCTION("""COMPUTED_VALUE"""),":")</f>
        <v>:</v>
      </c>
      <c r="I17" s="354" t="str">
        <f>IFERROR(__xludf.DUMMYFUNCTION("""COMPUTED_VALUE"""),"-")</f>
        <v>-</v>
      </c>
      <c r="J17" s="354" t="str">
        <f>IFERROR(__xludf.DUMMYFUNCTION("""COMPUTED_VALUE"""),"-")</f>
        <v>-</v>
      </c>
      <c r="K17" s="354" t="str">
        <f>IFERROR(__xludf.DUMMYFUNCTION("""COMPUTED_VALUE"""),"-")</f>
        <v>-</v>
      </c>
      <c r="L17" s="354" t="str">
        <f>IFERROR(__xludf.DUMMYFUNCTION("""COMPUTED_VALUE"""),"-")</f>
        <v>-</v>
      </c>
      <c r="M17" s="354" t="str">
        <f>IFERROR(__xludf.DUMMYFUNCTION("""COMPUTED_VALUE"""),"-")</f>
        <v>-</v>
      </c>
      <c r="N17" s="354">
        <f>IFERROR(__xludf.DUMMYFUNCTION("""COMPUTED_VALUE"""),2.0)</f>
        <v>2</v>
      </c>
      <c r="O17" s="354" t="str">
        <f>IFERROR(__xludf.DUMMYFUNCTION("""COMPUTED_VALUE"""),"Soft")</f>
        <v>Soft</v>
      </c>
      <c r="P17" s="354" t="str">
        <f>IFERROR(__xludf.DUMMYFUNCTION("""COMPUTED_VALUE"""),"")</f>
        <v/>
      </c>
      <c r="R17" s="354" t="str">
        <f>IFERROR(__xludf.DUMMYFUNCTION("""COMPUTED_VALUE"""),"")</f>
        <v/>
      </c>
      <c r="S17" s="354" t="str">
        <f>IFERROR(__xludf.DUMMYFUNCTION("""COMPUTED_VALUE"""),"")</f>
        <v/>
      </c>
      <c r="T17" s="354"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55" t="str">
        <f>IFERROR(__xludf.DUMMYFUNCTION("""COMPUTED_VALUE"""),"3 - Undamaged")</f>
        <v>3 - Undamaged</v>
      </c>
      <c r="AG17" s="354" t="str">
        <f>IFERROR(__xludf.DUMMYFUNCTION("""COMPUTED_VALUE"""),"1 - Featherlight")</f>
        <v>1 - Featherlight</v>
      </c>
    </row>
    <row r="18">
      <c r="A18" s="354" t="str">
        <f>IFERROR(__xludf.DUMMYFUNCTION("""COMPUTED_VALUE"""),"Leather Boot")</f>
        <v>Leather Boot</v>
      </c>
      <c r="B18" s="354" t="str">
        <f>IFERROR(__xludf.DUMMYFUNCTION("""COMPUTED_VALUE"""),"5 - Munitions")</f>
        <v>5 - Munitions</v>
      </c>
      <c r="C18" s="354" t="str">
        <f>IFERROR(__xludf.DUMMYFUNCTION("""COMPUTED_VALUE"""),"Clothing")</f>
        <v>Clothing</v>
      </c>
      <c r="D18" s="354" t="str">
        <f>IFERROR(__xludf.DUMMYFUNCTION("""COMPUTED_VALUE"""),"Leather")</f>
        <v>Leather</v>
      </c>
      <c r="E18" s="354" t="str">
        <f>IFERROR(__xludf.DUMMYFUNCTION("""COMPUTED_VALUE"""),"-")</f>
        <v>-</v>
      </c>
      <c r="F18" s="354" t="str">
        <f>IFERROR(__xludf.DUMMYFUNCTION("""COMPUTED_VALUE"""),"-")</f>
        <v>-</v>
      </c>
      <c r="G18" s="354" t="str">
        <f>IFERROR(__xludf.DUMMYFUNCTION("""COMPUTED_VALUE"""),"-")</f>
        <v>-</v>
      </c>
      <c r="H18" s="354" t="str">
        <f>IFERROR(__xludf.DUMMYFUNCTION("""COMPUTED_VALUE"""),":")</f>
        <v>:</v>
      </c>
      <c r="I18" s="354" t="str">
        <f>IFERROR(__xludf.DUMMYFUNCTION("""COMPUTED_VALUE"""),"-")</f>
        <v>-</v>
      </c>
      <c r="J18" s="354" t="str">
        <f>IFERROR(__xludf.DUMMYFUNCTION("""COMPUTED_VALUE"""),"-")</f>
        <v>-</v>
      </c>
      <c r="K18" s="354" t="str">
        <f>IFERROR(__xludf.DUMMYFUNCTION("""COMPUTED_VALUE"""),"-")</f>
        <v>-</v>
      </c>
      <c r="L18" s="354" t="str">
        <f>IFERROR(__xludf.DUMMYFUNCTION("""COMPUTED_VALUE"""),"-")</f>
        <v>-</v>
      </c>
      <c r="M18" s="354" t="str">
        <f>IFERROR(__xludf.DUMMYFUNCTION("""COMPUTED_VALUE"""),"-")</f>
        <v>-</v>
      </c>
      <c r="N18" s="354">
        <f>IFERROR(__xludf.DUMMYFUNCTION("""COMPUTED_VALUE"""),8.0)</f>
        <v>8</v>
      </c>
      <c r="O18" s="354" t="str">
        <f>IFERROR(__xludf.DUMMYFUNCTION("""COMPUTED_VALUE"""),"Soft")</f>
        <v>Soft</v>
      </c>
      <c r="P18" s="354" t="str">
        <f>IFERROR(__xludf.DUMMYFUNCTION("""COMPUTED_VALUE"""),"R")</f>
        <v>R</v>
      </c>
      <c r="Q18" s="354" t="str">
        <f>IFERROR(__xludf.DUMMYFUNCTION("""COMPUTED_VALUE"""),"")</f>
        <v/>
      </c>
      <c r="R18" s="354" t="str">
        <f>IFERROR(__xludf.DUMMYFUNCTION("""COMPUTED_VALUE"""),"")</f>
        <v/>
      </c>
      <c r="S18" s="354" t="str">
        <f>IFERROR(__xludf.DUMMYFUNCTION("""COMPUTED_VALUE"""),"")</f>
        <v/>
      </c>
      <c r="T18" s="354"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55" t="str">
        <f>IFERROR(__xludf.DUMMYFUNCTION("""COMPUTED_VALUE"""),"3 - Undamaged")</f>
        <v>3 - Undamaged</v>
      </c>
      <c r="AG18" s="354" t="str">
        <f>IFERROR(__xludf.DUMMYFUNCTION("""COMPUTED_VALUE"""),"1 - Featherlight")</f>
        <v>1 - Featherlight</v>
      </c>
    </row>
    <row r="19">
      <c r="A19" s="354" t="str">
        <f>IFERROR(__xludf.DUMMYFUNCTION("""COMPUTED_VALUE"""),"Baseball Bat")</f>
        <v>Baseball Bat</v>
      </c>
      <c r="B19" s="354" t="str">
        <f>IFERROR(__xludf.DUMMYFUNCTION("""COMPUTED_VALUE"""),"5 - Munitions")</f>
        <v>5 - Munitions</v>
      </c>
      <c r="C19" s="354" t="str">
        <f>IFERROR(__xludf.DUMMYFUNCTION("""COMPUTED_VALUE"""),"Two-Handed Weapon")</f>
        <v>Two-Handed Weapon</v>
      </c>
      <c r="D19" s="354" t="str">
        <f>IFERROR(__xludf.DUMMYFUNCTION("""COMPUTED_VALUE"""),"Wood")</f>
        <v>Wood</v>
      </c>
      <c r="E19" s="354" t="str">
        <f>IFERROR(__xludf.DUMMYFUNCTION("""COMPUTED_VALUE"""),"-")</f>
        <v>-</v>
      </c>
      <c r="F19" s="354" t="str">
        <f>IFERROR(__xludf.DUMMYFUNCTION("""COMPUTED_VALUE"""),"25")</f>
        <v>25</v>
      </c>
      <c r="G19" s="354" t="str">
        <f>IFERROR(__xludf.DUMMYFUNCTION("""COMPUTED_VALUE"""),"-")</f>
        <v>-</v>
      </c>
      <c r="H19" s="354" t="str">
        <f>IFERROR(__xludf.DUMMYFUNCTION("""COMPUTED_VALUE"""),":")</f>
        <v>:</v>
      </c>
      <c r="I19" s="354" t="str">
        <f>IFERROR(__xludf.DUMMYFUNCTION("""COMPUTED_VALUE"""),"-")</f>
        <v>-</v>
      </c>
      <c r="J19" s="354" t="str">
        <f>IFERROR(__xludf.DUMMYFUNCTION("""COMPUTED_VALUE"""),"-")</f>
        <v>-</v>
      </c>
      <c r="K19" s="354" t="str">
        <f>IFERROR(__xludf.DUMMYFUNCTION("""COMPUTED_VALUE"""),"-")</f>
        <v>-</v>
      </c>
      <c r="L19" s="354" t="str">
        <f>IFERROR(__xludf.DUMMYFUNCTION("""COMPUTED_VALUE"""),"-")</f>
        <v>-</v>
      </c>
      <c r="M19" s="354" t="str">
        <f>IFERROR(__xludf.DUMMYFUNCTION("""COMPUTED_VALUE"""),"-")</f>
        <v>-</v>
      </c>
      <c r="N19" s="354" t="str">
        <f>IFERROR(__xludf.DUMMYFUNCTION("""COMPUTED_VALUE"""),"25")</f>
        <v>25</v>
      </c>
      <c r="O19" s="354" t="str">
        <f>IFERROR(__xludf.DUMMYFUNCTION("""COMPUTED_VALUE"""),"Hard")</f>
        <v>Hard</v>
      </c>
      <c r="T19" s="354"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55" t="str">
        <f>IFERROR(__xludf.DUMMYFUNCTION("""COMPUTED_VALUE"""),"3 - Undamaged")</f>
        <v>3 - Undamaged</v>
      </c>
      <c r="AG19" s="354" t="str">
        <f>IFERROR(__xludf.DUMMYFUNCTION("""COMPUTED_VALUE"""),"1 - Featherlight")</f>
        <v>1 - Featherlight</v>
      </c>
    </row>
    <row r="20">
      <c r="A20" s="354" t="str">
        <f>IFERROR(__xludf.DUMMYFUNCTION("""COMPUTED_VALUE"""),"Baseball Uniform")</f>
        <v>Baseball Uniform</v>
      </c>
      <c r="B20" s="354" t="str">
        <f>IFERROR(__xludf.DUMMYFUNCTION("""COMPUTED_VALUE"""),"5 - Munitions")</f>
        <v>5 - Munitions</v>
      </c>
      <c r="C20" s="354" t="str">
        <f>IFERROR(__xludf.DUMMYFUNCTION("""COMPUTED_VALUE"""),"Clothing")</f>
        <v>Clothing</v>
      </c>
      <c r="D20" s="354" t="str">
        <f>IFERROR(__xludf.DUMMYFUNCTION("""COMPUTED_VALUE"""),"Cotton")</f>
        <v>Cotton</v>
      </c>
      <c r="E20" s="354" t="str">
        <f>IFERROR(__xludf.DUMMYFUNCTION("""COMPUTED_VALUE"""),"-")</f>
        <v>-</v>
      </c>
      <c r="F20" s="354" t="str">
        <f>IFERROR(__xludf.DUMMYFUNCTION("""COMPUTED_VALUE"""),"-")</f>
        <v>-</v>
      </c>
      <c r="G20" s="354" t="str">
        <f>IFERROR(__xludf.DUMMYFUNCTION("""COMPUTED_VALUE"""),"-")</f>
        <v>-</v>
      </c>
      <c r="H20" s="354" t="str">
        <f>IFERROR(__xludf.DUMMYFUNCTION("""COMPUTED_VALUE"""),":")</f>
        <v>:</v>
      </c>
      <c r="I20" s="354" t="str">
        <f>IFERROR(__xludf.DUMMYFUNCTION("""COMPUTED_VALUE"""),"-")</f>
        <v>-</v>
      </c>
      <c r="J20" s="354" t="str">
        <f>IFERROR(__xludf.DUMMYFUNCTION("""COMPUTED_VALUE"""),"-")</f>
        <v>-</v>
      </c>
      <c r="K20" s="354" t="str">
        <f>IFERROR(__xludf.DUMMYFUNCTION("""COMPUTED_VALUE"""),"-")</f>
        <v>-</v>
      </c>
      <c r="L20" s="354" t="str">
        <f>IFERROR(__xludf.DUMMYFUNCTION("""COMPUTED_VALUE"""),"-")</f>
        <v>-</v>
      </c>
      <c r="M20" s="354" t="str">
        <f>IFERROR(__xludf.DUMMYFUNCTION("""COMPUTED_VALUE"""),"-")</f>
        <v>-</v>
      </c>
      <c r="N20" s="354" t="str">
        <f>IFERROR(__xludf.DUMMYFUNCTION("""COMPUTED_VALUE"""),"2")</f>
        <v>2</v>
      </c>
      <c r="O20" s="354" t="str">
        <f>IFERROR(__xludf.DUMMYFUNCTION("""COMPUTED_VALUE"""),"Soft")</f>
        <v>Soft</v>
      </c>
      <c r="Q20" s="354"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55" t="str">
        <f>IFERROR(__xludf.DUMMYFUNCTION("""COMPUTED_VALUE"""),"3 - Undamaged")</f>
        <v>3 - Undamaged</v>
      </c>
      <c r="AG20" s="354" t="str">
        <f>IFERROR(__xludf.DUMMYFUNCTION("""COMPUTED_VALUE"""),"1 - Featherlight")</f>
        <v>1 - Featherlight</v>
      </c>
    </row>
    <row r="21">
      <c r="A21" s="354" t="str">
        <f>IFERROR(__xludf.DUMMYFUNCTION("""COMPUTED_VALUE"""),"Baseball Cap")</f>
        <v>Baseball Cap</v>
      </c>
      <c r="B21" s="354" t="str">
        <f>IFERROR(__xludf.DUMMYFUNCTION("""COMPUTED_VALUE"""),"5 - Munitions")</f>
        <v>5 - Munitions</v>
      </c>
      <c r="C21" s="354" t="str">
        <f>IFERROR(__xludf.DUMMYFUNCTION("""COMPUTED_VALUE"""),"Light Armor")</f>
        <v>Light Armor</v>
      </c>
      <c r="D21" s="354" t="str">
        <f>IFERROR(__xludf.DUMMYFUNCTION("""COMPUTED_VALUE"""),"Leather")</f>
        <v>Leather</v>
      </c>
      <c r="E21" s="354" t="str">
        <f>IFERROR(__xludf.DUMMYFUNCTION("""COMPUTED_VALUE"""),"-")</f>
        <v>-</v>
      </c>
      <c r="F21" s="354" t="str">
        <f>IFERROR(__xludf.DUMMYFUNCTION("""COMPUTED_VALUE"""),"-")</f>
        <v>-</v>
      </c>
      <c r="G21" s="354" t="str">
        <f>IFERROR(__xludf.DUMMYFUNCTION("""COMPUTED_VALUE"""),"-")</f>
        <v>-</v>
      </c>
      <c r="H21" s="354" t="str">
        <f>IFERROR(__xludf.DUMMYFUNCTION("""COMPUTED_VALUE"""),":")</f>
        <v>:</v>
      </c>
      <c r="I21" s="354" t="str">
        <f>IFERROR(__xludf.DUMMYFUNCTION("""COMPUTED_VALUE"""),"-")</f>
        <v>-</v>
      </c>
      <c r="J21" s="354" t="str">
        <f>IFERROR(__xludf.DUMMYFUNCTION("""COMPUTED_VALUE"""),"-")</f>
        <v>-</v>
      </c>
      <c r="K21" s="354" t="str">
        <f>IFERROR(__xludf.DUMMYFUNCTION("""COMPUTED_VALUE"""),"-")</f>
        <v>-</v>
      </c>
      <c r="L21" s="354" t="str">
        <f>IFERROR(__xludf.DUMMYFUNCTION("""COMPUTED_VALUE"""),"-")</f>
        <v>-</v>
      </c>
      <c r="M21" s="354" t="str">
        <f>IFERROR(__xludf.DUMMYFUNCTION("""COMPUTED_VALUE"""),"-")</f>
        <v>-</v>
      </c>
      <c r="N21" s="354" t="str">
        <f>IFERROR(__xludf.DUMMYFUNCTION("""COMPUTED_VALUE"""),"8")</f>
        <v>8</v>
      </c>
      <c r="O21" s="354" t="str">
        <f>IFERROR(__xludf.DUMMYFUNCTION("""COMPUTED_VALUE"""),"Soft")</f>
        <v>Soft</v>
      </c>
      <c r="P21" s="354" t="str">
        <f>IFERROR(__xludf.DUMMYFUNCTION("""COMPUTED_VALUE"""),"R")</f>
        <v>R</v>
      </c>
      <c r="T21" s="354"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55" t="str">
        <f>IFERROR(__xludf.DUMMYFUNCTION("""COMPUTED_VALUE"""),"3 - Undamaged")</f>
        <v>3 - Undamaged</v>
      </c>
      <c r="AG21" s="354" t="str">
        <f>IFERROR(__xludf.DUMMYFUNCTION("""COMPUTED_VALUE"""),"1 - Featherlight")</f>
        <v>1 - Featherlight</v>
      </c>
    </row>
    <row r="22">
      <c r="A22" s="354" t="str">
        <f>IFERROR(__xludf.DUMMYFUNCTION("""COMPUTED_VALUE"""),"Coveralls")</f>
        <v>Coveralls</v>
      </c>
      <c r="B22" s="354" t="str">
        <f>IFERROR(__xludf.DUMMYFUNCTION("""COMPUTED_VALUE"""),"5 - Munitions")</f>
        <v>5 - Munitions</v>
      </c>
      <c r="C22" s="354" t="str">
        <f>IFERROR(__xludf.DUMMYFUNCTION("""COMPUTED_VALUE"""),"Clothing")</f>
        <v>Clothing</v>
      </c>
      <c r="D22" s="354" t="str">
        <f>IFERROR(__xludf.DUMMYFUNCTION("""COMPUTED_VALUE"""),"Cotton")</f>
        <v>Cotton</v>
      </c>
      <c r="E22" s="354" t="str">
        <f>IFERROR(__xludf.DUMMYFUNCTION("""COMPUTED_VALUE"""),"-")</f>
        <v>-</v>
      </c>
      <c r="F22" s="354" t="str">
        <f>IFERROR(__xludf.DUMMYFUNCTION("""COMPUTED_VALUE"""),"-")</f>
        <v>-</v>
      </c>
      <c r="G22" s="354" t="str">
        <f>IFERROR(__xludf.DUMMYFUNCTION("""COMPUTED_VALUE"""),"-")</f>
        <v>-</v>
      </c>
      <c r="H22" s="354" t="str">
        <f>IFERROR(__xludf.DUMMYFUNCTION("""COMPUTED_VALUE"""),":")</f>
        <v>:</v>
      </c>
      <c r="I22" s="354" t="str">
        <f>IFERROR(__xludf.DUMMYFUNCTION("""COMPUTED_VALUE"""),"-")</f>
        <v>-</v>
      </c>
      <c r="J22" s="354" t="str">
        <f>IFERROR(__xludf.DUMMYFUNCTION("""COMPUTED_VALUE"""),"-")</f>
        <v>-</v>
      </c>
      <c r="K22" s="354" t="str">
        <f>IFERROR(__xludf.DUMMYFUNCTION("""COMPUTED_VALUE"""),"-")</f>
        <v>-</v>
      </c>
      <c r="L22" s="354" t="str">
        <f>IFERROR(__xludf.DUMMYFUNCTION("""COMPUTED_VALUE"""),"-")</f>
        <v>-</v>
      </c>
      <c r="M22" s="354" t="str">
        <f>IFERROR(__xludf.DUMMYFUNCTION("""COMPUTED_VALUE"""),"-")</f>
        <v>-</v>
      </c>
      <c r="N22" s="354" t="str">
        <f>IFERROR(__xludf.DUMMYFUNCTION("""COMPUTED_VALUE"""),"2")</f>
        <v>2</v>
      </c>
      <c r="O22" s="354" t="str">
        <f>IFERROR(__xludf.DUMMYFUNCTION("""COMPUTED_VALUE"""),"Soft")</f>
        <v>Soft</v>
      </c>
      <c r="Q22" s="354"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55" t="str">
        <f>IFERROR(__xludf.DUMMYFUNCTION("""COMPUTED_VALUE"""),"3 - Undamaged")</f>
        <v>3 - Undamaged</v>
      </c>
      <c r="AG22" s="354" t="str">
        <f>IFERROR(__xludf.DUMMYFUNCTION("""COMPUTED_VALUE"""),"1 - Featherlight")</f>
        <v>1 - Featherlight</v>
      </c>
    </row>
    <row r="23">
      <c r="A23" s="354" t="str">
        <f>IFERROR(__xludf.DUMMYFUNCTION("""COMPUTED_VALUE"""),"T-shirt")</f>
        <v>T-shirt</v>
      </c>
      <c r="B23" s="354" t="str">
        <f>IFERROR(__xludf.DUMMYFUNCTION("""COMPUTED_VALUE"""),"5 - Munitions")</f>
        <v>5 - Munitions</v>
      </c>
      <c r="C23" s="354" t="str">
        <f>IFERROR(__xludf.DUMMYFUNCTION("""COMPUTED_VALUE"""),"Clothing")</f>
        <v>Clothing</v>
      </c>
      <c r="D23" s="354" t="str">
        <f>IFERROR(__xludf.DUMMYFUNCTION("""COMPUTED_VALUE"""),"Cotton")</f>
        <v>Cotton</v>
      </c>
      <c r="E23" s="354" t="str">
        <f>IFERROR(__xludf.DUMMYFUNCTION("""COMPUTED_VALUE"""),"-")</f>
        <v>-</v>
      </c>
      <c r="F23" s="354" t="str">
        <f>IFERROR(__xludf.DUMMYFUNCTION("""COMPUTED_VALUE"""),"-")</f>
        <v>-</v>
      </c>
      <c r="G23" s="354" t="str">
        <f>IFERROR(__xludf.DUMMYFUNCTION("""COMPUTED_VALUE"""),"-")</f>
        <v>-</v>
      </c>
      <c r="H23" s="354" t="str">
        <f>IFERROR(__xludf.DUMMYFUNCTION("""COMPUTED_VALUE"""),":")</f>
        <v>:</v>
      </c>
      <c r="I23" s="354" t="str">
        <f>IFERROR(__xludf.DUMMYFUNCTION("""COMPUTED_VALUE"""),"-")</f>
        <v>-</v>
      </c>
      <c r="J23" s="354" t="str">
        <f>IFERROR(__xludf.DUMMYFUNCTION("""COMPUTED_VALUE"""),"-")</f>
        <v>-</v>
      </c>
      <c r="K23" s="354" t="str">
        <f>IFERROR(__xludf.DUMMYFUNCTION("""COMPUTED_VALUE"""),"-")</f>
        <v>-</v>
      </c>
      <c r="L23" s="354" t="str">
        <f>IFERROR(__xludf.DUMMYFUNCTION("""COMPUTED_VALUE"""),"-")</f>
        <v>-</v>
      </c>
      <c r="M23" s="354" t="str">
        <f>IFERROR(__xludf.DUMMYFUNCTION("""COMPUTED_VALUE"""),"-")</f>
        <v>-</v>
      </c>
      <c r="N23" s="354" t="str">
        <f>IFERROR(__xludf.DUMMYFUNCTION("""COMPUTED_VALUE"""),"2")</f>
        <v>2</v>
      </c>
      <c r="O23" s="354" t="str">
        <f>IFERROR(__xludf.DUMMYFUNCTION("""COMPUTED_VALUE"""),"Soft")</f>
        <v>Soft</v>
      </c>
      <c r="Q23" s="354"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55" t="str">
        <f>IFERROR(__xludf.DUMMYFUNCTION("""COMPUTED_VALUE"""),"3 - Undamaged")</f>
        <v>3 - Undamaged</v>
      </c>
      <c r="AG23" s="354" t="str">
        <f>IFERROR(__xludf.DUMMYFUNCTION("""COMPUTED_VALUE"""),"1 - Featherlight")</f>
        <v>1 - Featherlight</v>
      </c>
    </row>
    <row r="24">
      <c r="A24" s="354" t="str">
        <f>IFERROR(__xludf.DUMMYFUNCTION("""COMPUTED_VALUE"""),"Work Boots")</f>
        <v>Work Boots</v>
      </c>
      <c r="B24" s="354" t="str">
        <f>IFERROR(__xludf.DUMMYFUNCTION("""COMPUTED_VALUE"""),"5 - Munitions")</f>
        <v>5 - Munitions</v>
      </c>
      <c r="C24" s="354" t="str">
        <f>IFERROR(__xludf.DUMMYFUNCTION("""COMPUTED_VALUE"""),"Light Armor")</f>
        <v>Light Armor</v>
      </c>
      <c r="D24" s="354" t="str">
        <f>IFERROR(__xludf.DUMMYFUNCTION("""COMPUTED_VALUE"""),"Leather")</f>
        <v>Leather</v>
      </c>
      <c r="E24" s="354" t="str">
        <f>IFERROR(__xludf.DUMMYFUNCTION("""COMPUTED_VALUE"""),"-")</f>
        <v>-</v>
      </c>
      <c r="F24" s="354" t="str">
        <f>IFERROR(__xludf.DUMMYFUNCTION("""COMPUTED_VALUE"""),"-")</f>
        <v>-</v>
      </c>
      <c r="G24" s="354" t="str">
        <f>IFERROR(__xludf.DUMMYFUNCTION("""COMPUTED_VALUE"""),"-")</f>
        <v>-</v>
      </c>
      <c r="H24" s="354" t="str">
        <f>IFERROR(__xludf.DUMMYFUNCTION("""COMPUTED_VALUE"""),":")</f>
        <v>:</v>
      </c>
      <c r="I24" s="354" t="str">
        <f>IFERROR(__xludf.DUMMYFUNCTION("""COMPUTED_VALUE"""),"-")</f>
        <v>-</v>
      </c>
      <c r="J24" s="354" t="str">
        <f>IFERROR(__xludf.DUMMYFUNCTION("""COMPUTED_VALUE"""),"-")</f>
        <v>-</v>
      </c>
      <c r="K24" s="354" t="str">
        <f>IFERROR(__xludf.DUMMYFUNCTION("""COMPUTED_VALUE"""),"-")</f>
        <v>-</v>
      </c>
      <c r="L24" s="354" t="str">
        <f>IFERROR(__xludf.DUMMYFUNCTION("""COMPUTED_VALUE"""),"-")</f>
        <v>-</v>
      </c>
      <c r="M24" s="354" t="str">
        <f>IFERROR(__xludf.DUMMYFUNCTION("""COMPUTED_VALUE"""),"-")</f>
        <v>-</v>
      </c>
      <c r="N24" s="354" t="str">
        <f>IFERROR(__xludf.DUMMYFUNCTION("""COMPUTED_VALUE"""),"9")</f>
        <v>9</v>
      </c>
      <c r="O24" s="354" t="str">
        <f>IFERROR(__xludf.DUMMYFUNCTION("""COMPUTED_VALUE"""),"Soft")</f>
        <v>Soft</v>
      </c>
      <c r="P24" s="354" t="str">
        <f>IFERROR(__xludf.DUMMYFUNCTION("""COMPUTED_VALUE"""),"R")</f>
        <v>R</v>
      </c>
      <c r="T24" s="354"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55" t="str">
        <f>IFERROR(__xludf.DUMMYFUNCTION("""COMPUTED_VALUE"""),"3 - Undamaged")</f>
        <v>3 - Undamaged</v>
      </c>
      <c r="AG24" s="354" t="str">
        <f>IFERROR(__xludf.DUMMYFUNCTION("""COMPUTED_VALUE"""),"2 - Trivial")</f>
        <v>2 - Trivial</v>
      </c>
    </row>
    <row r="25">
      <c r="A25" s="354" t="str">
        <f>IFERROR(__xludf.DUMMYFUNCTION("""COMPUTED_VALUE"""),"Work Gloves")</f>
        <v>Work Gloves</v>
      </c>
      <c r="B25" s="354" t="str">
        <f>IFERROR(__xludf.DUMMYFUNCTION("""COMPUTED_VALUE"""),"5 - Munitions")</f>
        <v>5 - Munitions</v>
      </c>
      <c r="C25" s="354" t="str">
        <f>IFERROR(__xludf.DUMMYFUNCTION("""COMPUTED_VALUE"""),"Light Armor")</f>
        <v>Light Armor</v>
      </c>
      <c r="D25" s="354" t="str">
        <f>IFERROR(__xludf.DUMMYFUNCTION("""COMPUTED_VALUE"""),"Leather")</f>
        <v>Leather</v>
      </c>
      <c r="E25" s="354" t="str">
        <f>IFERROR(__xludf.DUMMYFUNCTION("""COMPUTED_VALUE"""),"-")</f>
        <v>-</v>
      </c>
      <c r="F25" s="354" t="str">
        <f>IFERROR(__xludf.DUMMYFUNCTION("""COMPUTED_VALUE"""),"-")</f>
        <v>-</v>
      </c>
      <c r="G25" s="354" t="str">
        <f>IFERROR(__xludf.DUMMYFUNCTION("""COMPUTED_VALUE"""),"-")</f>
        <v>-</v>
      </c>
      <c r="H25" s="354" t="str">
        <f>IFERROR(__xludf.DUMMYFUNCTION("""COMPUTED_VALUE"""),":")</f>
        <v>:</v>
      </c>
      <c r="I25" s="354" t="str">
        <f>IFERROR(__xludf.DUMMYFUNCTION("""COMPUTED_VALUE"""),"-")</f>
        <v>-</v>
      </c>
      <c r="J25" s="354" t="str">
        <f>IFERROR(__xludf.DUMMYFUNCTION("""COMPUTED_VALUE"""),"-")</f>
        <v>-</v>
      </c>
      <c r="K25" s="354" t="str">
        <f>IFERROR(__xludf.DUMMYFUNCTION("""COMPUTED_VALUE"""),"-")</f>
        <v>-</v>
      </c>
      <c r="L25" s="354" t="str">
        <f>IFERROR(__xludf.DUMMYFUNCTION("""COMPUTED_VALUE"""),"-")</f>
        <v>-</v>
      </c>
      <c r="M25" s="354" t="str">
        <f>IFERROR(__xludf.DUMMYFUNCTION("""COMPUTED_VALUE"""),"-")</f>
        <v>-</v>
      </c>
      <c r="N25" s="354" t="str">
        <f>IFERROR(__xludf.DUMMYFUNCTION("""COMPUTED_VALUE"""),"9")</f>
        <v>9</v>
      </c>
      <c r="O25" s="354" t="str">
        <f>IFERROR(__xludf.DUMMYFUNCTION("""COMPUTED_VALUE"""),"Soft")</f>
        <v>Soft</v>
      </c>
      <c r="P25" s="354" t="str">
        <f>IFERROR(__xludf.DUMMYFUNCTION("""COMPUTED_VALUE"""),"R")</f>
        <v>R</v>
      </c>
      <c r="T25" s="354"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55" t="str">
        <f>IFERROR(__xludf.DUMMYFUNCTION("""COMPUTED_VALUE"""),"3 - Undamaged")</f>
        <v>3 - Undamaged</v>
      </c>
      <c r="AG25" s="354" t="str">
        <f>IFERROR(__xludf.DUMMYFUNCTION("""COMPUTED_VALUE"""),"2 - Trivial")</f>
        <v>2 - Trivial</v>
      </c>
    </row>
    <row r="26">
      <c r="A26" s="354" t="str">
        <f>IFERROR(__xludf.DUMMYFUNCTION("""COMPUTED_VALUE"""),"Tailored suit coat")</f>
        <v>Tailored suit coat</v>
      </c>
      <c r="B26" s="354" t="str">
        <f>IFERROR(__xludf.DUMMYFUNCTION("""COMPUTED_VALUE"""),"5 - Munitions")</f>
        <v>5 - Munitions</v>
      </c>
      <c r="C26" s="354" t="str">
        <f>IFERROR(__xludf.DUMMYFUNCTION("""COMPUTED_VALUE"""),"Clothing")</f>
        <v>Clothing</v>
      </c>
      <c r="D26" s="354" t="str">
        <f>IFERROR(__xludf.DUMMYFUNCTION("""COMPUTED_VALUE"""),"Wool")</f>
        <v>Wool</v>
      </c>
      <c r="H26" s="354" t="str">
        <f>IFERROR(__xludf.DUMMYFUNCTION("""COMPUTED_VALUE"""),":")</f>
        <v>:</v>
      </c>
      <c r="N26" s="354" t="str">
        <f>IFERROR(__xludf.DUMMYFUNCTION("""COMPUTED_VALUE"""),"1")</f>
        <v>1</v>
      </c>
      <c r="O26" s="354" t="str">
        <f>IFERROR(__xludf.DUMMYFUNCTION("""COMPUTED_VALUE"""),"Soft")</f>
        <v>Soft</v>
      </c>
      <c r="P26" s="354" t="str">
        <f>IFERROR(__xludf.DUMMYFUNCTION("""COMPUTED_VALUE"""),"R")</f>
        <v>R</v>
      </c>
      <c r="Q26" s="354"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55" t="str">
        <f>IFERROR(__xludf.DUMMYFUNCTION("""COMPUTED_VALUE"""),"3 - Undamaged")</f>
        <v>3 - Undamaged</v>
      </c>
      <c r="AG26" s="354" t="str">
        <f>IFERROR(__xludf.DUMMYFUNCTION("""COMPUTED_VALUE"""),"2 - Trivial")</f>
        <v>2 - Trivial</v>
      </c>
    </row>
    <row r="27">
      <c r="A27" s="354" t="str">
        <f>IFERROR(__xludf.DUMMYFUNCTION("""COMPUTED_VALUE"""),"Suit Vest")</f>
        <v>Suit Vest</v>
      </c>
      <c r="B27" s="354" t="str">
        <f>IFERROR(__xludf.DUMMYFUNCTION("""COMPUTED_VALUE"""),"5 - Munitions")</f>
        <v>5 - Munitions</v>
      </c>
      <c r="C27" s="354" t="str">
        <f>IFERROR(__xludf.DUMMYFUNCTION("""COMPUTED_VALUE"""),"Clothing")</f>
        <v>Clothing</v>
      </c>
      <c r="D27" s="354" t="str">
        <f>IFERROR(__xludf.DUMMYFUNCTION("""COMPUTED_VALUE"""),"Silk")</f>
        <v>Silk</v>
      </c>
      <c r="H27" s="354" t="str">
        <f>IFERROR(__xludf.DUMMYFUNCTION("""COMPUTED_VALUE"""),":")</f>
        <v>:</v>
      </c>
      <c r="N27" s="354" t="str">
        <f>IFERROR(__xludf.DUMMYFUNCTION("""COMPUTED_VALUE"""),"10")</f>
        <v>10</v>
      </c>
      <c r="O27" s="354" t="str">
        <f>IFERROR(__xludf.DUMMYFUNCTION("""COMPUTED_VALUE"""),"Soft")</f>
        <v>Soft</v>
      </c>
      <c r="T27" s="354"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55" t="str">
        <f>IFERROR(__xludf.DUMMYFUNCTION("""COMPUTED_VALUE"""),"3 - Undamaged")</f>
        <v>3 - Undamaged</v>
      </c>
      <c r="AG27" s="354" t="str">
        <f>IFERROR(__xludf.DUMMYFUNCTION("""COMPUTED_VALUE"""),"1 - Featherlight")</f>
        <v>1 - Featherlight</v>
      </c>
    </row>
    <row r="28">
      <c r="A28" s="354" t="str">
        <f>IFERROR(__xludf.DUMMYFUNCTION("""COMPUTED_VALUE"""),"Dress shirt")</f>
        <v>Dress shirt</v>
      </c>
      <c r="B28" s="354" t="str">
        <f>IFERROR(__xludf.DUMMYFUNCTION("""COMPUTED_VALUE"""),"5 - Munitions")</f>
        <v>5 - Munitions</v>
      </c>
      <c r="C28" s="354" t="str">
        <f>IFERROR(__xludf.DUMMYFUNCTION("""COMPUTED_VALUE"""),"Clothing")</f>
        <v>Clothing</v>
      </c>
      <c r="D28" s="354" t="str">
        <f>IFERROR(__xludf.DUMMYFUNCTION("""COMPUTED_VALUE"""),"Cotton")</f>
        <v>Cotton</v>
      </c>
      <c r="H28" s="354" t="str">
        <f>IFERROR(__xludf.DUMMYFUNCTION("""COMPUTED_VALUE"""),":")</f>
        <v>:</v>
      </c>
      <c r="N28" s="354" t="str">
        <f>IFERROR(__xludf.DUMMYFUNCTION("""COMPUTED_VALUE"""),"2")</f>
        <v>2</v>
      </c>
      <c r="O28" s="354" t="str">
        <f>IFERROR(__xludf.DUMMYFUNCTION("""COMPUTED_VALUE"""),"Soft")</f>
        <v>Soft</v>
      </c>
      <c r="Q28" s="354"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55" t="str">
        <f>IFERROR(__xludf.DUMMYFUNCTION("""COMPUTED_VALUE"""),"3 - Undamaged")</f>
        <v>3 - Undamaged</v>
      </c>
      <c r="AG28" s="354" t="str">
        <f>IFERROR(__xludf.DUMMYFUNCTION("""COMPUTED_VALUE"""),"1 - Featherlight")</f>
        <v>1 - Featherlight</v>
      </c>
    </row>
    <row r="29">
      <c r="A29" s="354" t="str">
        <f>IFERROR(__xludf.DUMMYFUNCTION("""COMPUTED_VALUE"""),"Fedora")</f>
        <v>Fedora</v>
      </c>
      <c r="B29" s="354" t="str">
        <f>IFERROR(__xludf.DUMMYFUNCTION("""COMPUTED_VALUE"""),"5 - Munitions")</f>
        <v>5 - Munitions</v>
      </c>
      <c r="C29" s="354" t="str">
        <f>IFERROR(__xludf.DUMMYFUNCTION("""COMPUTED_VALUE"""),"Clothing")</f>
        <v>Clothing</v>
      </c>
      <c r="D29" s="354" t="str">
        <f>IFERROR(__xludf.DUMMYFUNCTION("""COMPUTED_VALUE"""),"Wool")</f>
        <v>Wool</v>
      </c>
      <c r="H29" s="354" t="str">
        <f>IFERROR(__xludf.DUMMYFUNCTION("""COMPUTED_VALUE"""),":")</f>
        <v>:</v>
      </c>
      <c r="N29" s="354" t="str">
        <f>IFERROR(__xludf.DUMMYFUNCTION("""COMPUTED_VALUE"""),"1")</f>
        <v>1</v>
      </c>
      <c r="O29" s="354" t="str">
        <f>IFERROR(__xludf.DUMMYFUNCTION("""COMPUTED_VALUE"""),"Soft")</f>
        <v>Soft</v>
      </c>
      <c r="P29" s="354" t="str">
        <f>IFERROR(__xludf.DUMMYFUNCTION("""COMPUTED_VALUE"""),"R")</f>
        <v>R</v>
      </c>
      <c r="Q29" s="354"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55" t="str">
        <f>IFERROR(__xludf.DUMMYFUNCTION("""COMPUTED_VALUE"""),"4- Indestructible")</f>
        <v>4- Indestructible</v>
      </c>
      <c r="AG29" s="354"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1" t="str">
        <f>IFERROR(__xludf.DUMMYFUNCTION("IFERROR(FILTER(Inventory!C4:C37,Inventory!E4:E37=""Clothing""),"""")"),"Robes of the Magna")</f>
        <v>Robes of the Magna</v>
      </c>
      <c r="B1" s="301" t="str">
        <f>IFERROR(__xludf.DUMMYFUNCTION("IFERROR(FILTER(Inventory!C4:C37,(Inventory!E4:E37=""Light Armor"")+(Inventory!E4:E37=""Clothing"")),"""")"),"Robes of the Magna")</f>
        <v>Robes of the Magna</v>
      </c>
      <c r="C1" t="str">
        <f>IFERROR(__xludf.DUMMYFUNCTION("IFERROR(FILTER(Inventory!C4:C37,(Inventory!E4:E37=""Light Armor"")+(Inventory!E4:E37=""Clothing"")+(Inventory!E4:E37=""Heavy Armor"")),"""")"),"Robes of the Magna")</f>
        <v>Robes of the Magna</v>
      </c>
      <c r="D1" s="301" t="str">
        <f t="shared" ref="D1:D148" si="1">IF(ISNA(VLOOKUP(A1,N:N,1,FALSE)), A1, "")</f>
        <v/>
      </c>
      <c r="E1" t="str">
        <f t="shared" ref="E1:E148" si="2">IF(ISNA(VLOOKUP(B1,N:N,1,FALSE)), B1, "")</f>
        <v/>
      </c>
      <c r="F1" t="str">
        <f t="shared" ref="F1:F148" si="3">IF(ISNA(VLOOKUP(C1,N:N,1,FALSE)), C1, "")</f>
        <v/>
      </c>
      <c r="N1" t="str">
        <f t="array" ref="N1:T30">{Vitals!O22:U31;Vitals!AI22:AO31;Vitals!BC22:BI31}</f>
        <v>Robes of the Magna</v>
      </c>
    </row>
    <row r="2">
      <c r="A2" t="str">
        <f>IFERROR(__xludf.DUMMYFUNCTION("""COMPUTED_VALUE"""),"Mask of the Magna")</f>
        <v>Mask of the Magna</v>
      </c>
      <c r="B2" t="str">
        <f>IFERROR(__xludf.DUMMYFUNCTION("""COMPUTED_VALUE"""),"Mask of the Magna")</f>
        <v>Mask of the Magna</v>
      </c>
      <c r="C2" t="str">
        <f>IFERROR(__xludf.DUMMYFUNCTION("""COMPUTED_VALUE"""),"Mask of the Magna")</f>
        <v>Mask of the Magna</v>
      </c>
      <c r="D2" s="301" t="str">
        <f t="shared" si="1"/>
        <v/>
      </c>
      <c r="E2" t="str">
        <f t="shared" si="2"/>
        <v/>
      </c>
      <c r="F2" t="str">
        <f t="shared" si="3"/>
        <v/>
      </c>
      <c r="N2" t="s">
        <v>246</v>
      </c>
    </row>
    <row r="3">
      <c r="A3" t="str">
        <f>IFERROR(__xludf.DUMMYFUNCTION("""COMPUTED_VALUE"""),"Leather Boot (L)")</f>
        <v>Leather Boot (L)</v>
      </c>
      <c r="B3" t="str">
        <f>IFERROR(__xludf.DUMMYFUNCTION("""COMPUTED_VALUE"""),"Leather Boot (L)")</f>
        <v>Leather Boot (L)</v>
      </c>
      <c r="C3" t="str">
        <f>IFERROR(__xludf.DUMMYFUNCTION("""COMPUTED_VALUE"""),"Leather Boot (L)")</f>
        <v>Leather Boot (L)</v>
      </c>
      <c r="D3" s="301" t="str">
        <f t="shared" si="1"/>
        <v/>
      </c>
      <c r="E3" t="str">
        <f t="shared" si="2"/>
        <v/>
      </c>
      <c r="F3" t="str">
        <f t="shared" si="3"/>
        <v/>
      </c>
      <c r="N3" t="s">
        <v>238</v>
      </c>
    </row>
    <row r="4">
      <c r="A4" t="str">
        <f>IFERROR(__xludf.DUMMYFUNCTION("""COMPUTED_VALUE"""),"Leather Boot (R)")</f>
        <v>Leather Boot (R)</v>
      </c>
      <c r="B4" t="str">
        <f>IFERROR(__xludf.DUMMYFUNCTION("""COMPUTED_VALUE"""),"Leather Boot (R)")</f>
        <v>Leather Boot (R)</v>
      </c>
      <c r="C4" t="str">
        <f>IFERROR(__xludf.DUMMYFUNCTION("""COMPUTED_VALUE"""),"Leather Boot (R)")</f>
        <v>Leather Boot (R)</v>
      </c>
      <c r="D4" s="301" t="str">
        <f t="shared" si="1"/>
        <v/>
      </c>
      <c r="E4" t="str">
        <f t="shared" si="2"/>
        <v/>
      </c>
      <c r="F4" t="str">
        <f t="shared" si="3"/>
        <v/>
      </c>
      <c r="N4" t="s">
        <v>220</v>
      </c>
    </row>
    <row r="5">
      <c r="A5" t="str">
        <f>IFERROR(__xludf.DUMMYFUNCTION("""COMPUTED_VALUE"""),"P.R.A.")</f>
        <v>P.R.A.</v>
      </c>
      <c r="B5" t="str">
        <f>IFERROR(__xludf.DUMMYFUNCTION("""COMPUTED_VALUE"""),"Flak Vest")</f>
        <v>Flak Vest</v>
      </c>
      <c r="C5" t="str">
        <f>IFERROR(__xludf.DUMMYFUNCTION("""COMPUTED_VALUE"""),"Energy Shield")</f>
        <v>Energy Shield</v>
      </c>
      <c r="D5" s="301" t="str">
        <f t="shared" si="1"/>
        <v>P.R.A.</v>
      </c>
      <c r="E5" t="str">
        <f t="shared" si="2"/>
        <v/>
      </c>
      <c r="F5" t="str">
        <f t="shared" si="3"/>
        <v/>
      </c>
    </row>
    <row r="6">
      <c r="B6" t="str">
        <f>IFERROR(__xludf.DUMMYFUNCTION("""COMPUTED_VALUE"""),"P.R.A.")</f>
        <v>P.R.A.</v>
      </c>
      <c r="C6" t="str">
        <f>IFERROR(__xludf.DUMMYFUNCTION("""COMPUTED_VALUE"""),"Flak Vest")</f>
        <v>Flak Vest</v>
      </c>
      <c r="D6" s="301" t="str">
        <f t="shared" si="1"/>
        <v/>
      </c>
      <c r="E6" t="str">
        <f t="shared" si="2"/>
        <v>P.R.A.</v>
      </c>
      <c r="F6" t="str">
        <f t="shared" si="3"/>
        <v/>
      </c>
    </row>
    <row r="7">
      <c r="C7" t="str">
        <f>IFERROR(__xludf.DUMMYFUNCTION("""COMPUTED_VALUE"""),"P.R.A.")</f>
        <v>P.R.A.</v>
      </c>
      <c r="D7" s="301" t="str">
        <f t="shared" si="1"/>
        <v/>
      </c>
      <c r="E7" t="str">
        <f t="shared" si="2"/>
        <v/>
      </c>
      <c r="F7" t="str">
        <f t="shared" si="3"/>
        <v>P.R.A.</v>
      </c>
    </row>
    <row r="8">
      <c r="D8" s="301" t="str">
        <f t="shared" si="1"/>
        <v/>
      </c>
      <c r="E8" t="str">
        <f t="shared" si="2"/>
        <v/>
      </c>
      <c r="F8" t="str">
        <f t="shared" si="3"/>
        <v/>
      </c>
    </row>
    <row r="9">
      <c r="D9" s="301" t="str">
        <f t="shared" si="1"/>
        <v/>
      </c>
      <c r="E9" t="str">
        <f t="shared" si="2"/>
        <v/>
      </c>
      <c r="F9" t="str">
        <f t="shared" si="3"/>
        <v/>
      </c>
    </row>
    <row r="10">
      <c r="D10" s="301" t="str">
        <f t="shared" si="1"/>
        <v/>
      </c>
      <c r="E10" t="str">
        <f t="shared" si="2"/>
        <v/>
      </c>
      <c r="F10" t="str">
        <f t="shared" si="3"/>
        <v/>
      </c>
    </row>
    <row r="11">
      <c r="D11" s="301" t="str">
        <f t="shared" si="1"/>
        <v/>
      </c>
      <c r="E11" t="str">
        <f t="shared" si="2"/>
        <v/>
      </c>
      <c r="F11" t="str">
        <f t="shared" si="3"/>
        <v/>
      </c>
      <c r="N11" t="s">
        <v>262</v>
      </c>
    </row>
    <row r="12">
      <c r="D12" s="301" t="str">
        <f t="shared" si="1"/>
        <v/>
      </c>
      <c r="E12" t="str">
        <f t="shared" si="2"/>
        <v/>
      </c>
      <c r="F12" t="str">
        <f t="shared" si="3"/>
        <v/>
      </c>
    </row>
    <row r="13">
      <c r="D13" s="301" t="str">
        <f t="shared" si="1"/>
        <v/>
      </c>
      <c r="E13" t="str">
        <f t="shared" si="2"/>
        <v/>
      </c>
      <c r="F13" t="str">
        <f t="shared" si="3"/>
        <v/>
      </c>
    </row>
    <row r="14">
      <c r="D14" s="301" t="str">
        <f t="shared" si="1"/>
        <v/>
      </c>
      <c r="E14" t="str">
        <f t="shared" si="2"/>
        <v/>
      </c>
      <c r="F14" t="str">
        <f t="shared" si="3"/>
        <v/>
      </c>
    </row>
    <row r="15">
      <c r="D15" s="301" t="str">
        <f t="shared" si="1"/>
        <v/>
      </c>
      <c r="E15" t="str">
        <f t="shared" si="2"/>
        <v/>
      </c>
      <c r="F15" t="str">
        <f t="shared" si="3"/>
        <v/>
      </c>
    </row>
    <row r="16">
      <c r="D16" s="301" t="str">
        <f t="shared" si="1"/>
        <v/>
      </c>
      <c r="E16" t="str">
        <f t="shared" si="2"/>
        <v/>
      </c>
      <c r="F16" t="str">
        <f t="shared" si="3"/>
        <v/>
      </c>
    </row>
    <row r="17">
      <c r="D17" s="301" t="str">
        <f t="shared" si="1"/>
        <v/>
      </c>
      <c r="E17" t="str">
        <f t="shared" si="2"/>
        <v/>
      </c>
      <c r="F17" t="str">
        <f t="shared" si="3"/>
        <v/>
      </c>
    </row>
    <row r="18">
      <c r="D18" s="301" t="str">
        <f t="shared" si="1"/>
        <v/>
      </c>
      <c r="E18" t="str">
        <f t="shared" si="2"/>
        <v/>
      </c>
      <c r="F18" t="str">
        <f t="shared" si="3"/>
        <v/>
      </c>
    </row>
    <row r="19">
      <c r="D19" s="301" t="str">
        <f t="shared" si="1"/>
        <v/>
      </c>
      <c r="E19" t="str">
        <f t="shared" si="2"/>
        <v/>
      </c>
      <c r="F19" t="str">
        <f t="shared" si="3"/>
        <v/>
      </c>
    </row>
    <row r="20">
      <c r="D20" s="301" t="str">
        <f t="shared" si="1"/>
        <v/>
      </c>
      <c r="E20" t="str">
        <f t="shared" si="2"/>
        <v/>
      </c>
      <c r="F20" t="str">
        <f t="shared" si="3"/>
        <v/>
      </c>
    </row>
    <row r="21">
      <c r="D21" s="301" t="str">
        <f t="shared" si="1"/>
        <v/>
      </c>
      <c r="E21" t="str">
        <f t="shared" si="2"/>
        <v/>
      </c>
      <c r="F21" t="str">
        <f t="shared" si="3"/>
        <v/>
      </c>
      <c r="N21" t="s">
        <v>247</v>
      </c>
    </row>
    <row r="22">
      <c r="D22" s="301" t="str">
        <f t="shared" si="1"/>
        <v/>
      </c>
      <c r="E22" t="str">
        <f t="shared" si="2"/>
        <v/>
      </c>
      <c r="F22" t="str">
        <f t="shared" si="3"/>
        <v/>
      </c>
    </row>
    <row r="23">
      <c r="D23" s="301" t="str">
        <f t="shared" si="1"/>
        <v/>
      </c>
      <c r="E23" t="str">
        <f t="shared" si="2"/>
        <v/>
      </c>
      <c r="F23" t="str">
        <f t="shared" si="3"/>
        <v/>
      </c>
    </row>
    <row r="24">
      <c r="D24" s="301" t="str">
        <f t="shared" si="1"/>
        <v/>
      </c>
      <c r="E24" t="str">
        <f t="shared" si="2"/>
        <v/>
      </c>
      <c r="F24" t="str">
        <f t="shared" si="3"/>
        <v/>
      </c>
    </row>
    <row r="25">
      <c r="D25" s="301" t="str">
        <f t="shared" si="1"/>
        <v/>
      </c>
      <c r="E25" t="str">
        <f t="shared" si="2"/>
        <v/>
      </c>
      <c r="F25" t="str">
        <f t="shared" si="3"/>
        <v/>
      </c>
    </row>
    <row r="26">
      <c r="D26" s="301" t="str">
        <f t="shared" si="1"/>
        <v/>
      </c>
      <c r="E26" t="str">
        <f t="shared" si="2"/>
        <v/>
      </c>
      <c r="F26" t="str">
        <f t="shared" si="3"/>
        <v/>
      </c>
    </row>
    <row r="27">
      <c r="D27" s="301" t="str">
        <f t="shared" si="1"/>
        <v/>
      </c>
      <c r="E27" t="str">
        <f t="shared" si="2"/>
        <v/>
      </c>
      <c r="F27" t="str">
        <f t="shared" si="3"/>
        <v/>
      </c>
    </row>
    <row r="28">
      <c r="D28" s="301" t="str">
        <f t="shared" si="1"/>
        <v/>
      </c>
      <c r="E28" t="str">
        <f t="shared" si="2"/>
        <v/>
      </c>
      <c r="F28" t="str">
        <f t="shared" si="3"/>
        <v/>
      </c>
    </row>
    <row r="29">
      <c r="D29" s="301" t="str">
        <f t="shared" si="1"/>
        <v/>
      </c>
      <c r="E29" t="str">
        <f t="shared" si="2"/>
        <v/>
      </c>
      <c r="F29" t="str">
        <f t="shared" si="3"/>
        <v/>
      </c>
    </row>
    <row r="30">
      <c r="D30" s="301" t="str">
        <f t="shared" si="1"/>
        <v/>
      </c>
      <c r="E30" t="str">
        <f t="shared" si="2"/>
        <v/>
      </c>
      <c r="F30" t="str">
        <f t="shared" si="3"/>
        <v/>
      </c>
    </row>
    <row r="31">
      <c r="D31" s="301" t="str">
        <f t="shared" si="1"/>
        <v/>
      </c>
      <c r="E31" t="str">
        <f t="shared" si="2"/>
        <v/>
      </c>
      <c r="F31" t="str">
        <f t="shared" si="3"/>
        <v/>
      </c>
    </row>
    <row r="32">
      <c r="D32" s="301" t="str">
        <f t="shared" si="1"/>
        <v/>
      </c>
      <c r="E32" t="str">
        <f t="shared" si="2"/>
        <v/>
      </c>
      <c r="F32" t="str">
        <f t="shared" si="3"/>
        <v/>
      </c>
    </row>
    <row r="33">
      <c r="D33" s="301" t="str">
        <f t="shared" si="1"/>
        <v/>
      </c>
      <c r="E33" t="str">
        <f t="shared" si="2"/>
        <v/>
      </c>
      <c r="F33" t="str">
        <f t="shared" si="3"/>
        <v/>
      </c>
    </row>
    <row r="34">
      <c r="D34" s="301" t="str">
        <f t="shared" si="1"/>
        <v/>
      </c>
      <c r="E34" t="str">
        <f t="shared" si="2"/>
        <v/>
      </c>
      <c r="F34" t="str">
        <f t="shared" si="3"/>
        <v/>
      </c>
    </row>
    <row r="35">
      <c r="D35" s="301" t="str">
        <f t="shared" si="1"/>
        <v/>
      </c>
      <c r="E35" t="str">
        <f t="shared" si="2"/>
        <v/>
      </c>
      <c r="F35" t="str">
        <f t="shared" si="3"/>
        <v/>
      </c>
    </row>
    <row r="36">
      <c r="D36" s="301" t="str">
        <f t="shared" si="1"/>
        <v/>
      </c>
      <c r="E36" t="str">
        <f t="shared" si="2"/>
        <v/>
      </c>
      <c r="F36" t="str">
        <f t="shared" si="3"/>
        <v/>
      </c>
    </row>
    <row r="37">
      <c r="D37" s="301" t="str">
        <f t="shared" si="1"/>
        <v/>
      </c>
      <c r="E37" t="str">
        <f t="shared" si="2"/>
        <v/>
      </c>
      <c r="F37" t="str">
        <f t="shared" si="3"/>
        <v/>
      </c>
    </row>
    <row r="38">
      <c r="D38" s="301" t="str">
        <f t="shared" si="1"/>
        <v/>
      </c>
      <c r="E38" t="str">
        <f t="shared" si="2"/>
        <v/>
      </c>
      <c r="F38" t="str">
        <f t="shared" si="3"/>
        <v/>
      </c>
    </row>
    <row r="39">
      <c r="D39" s="301" t="str">
        <f t="shared" si="1"/>
        <v/>
      </c>
      <c r="E39" t="str">
        <f t="shared" si="2"/>
        <v/>
      </c>
      <c r="F39" t="str">
        <f t="shared" si="3"/>
        <v/>
      </c>
    </row>
    <row r="40">
      <c r="D40" s="301" t="str">
        <f t="shared" si="1"/>
        <v/>
      </c>
      <c r="E40" t="str">
        <f t="shared" si="2"/>
        <v/>
      </c>
      <c r="F40" t="str">
        <f t="shared" si="3"/>
        <v/>
      </c>
    </row>
    <row r="41">
      <c r="D41" s="301" t="str">
        <f t="shared" si="1"/>
        <v/>
      </c>
      <c r="E41" t="str">
        <f t="shared" si="2"/>
        <v/>
      </c>
      <c r="F41" t="str">
        <f t="shared" si="3"/>
        <v/>
      </c>
    </row>
    <row r="42">
      <c r="D42" s="301" t="str">
        <f t="shared" si="1"/>
        <v/>
      </c>
      <c r="E42" t="str">
        <f t="shared" si="2"/>
        <v/>
      </c>
      <c r="F42" t="str">
        <f t="shared" si="3"/>
        <v/>
      </c>
    </row>
    <row r="43">
      <c r="D43" s="301" t="str">
        <f t="shared" si="1"/>
        <v/>
      </c>
      <c r="E43" t="str">
        <f t="shared" si="2"/>
        <v/>
      </c>
      <c r="F43" t="str">
        <f t="shared" si="3"/>
        <v/>
      </c>
    </row>
    <row r="44">
      <c r="D44" s="301" t="str">
        <f t="shared" si="1"/>
        <v/>
      </c>
      <c r="E44" t="str">
        <f t="shared" si="2"/>
        <v/>
      </c>
      <c r="F44" t="str">
        <f t="shared" si="3"/>
        <v/>
      </c>
    </row>
    <row r="45">
      <c r="D45" s="301" t="str">
        <f t="shared" si="1"/>
        <v/>
      </c>
      <c r="E45" t="str">
        <f t="shared" si="2"/>
        <v/>
      </c>
      <c r="F45" t="str">
        <f t="shared" si="3"/>
        <v/>
      </c>
    </row>
    <row r="46">
      <c r="D46" s="301" t="str">
        <f t="shared" si="1"/>
        <v/>
      </c>
      <c r="E46" t="str">
        <f t="shared" si="2"/>
        <v/>
      </c>
      <c r="F46" t="str">
        <f t="shared" si="3"/>
        <v/>
      </c>
    </row>
    <row r="47">
      <c r="D47" s="301" t="str">
        <f t="shared" si="1"/>
        <v/>
      </c>
      <c r="E47" t="str">
        <f t="shared" si="2"/>
        <v/>
      </c>
      <c r="F47" t="str">
        <f t="shared" si="3"/>
        <v/>
      </c>
    </row>
    <row r="48">
      <c r="D48" s="301" t="str">
        <f t="shared" si="1"/>
        <v/>
      </c>
      <c r="E48" t="str">
        <f t="shared" si="2"/>
        <v/>
      </c>
      <c r="F48" t="str">
        <f t="shared" si="3"/>
        <v/>
      </c>
    </row>
    <row r="49">
      <c r="D49" s="301" t="str">
        <f t="shared" si="1"/>
        <v/>
      </c>
      <c r="E49" t="str">
        <f t="shared" si="2"/>
        <v/>
      </c>
      <c r="F49" t="str">
        <f t="shared" si="3"/>
        <v/>
      </c>
    </row>
    <row r="50">
      <c r="D50" s="301" t="str">
        <f t="shared" si="1"/>
        <v/>
      </c>
      <c r="E50" t="str">
        <f t="shared" si="2"/>
        <v/>
      </c>
      <c r="F50" t="str">
        <f t="shared" si="3"/>
        <v/>
      </c>
    </row>
    <row r="51">
      <c r="D51" s="301" t="str">
        <f t="shared" si="1"/>
        <v/>
      </c>
      <c r="E51" t="str">
        <f t="shared" si="2"/>
        <v/>
      </c>
      <c r="F51" t="str">
        <f t="shared" si="3"/>
        <v/>
      </c>
    </row>
    <row r="52">
      <c r="D52" s="301" t="str">
        <f t="shared" si="1"/>
        <v/>
      </c>
      <c r="E52" t="str">
        <f t="shared" si="2"/>
        <v/>
      </c>
      <c r="F52" t="str">
        <f t="shared" si="3"/>
        <v/>
      </c>
    </row>
    <row r="53">
      <c r="D53" s="301" t="str">
        <f t="shared" si="1"/>
        <v/>
      </c>
      <c r="E53" t="str">
        <f t="shared" si="2"/>
        <v/>
      </c>
      <c r="F53" t="str">
        <f t="shared" si="3"/>
        <v/>
      </c>
    </row>
    <row r="54">
      <c r="D54" s="301" t="str">
        <f t="shared" si="1"/>
        <v/>
      </c>
      <c r="E54" t="str">
        <f t="shared" si="2"/>
        <v/>
      </c>
      <c r="F54" t="str">
        <f t="shared" si="3"/>
        <v/>
      </c>
    </row>
    <row r="55">
      <c r="D55" s="301" t="str">
        <f t="shared" si="1"/>
        <v/>
      </c>
      <c r="E55" t="str">
        <f t="shared" si="2"/>
        <v/>
      </c>
      <c r="F55" t="str">
        <f t="shared" si="3"/>
        <v/>
      </c>
    </row>
    <row r="56">
      <c r="D56" s="301" t="str">
        <f t="shared" si="1"/>
        <v/>
      </c>
      <c r="E56" t="str">
        <f t="shared" si="2"/>
        <v/>
      </c>
      <c r="F56" t="str">
        <f t="shared" si="3"/>
        <v/>
      </c>
    </row>
    <row r="57">
      <c r="D57" s="301" t="str">
        <f t="shared" si="1"/>
        <v/>
      </c>
      <c r="E57" t="str">
        <f t="shared" si="2"/>
        <v/>
      </c>
      <c r="F57" t="str">
        <f t="shared" si="3"/>
        <v/>
      </c>
    </row>
    <row r="58">
      <c r="D58" s="301" t="str">
        <f t="shared" si="1"/>
        <v/>
      </c>
      <c r="E58" t="str">
        <f t="shared" si="2"/>
        <v/>
      </c>
      <c r="F58" t="str">
        <f t="shared" si="3"/>
        <v/>
      </c>
    </row>
    <row r="59">
      <c r="D59" s="301" t="str">
        <f t="shared" si="1"/>
        <v/>
      </c>
      <c r="E59" t="str">
        <f t="shared" si="2"/>
        <v/>
      </c>
      <c r="F59" t="str">
        <f t="shared" si="3"/>
        <v/>
      </c>
    </row>
    <row r="60">
      <c r="D60" s="301" t="str">
        <f t="shared" si="1"/>
        <v/>
      </c>
      <c r="E60" t="str">
        <f t="shared" si="2"/>
        <v/>
      </c>
      <c r="F60" t="str">
        <f t="shared" si="3"/>
        <v/>
      </c>
    </row>
    <row r="61">
      <c r="D61" s="301" t="str">
        <f t="shared" si="1"/>
        <v/>
      </c>
      <c r="E61" t="str">
        <f t="shared" si="2"/>
        <v/>
      </c>
      <c r="F61" t="str">
        <f t="shared" si="3"/>
        <v/>
      </c>
    </row>
    <row r="62">
      <c r="D62" s="301" t="str">
        <f t="shared" si="1"/>
        <v/>
      </c>
      <c r="E62" t="str">
        <f t="shared" si="2"/>
        <v/>
      </c>
      <c r="F62" t="str">
        <f t="shared" si="3"/>
        <v/>
      </c>
    </row>
    <row r="63">
      <c r="D63" s="301" t="str">
        <f t="shared" si="1"/>
        <v/>
      </c>
      <c r="E63" t="str">
        <f t="shared" si="2"/>
        <v/>
      </c>
      <c r="F63" t="str">
        <f t="shared" si="3"/>
        <v/>
      </c>
    </row>
    <row r="64">
      <c r="D64" s="301" t="str">
        <f t="shared" si="1"/>
        <v/>
      </c>
      <c r="E64" t="str">
        <f t="shared" si="2"/>
        <v/>
      </c>
      <c r="F64" t="str">
        <f t="shared" si="3"/>
        <v/>
      </c>
    </row>
    <row r="65">
      <c r="D65" s="301" t="str">
        <f t="shared" si="1"/>
        <v/>
      </c>
      <c r="E65" t="str">
        <f t="shared" si="2"/>
        <v/>
      </c>
      <c r="F65" t="str">
        <f t="shared" si="3"/>
        <v/>
      </c>
    </row>
    <row r="66">
      <c r="D66" s="301" t="str">
        <f t="shared" si="1"/>
        <v/>
      </c>
      <c r="E66" t="str">
        <f t="shared" si="2"/>
        <v/>
      </c>
      <c r="F66" t="str">
        <f t="shared" si="3"/>
        <v/>
      </c>
    </row>
    <row r="67">
      <c r="D67" s="301" t="str">
        <f t="shared" si="1"/>
        <v/>
      </c>
      <c r="E67" t="str">
        <f t="shared" si="2"/>
        <v/>
      </c>
      <c r="F67" t="str">
        <f t="shared" si="3"/>
        <v/>
      </c>
    </row>
    <row r="68">
      <c r="D68" s="301" t="str">
        <f t="shared" si="1"/>
        <v/>
      </c>
      <c r="E68" t="str">
        <f t="shared" si="2"/>
        <v/>
      </c>
      <c r="F68" t="str">
        <f t="shared" si="3"/>
        <v/>
      </c>
    </row>
    <row r="69">
      <c r="D69" s="301" t="str">
        <f t="shared" si="1"/>
        <v/>
      </c>
      <c r="E69" t="str">
        <f t="shared" si="2"/>
        <v/>
      </c>
      <c r="F69" t="str">
        <f t="shared" si="3"/>
        <v/>
      </c>
    </row>
    <row r="70">
      <c r="D70" s="301" t="str">
        <f t="shared" si="1"/>
        <v/>
      </c>
      <c r="E70" t="str">
        <f t="shared" si="2"/>
        <v/>
      </c>
      <c r="F70" t="str">
        <f t="shared" si="3"/>
        <v/>
      </c>
    </row>
    <row r="71">
      <c r="D71" s="301" t="str">
        <f t="shared" si="1"/>
        <v/>
      </c>
      <c r="E71" t="str">
        <f t="shared" si="2"/>
        <v/>
      </c>
      <c r="F71" t="str">
        <f t="shared" si="3"/>
        <v/>
      </c>
    </row>
    <row r="72">
      <c r="D72" s="301" t="str">
        <f t="shared" si="1"/>
        <v/>
      </c>
      <c r="E72" t="str">
        <f t="shared" si="2"/>
        <v/>
      </c>
      <c r="F72" t="str">
        <f t="shared" si="3"/>
        <v/>
      </c>
    </row>
    <row r="73">
      <c r="D73" s="301" t="str">
        <f t="shared" si="1"/>
        <v/>
      </c>
      <c r="E73" t="str">
        <f t="shared" si="2"/>
        <v/>
      </c>
      <c r="F73" t="str">
        <f t="shared" si="3"/>
        <v/>
      </c>
    </row>
    <row r="74">
      <c r="D74" s="301" t="str">
        <f t="shared" si="1"/>
        <v/>
      </c>
      <c r="E74" t="str">
        <f t="shared" si="2"/>
        <v/>
      </c>
      <c r="F74" t="str">
        <f t="shared" si="3"/>
        <v/>
      </c>
    </row>
    <row r="75">
      <c r="D75" s="301" t="str">
        <f t="shared" si="1"/>
        <v/>
      </c>
      <c r="E75" t="str">
        <f t="shared" si="2"/>
        <v/>
      </c>
      <c r="F75" t="str">
        <f t="shared" si="3"/>
        <v/>
      </c>
    </row>
    <row r="76">
      <c r="D76" s="301" t="str">
        <f t="shared" si="1"/>
        <v/>
      </c>
      <c r="E76" t="str">
        <f t="shared" si="2"/>
        <v/>
      </c>
      <c r="F76" t="str">
        <f t="shared" si="3"/>
        <v/>
      </c>
    </row>
    <row r="77">
      <c r="D77" s="301" t="str">
        <f t="shared" si="1"/>
        <v/>
      </c>
      <c r="E77" t="str">
        <f t="shared" si="2"/>
        <v/>
      </c>
      <c r="F77" t="str">
        <f t="shared" si="3"/>
        <v/>
      </c>
    </row>
    <row r="78">
      <c r="D78" s="301" t="str">
        <f t="shared" si="1"/>
        <v/>
      </c>
      <c r="E78" t="str">
        <f t="shared" si="2"/>
        <v/>
      </c>
      <c r="F78" t="str">
        <f t="shared" si="3"/>
        <v/>
      </c>
    </row>
    <row r="79">
      <c r="D79" s="301" t="str">
        <f t="shared" si="1"/>
        <v/>
      </c>
      <c r="E79" t="str">
        <f t="shared" si="2"/>
        <v/>
      </c>
      <c r="F79" t="str">
        <f t="shared" si="3"/>
        <v/>
      </c>
    </row>
    <row r="80">
      <c r="D80" s="301" t="str">
        <f t="shared" si="1"/>
        <v/>
      </c>
      <c r="E80" t="str">
        <f t="shared" si="2"/>
        <v/>
      </c>
      <c r="F80" t="str">
        <f t="shared" si="3"/>
        <v/>
      </c>
    </row>
    <row r="81">
      <c r="D81" s="301" t="str">
        <f t="shared" si="1"/>
        <v/>
      </c>
      <c r="E81" t="str">
        <f t="shared" si="2"/>
        <v/>
      </c>
      <c r="F81" t="str">
        <f t="shared" si="3"/>
        <v/>
      </c>
    </row>
    <row r="82">
      <c r="D82" s="301" t="str">
        <f t="shared" si="1"/>
        <v/>
      </c>
      <c r="E82" t="str">
        <f t="shared" si="2"/>
        <v/>
      </c>
      <c r="F82" t="str">
        <f t="shared" si="3"/>
        <v/>
      </c>
    </row>
    <row r="83">
      <c r="D83" s="301" t="str">
        <f t="shared" si="1"/>
        <v/>
      </c>
      <c r="E83" t="str">
        <f t="shared" si="2"/>
        <v/>
      </c>
      <c r="F83" t="str">
        <f t="shared" si="3"/>
        <v/>
      </c>
    </row>
    <row r="84">
      <c r="D84" s="301" t="str">
        <f t="shared" si="1"/>
        <v/>
      </c>
      <c r="E84" t="str">
        <f t="shared" si="2"/>
        <v/>
      </c>
      <c r="F84" t="str">
        <f t="shared" si="3"/>
        <v/>
      </c>
    </row>
    <row r="85">
      <c r="D85" s="301" t="str">
        <f t="shared" si="1"/>
        <v/>
      </c>
      <c r="E85" t="str">
        <f t="shared" si="2"/>
        <v/>
      </c>
      <c r="F85" t="str">
        <f t="shared" si="3"/>
        <v/>
      </c>
    </row>
    <row r="86">
      <c r="D86" s="301" t="str">
        <f t="shared" si="1"/>
        <v/>
      </c>
      <c r="E86" t="str">
        <f t="shared" si="2"/>
        <v/>
      </c>
      <c r="F86" t="str">
        <f t="shared" si="3"/>
        <v/>
      </c>
    </row>
    <row r="87">
      <c r="D87" s="301" t="str">
        <f t="shared" si="1"/>
        <v/>
      </c>
      <c r="E87" t="str">
        <f t="shared" si="2"/>
        <v/>
      </c>
      <c r="F87" t="str">
        <f t="shared" si="3"/>
        <v/>
      </c>
    </row>
    <row r="88">
      <c r="D88" s="301" t="str">
        <f t="shared" si="1"/>
        <v/>
      </c>
      <c r="E88" t="str">
        <f t="shared" si="2"/>
        <v/>
      </c>
      <c r="F88" t="str">
        <f t="shared" si="3"/>
        <v/>
      </c>
    </row>
    <row r="89">
      <c r="D89" s="301" t="str">
        <f t="shared" si="1"/>
        <v/>
      </c>
      <c r="E89" t="str">
        <f t="shared" si="2"/>
        <v/>
      </c>
      <c r="F89" t="str">
        <f t="shared" si="3"/>
        <v/>
      </c>
    </row>
    <row r="90">
      <c r="D90" s="301" t="str">
        <f t="shared" si="1"/>
        <v/>
      </c>
      <c r="E90" t="str">
        <f t="shared" si="2"/>
        <v/>
      </c>
      <c r="F90" t="str">
        <f t="shared" si="3"/>
        <v/>
      </c>
    </row>
    <row r="91">
      <c r="D91" s="301" t="str">
        <f t="shared" si="1"/>
        <v/>
      </c>
      <c r="E91" t="str">
        <f t="shared" si="2"/>
        <v/>
      </c>
      <c r="F91" t="str">
        <f t="shared" si="3"/>
        <v/>
      </c>
    </row>
    <row r="92">
      <c r="D92" s="301" t="str">
        <f t="shared" si="1"/>
        <v/>
      </c>
      <c r="E92" t="str">
        <f t="shared" si="2"/>
        <v/>
      </c>
      <c r="F92" t="str">
        <f t="shared" si="3"/>
        <v/>
      </c>
    </row>
    <row r="93">
      <c r="D93" s="301" t="str">
        <f t="shared" si="1"/>
        <v/>
      </c>
      <c r="E93" t="str">
        <f t="shared" si="2"/>
        <v/>
      </c>
      <c r="F93" t="str">
        <f t="shared" si="3"/>
        <v/>
      </c>
    </row>
    <row r="94">
      <c r="D94" s="301" t="str">
        <f t="shared" si="1"/>
        <v/>
      </c>
      <c r="E94" t="str">
        <f t="shared" si="2"/>
        <v/>
      </c>
      <c r="F94" t="str">
        <f t="shared" si="3"/>
        <v/>
      </c>
    </row>
    <row r="95">
      <c r="D95" s="301" t="str">
        <f t="shared" si="1"/>
        <v/>
      </c>
      <c r="E95" t="str">
        <f t="shared" si="2"/>
        <v/>
      </c>
      <c r="F95" t="str">
        <f t="shared" si="3"/>
        <v/>
      </c>
    </row>
    <row r="96">
      <c r="D96" s="301" t="str">
        <f t="shared" si="1"/>
        <v/>
      </c>
      <c r="E96" t="str">
        <f t="shared" si="2"/>
        <v/>
      </c>
      <c r="F96" t="str">
        <f t="shared" si="3"/>
        <v/>
      </c>
    </row>
    <row r="97">
      <c r="D97" s="301" t="str">
        <f t="shared" si="1"/>
        <v/>
      </c>
      <c r="E97" t="str">
        <f t="shared" si="2"/>
        <v/>
      </c>
      <c r="F97" t="str">
        <f t="shared" si="3"/>
        <v/>
      </c>
    </row>
    <row r="98">
      <c r="D98" s="301" t="str">
        <f t="shared" si="1"/>
        <v/>
      </c>
      <c r="E98" t="str">
        <f t="shared" si="2"/>
        <v/>
      </c>
      <c r="F98" t="str">
        <f t="shared" si="3"/>
        <v/>
      </c>
    </row>
    <row r="99">
      <c r="D99" s="301" t="str">
        <f t="shared" si="1"/>
        <v/>
      </c>
      <c r="E99" t="str">
        <f t="shared" si="2"/>
        <v/>
      </c>
      <c r="F99" t="str">
        <f t="shared" si="3"/>
        <v/>
      </c>
    </row>
    <row r="100">
      <c r="D100" s="301" t="str">
        <f t="shared" si="1"/>
        <v/>
      </c>
      <c r="E100" t="str">
        <f t="shared" si="2"/>
        <v/>
      </c>
      <c r="F100" t="str">
        <f t="shared" si="3"/>
        <v/>
      </c>
    </row>
    <row r="101">
      <c r="D101" s="301" t="str">
        <f t="shared" si="1"/>
        <v/>
      </c>
      <c r="E101" t="str">
        <f t="shared" si="2"/>
        <v/>
      </c>
      <c r="F101" t="str">
        <f t="shared" si="3"/>
        <v/>
      </c>
    </row>
    <row r="102">
      <c r="D102" s="301" t="str">
        <f t="shared" si="1"/>
        <v/>
      </c>
      <c r="E102" t="str">
        <f t="shared" si="2"/>
        <v/>
      </c>
      <c r="F102" t="str">
        <f t="shared" si="3"/>
        <v/>
      </c>
    </row>
    <row r="103">
      <c r="D103" s="301" t="str">
        <f t="shared" si="1"/>
        <v/>
      </c>
      <c r="E103" t="str">
        <f t="shared" si="2"/>
        <v/>
      </c>
      <c r="F103" t="str">
        <f t="shared" si="3"/>
        <v/>
      </c>
    </row>
    <row r="104">
      <c r="D104" s="301" t="str">
        <f t="shared" si="1"/>
        <v/>
      </c>
      <c r="E104" t="str">
        <f t="shared" si="2"/>
        <v/>
      </c>
      <c r="F104" t="str">
        <f t="shared" si="3"/>
        <v/>
      </c>
    </row>
    <row r="105">
      <c r="D105" s="301" t="str">
        <f t="shared" si="1"/>
        <v/>
      </c>
      <c r="E105" t="str">
        <f t="shared" si="2"/>
        <v/>
      </c>
      <c r="F105" t="str">
        <f t="shared" si="3"/>
        <v/>
      </c>
    </row>
    <row r="106">
      <c r="D106" s="301" t="str">
        <f t="shared" si="1"/>
        <v/>
      </c>
      <c r="E106" t="str">
        <f t="shared" si="2"/>
        <v/>
      </c>
      <c r="F106" t="str">
        <f t="shared" si="3"/>
        <v/>
      </c>
    </row>
    <row r="107">
      <c r="D107" s="301" t="str">
        <f t="shared" si="1"/>
        <v/>
      </c>
      <c r="E107" t="str">
        <f t="shared" si="2"/>
        <v/>
      </c>
      <c r="F107" t="str">
        <f t="shared" si="3"/>
        <v/>
      </c>
    </row>
    <row r="108">
      <c r="D108" s="301" t="str">
        <f t="shared" si="1"/>
        <v/>
      </c>
      <c r="E108" t="str">
        <f t="shared" si="2"/>
        <v/>
      </c>
      <c r="F108" t="str">
        <f t="shared" si="3"/>
        <v/>
      </c>
    </row>
    <row r="109">
      <c r="D109" s="301" t="str">
        <f t="shared" si="1"/>
        <v/>
      </c>
      <c r="E109" t="str">
        <f t="shared" si="2"/>
        <v/>
      </c>
      <c r="F109" t="str">
        <f t="shared" si="3"/>
        <v/>
      </c>
    </row>
    <row r="110">
      <c r="D110" s="301" t="str">
        <f t="shared" si="1"/>
        <v/>
      </c>
      <c r="E110" t="str">
        <f t="shared" si="2"/>
        <v/>
      </c>
      <c r="F110" t="str">
        <f t="shared" si="3"/>
        <v/>
      </c>
    </row>
    <row r="111">
      <c r="D111" s="301" t="str">
        <f t="shared" si="1"/>
        <v/>
      </c>
      <c r="E111" t="str">
        <f t="shared" si="2"/>
        <v/>
      </c>
      <c r="F111" t="str">
        <f t="shared" si="3"/>
        <v/>
      </c>
    </row>
    <row r="112">
      <c r="D112" s="301" t="str">
        <f t="shared" si="1"/>
        <v/>
      </c>
      <c r="E112" t="str">
        <f t="shared" si="2"/>
        <v/>
      </c>
      <c r="F112" t="str">
        <f t="shared" si="3"/>
        <v/>
      </c>
    </row>
    <row r="113">
      <c r="D113" s="301" t="str">
        <f t="shared" si="1"/>
        <v/>
      </c>
      <c r="E113" t="str">
        <f t="shared" si="2"/>
        <v/>
      </c>
      <c r="F113" t="str">
        <f t="shared" si="3"/>
        <v/>
      </c>
    </row>
    <row r="114">
      <c r="D114" s="301" t="str">
        <f t="shared" si="1"/>
        <v/>
      </c>
      <c r="E114" t="str">
        <f t="shared" si="2"/>
        <v/>
      </c>
      <c r="F114" t="str">
        <f t="shared" si="3"/>
        <v/>
      </c>
    </row>
    <row r="115">
      <c r="D115" s="301" t="str">
        <f t="shared" si="1"/>
        <v/>
      </c>
      <c r="E115" t="str">
        <f t="shared" si="2"/>
        <v/>
      </c>
      <c r="F115" t="str">
        <f t="shared" si="3"/>
        <v/>
      </c>
    </row>
    <row r="116">
      <c r="D116" s="301" t="str">
        <f t="shared" si="1"/>
        <v/>
      </c>
      <c r="E116" t="str">
        <f t="shared" si="2"/>
        <v/>
      </c>
      <c r="F116" t="str">
        <f t="shared" si="3"/>
        <v/>
      </c>
    </row>
    <row r="117">
      <c r="D117" s="301" t="str">
        <f t="shared" si="1"/>
        <v/>
      </c>
      <c r="E117" t="str">
        <f t="shared" si="2"/>
        <v/>
      </c>
      <c r="F117" t="str">
        <f t="shared" si="3"/>
        <v/>
      </c>
    </row>
    <row r="118">
      <c r="D118" s="301" t="str">
        <f t="shared" si="1"/>
        <v/>
      </c>
      <c r="E118" t="str">
        <f t="shared" si="2"/>
        <v/>
      </c>
      <c r="F118" t="str">
        <f t="shared" si="3"/>
        <v/>
      </c>
    </row>
    <row r="119">
      <c r="D119" s="301" t="str">
        <f t="shared" si="1"/>
        <v/>
      </c>
      <c r="E119" t="str">
        <f t="shared" si="2"/>
        <v/>
      </c>
      <c r="F119" t="str">
        <f t="shared" si="3"/>
        <v/>
      </c>
    </row>
    <row r="120">
      <c r="D120" s="301" t="str">
        <f t="shared" si="1"/>
        <v/>
      </c>
      <c r="E120" t="str">
        <f t="shared" si="2"/>
        <v/>
      </c>
      <c r="F120" t="str">
        <f t="shared" si="3"/>
        <v/>
      </c>
    </row>
    <row r="121">
      <c r="D121" s="301" t="str">
        <f t="shared" si="1"/>
        <v/>
      </c>
      <c r="E121" t="str">
        <f t="shared" si="2"/>
        <v/>
      </c>
      <c r="F121" t="str">
        <f t="shared" si="3"/>
        <v/>
      </c>
    </row>
    <row r="122">
      <c r="D122" s="301" t="str">
        <f t="shared" si="1"/>
        <v/>
      </c>
      <c r="E122" t="str">
        <f t="shared" si="2"/>
        <v/>
      </c>
      <c r="F122" t="str">
        <f t="shared" si="3"/>
        <v/>
      </c>
    </row>
    <row r="123">
      <c r="D123" s="301" t="str">
        <f t="shared" si="1"/>
        <v/>
      </c>
      <c r="E123" t="str">
        <f t="shared" si="2"/>
        <v/>
      </c>
      <c r="F123" t="str">
        <f t="shared" si="3"/>
        <v/>
      </c>
    </row>
    <row r="124">
      <c r="D124" s="301" t="str">
        <f t="shared" si="1"/>
        <v/>
      </c>
      <c r="E124" t="str">
        <f t="shared" si="2"/>
        <v/>
      </c>
      <c r="F124" t="str">
        <f t="shared" si="3"/>
        <v/>
      </c>
    </row>
    <row r="125">
      <c r="D125" s="301" t="str">
        <f t="shared" si="1"/>
        <v/>
      </c>
      <c r="E125" t="str">
        <f t="shared" si="2"/>
        <v/>
      </c>
      <c r="F125" t="str">
        <f t="shared" si="3"/>
        <v/>
      </c>
    </row>
    <row r="126">
      <c r="D126" s="301" t="str">
        <f t="shared" si="1"/>
        <v/>
      </c>
      <c r="E126" t="str">
        <f t="shared" si="2"/>
        <v/>
      </c>
      <c r="F126" t="str">
        <f t="shared" si="3"/>
        <v/>
      </c>
    </row>
    <row r="127">
      <c r="D127" s="301" t="str">
        <f t="shared" si="1"/>
        <v/>
      </c>
      <c r="E127" t="str">
        <f t="shared" si="2"/>
        <v/>
      </c>
      <c r="F127" t="str">
        <f t="shared" si="3"/>
        <v/>
      </c>
    </row>
    <row r="128">
      <c r="D128" s="301" t="str">
        <f t="shared" si="1"/>
        <v/>
      </c>
      <c r="E128" t="str">
        <f t="shared" si="2"/>
        <v/>
      </c>
      <c r="F128" t="str">
        <f t="shared" si="3"/>
        <v/>
      </c>
    </row>
    <row r="129">
      <c r="D129" s="301" t="str">
        <f t="shared" si="1"/>
        <v/>
      </c>
      <c r="E129" t="str">
        <f t="shared" si="2"/>
        <v/>
      </c>
      <c r="F129" t="str">
        <f t="shared" si="3"/>
        <v/>
      </c>
    </row>
    <row r="130">
      <c r="D130" s="301" t="str">
        <f t="shared" si="1"/>
        <v/>
      </c>
      <c r="E130" t="str">
        <f t="shared" si="2"/>
        <v/>
      </c>
      <c r="F130" t="str">
        <f t="shared" si="3"/>
        <v/>
      </c>
    </row>
    <row r="131">
      <c r="D131" s="301" t="str">
        <f t="shared" si="1"/>
        <v/>
      </c>
      <c r="E131" t="str">
        <f t="shared" si="2"/>
        <v/>
      </c>
      <c r="F131" t="str">
        <f t="shared" si="3"/>
        <v/>
      </c>
    </row>
    <row r="132">
      <c r="D132" s="301" t="str">
        <f t="shared" si="1"/>
        <v/>
      </c>
      <c r="E132" t="str">
        <f t="shared" si="2"/>
        <v/>
      </c>
      <c r="F132" t="str">
        <f t="shared" si="3"/>
        <v/>
      </c>
    </row>
    <row r="133">
      <c r="D133" s="301" t="str">
        <f t="shared" si="1"/>
        <v/>
      </c>
      <c r="E133" t="str">
        <f t="shared" si="2"/>
        <v/>
      </c>
      <c r="F133" t="str">
        <f t="shared" si="3"/>
        <v/>
      </c>
    </row>
    <row r="134">
      <c r="D134" s="301" t="str">
        <f t="shared" si="1"/>
        <v/>
      </c>
      <c r="E134" t="str">
        <f t="shared" si="2"/>
        <v/>
      </c>
      <c r="F134" t="str">
        <f t="shared" si="3"/>
        <v/>
      </c>
    </row>
    <row r="135">
      <c r="D135" s="301" t="str">
        <f t="shared" si="1"/>
        <v/>
      </c>
      <c r="E135" t="str">
        <f t="shared" si="2"/>
        <v/>
      </c>
      <c r="F135" t="str">
        <f t="shared" si="3"/>
        <v/>
      </c>
    </row>
    <row r="136">
      <c r="D136" s="301" t="str">
        <f t="shared" si="1"/>
        <v/>
      </c>
      <c r="E136" t="str">
        <f t="shared" si="2"/>
        <v/>
      </c>
      <c r="F136" t="str">
        <f t="shared" si="3"/>
        <v/>
      </c>
    </row>
    <row r="137">
      <c r="D137" s="301" t="str">
        <f t="shared" si="1"/>
        <v/>
      </c>
      <c r="E137" t="str">
        <f t="shared" si="2"/>
        <v/>
      </c>
      <c r="F137" t="str">
        <f t="shared" si="3"/>
        <v/>
      </c>
    </row>
    <row r="138">
      <c r="D138" s="301" t="str">
        <f t="shared" si="1"/>
        <v/>
      </c>
      <c r="E138" t="str">
        <f t="shared" si="2"/>
        <v/>
      </c>
      <c r="F138" t="str">
        <f t="shared" si="3"/>
        <v/>
      </c>
    </row>
    <row r="139">
      <c r="D139" s="301" t="str">
        <f t="shared" si="1"/>
        <v/>
      </c>
      <c r="E139" t="str">
        <f t="shared" si="2"/>
        <v/>
      </c>
      <c r="F139" t="str">
        <f t="shared" si="3"/>
        <v/>
      </c>
    </row>
    <row r="140">
      <c r="D140" s="301" t="str">
        <f t="shared" si="1"/>
        <v/>
      </c>
      <c r="E140" t="str">
        <f t="shared" si="2"/>
        <v/>
      </c>
      <c r="F140" t="str">
        <f t="shared" si="3"/>
        <v/>
      </c>
    </row>
    <row r="141">
      <c r="D141" s="301" t="str">
        <f t="shared" si="1"/>
        <v/>
      </c>
      <c r="E141" t="str">
        <f t="shared" si="2"/>
        <v/>
      </c>
      <c r="F141" t="str">
        <f t="shared" si="3"/>
        <v/>
      </c>
    </row>
    <row r="142">
      <c r="D142" s="301" t="str">
        <f t="shared" si="1"/>
        <v/>
      </c>
      <c r="E142" t="str">
        <f t="shared" si="2"/>
        <v/>
      </c>
      <c r="F142" t="str">
        <f t="shared" si="3"/>
        <v/>
      </c>
    </row>
    <row r="143">
      <c r="D143" s="301" t="str">
        <f t="shared" si="1"/>
        <v/>
      </c>
      <c r="E143" t="str">
        <f t="shared" si="2"/>
        <v/>
      </c>
      <c r="F143" t="str">
        <f t="shared" si="3"/>
        <v/>
      </c>
    </row>
    <row r="144">
      <c r="D144" s="301" t="str">
        <f t="shared" si="1"/>
        <v/>
      </c>
      <c r="E144" t="str">
        <f t="shared" si="2"/>
        <v/>
      </c>
      <c r="F144" t="str">
        <f t="shared" si="3"/>
        <v/>
      </c>
    </row>
    <row r="145">
      <c r="D145" s="301" t="str">
        <f t="shared" si="1"/>
        <v/>
      </c>
      <c r="E145" t="str">
        <f t="shared" si="2"/>
        <v/>
      </c>
      <c r="F145" t="str">
        <f t="shared" si="3"/>
        <v/>
      </c>
    </row>
    <row r="146">
      <c r="D146" s="301" t="str">
        <f t="shared" si="1"/>
        <v/>
      </c>
      <c r="E146" t="str">
        <f t="shared" si="2"/>
        <v/>
      </c>
      <c r="F146" t="str">
        <f t="shared" si="3"/>
        <v/>
      </c>
    </row>
    <row r="147">
      <c r="D147" s="301" t="str">
        <f t="shared" si="1"/>
        <v/>
      </c>
      <c r="E147" t="str">
        <f t="shared" si="2"/>
        <v/>
      </c>
      <c r="F147" t="str">
        <f t="shared" si="3"/>
        <v/>
      </c>
    </row>
    <row r="148">
      <c r="D148" s="301"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356" t="s">
        <v>316</v>
      </c>
      <c r="H1" s="213"/>
    </row>
    <row r="2" ht="31.5" customHeight="1">
      <c r="B2" s="216" t="s">
        <v>123</v>
      </c>
      <c r="C2" s="216" t="s">
        <v>182</v>
      </c>
      <c r="D2" s="216" t="s">
        <v>25</v>
      </c>
      <c r="E2" s="216" t="s">
        <v>317</v>
      </c>
      <c r="F2" s="216" t="s">
        <v>318</v>
      </c>
      <c r="G2" s="216" t="s">
        <v>319</v>
      </c>
    </row>
    <row r="3" ht="75.0" customHeight="1">
      <c r="A3" s="213"/>
      <c r="B3" s="357" t="s">
        <v>320</v>
      </c>
      <c r="C3" s="358" t="s">
        <v>321</v>
      </c>
      <c r="D3" s="358" t="s">
        <v>322</v>
      </c>
      <c r="E3" s="242" t="str">
        <f t="shared" ref="E3:E52" si="1">IF(D3 = "Level I", vlookup(C3,indirect(B3&amp;"!A:C"),2,false),
IF(D3 = "Level II", vlookup(C3,indirect(B3&amp;"!A:E"),3,false),
IF(D3 = "Level III", vlookup(C3,indirect(B3&amp;"!A:G"),4,false))))</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F3" s="358"/>
      <c r="G3" s="359">
        <f t="shared" ref="G3:G52" si="2">IF(C3 &lt;&gt; "",vlookup(C3,indirect(B3&amp;"!A:H"),5,false))</f>
        <v>15</v>
      </c>
      <c r="H3" s="213"/>
    </row>
    <row r="4" ht="75.0" customHeight="1">
      <c r="B4" s="360" t="s">
        <v>323</v>
      </c>
      <c r="C4" s="361" t="s">
        <v>324</v>
      </c>
      <c r="D4" s="361" t="s">
        <v>322</v>
      </c>
      <c r="E4" s="258" t="str">
        <f t="shared" si="1"/>
        <v>[Lifespan &lt; 4 - Long]
Increase Lifespan 2 ranks. If someone in your party must roll to defy death then you must also roll to defy death. You don't recieve a monkey paw but if you roll a 5 or lower then your character is doomed.</v>
      </c>
      <c r="F4" s="361"/>
      <c r="G4" s="362">
        <f t="shared" si="2"/>
        <v>20</v>
      </c>
    </row>
    <row r="5" ht="75.0" customHeight="1">
      <c r="B5" s="360" t="s">
        <v>325</v>
      </c>
      <c r="C5" s="361" t="s">
        <v>326</v>
      </c>
      <c r="D5" s="361" t="s">
        <v>327</v>
      </c>
      <c r="E5" s="258" t="str">
        <f t="shared" si="1"/>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5" s="361"/>
      <c r="G5" s="362">
        <f t="shared" si="2"/>
        <v>7</v>
      </c>
    </row>
    <row r="6" ht="75.0" customHeight="1">
      <c r="B6" s="360" t="s">
        <v>325</v>
      </c>
      <c r="C6" s="361" t="s">
        <v>328</v>
      </c>
      <c r="D6" s="361" t="s">
        <v>322</v>
      </c>
      <c r="E6" s="258" t="str">
        <f t="shared" si="1"/>
        <v>[Beauty 10, All Social Skills 5]
Lies about you being a deity are extremely believable and only a creature's intelligence can be used to resist these lies.</v>
      </c>
      <c r="F6" s="361"/>
      <c r="G6" s="362">
        <f t="shared" si="2"/>
        <v>20</v>
      </c>
    </row>
    <row r="7" ht="75.0" customHeight="1">
      <c r="B7" s="360" t="s">
        <v>329</v>
      </c>
      <c r="C7" s="361" t="s">
        <v>330</v>
      </c>
      <c r="D7" s="361" t="s">
        <v>327</v>
      </c>
      <c r="E7" s="258" t="str">
        <f t="shared" si="1"/>
        <v>[WIS 6]
When rolling to train a skill, a 5 and above is a success instead of 6 and above. If you roll successfuly to train a skill, gain 2 levels in that skill instead of 1. +1 to Learning Mod</v>
      </c>
      <c r="F7" s="361"/>
      <c r="G7" s="362">
        <f t="shared" si="2"/>
        <v>9</v>
      </c>
    </row>
    <row r="8" ht="75.0" customHeight="1">
      <c r="B8" s="360" t="s">
        <v>329</v>
      </c>
      <c r="C8" s="361" t="s">
        <v>331</v>
      </c>
      <c r="D8" s="361" t="s">
        <v>322</v>
      </c>
      <c r="E8" s="258" t="str">
        <f t="shared" si="1"/>
        <v>[INT 4]
At the end of a session you may change one trainable skill to another of the same skill class.</v>
      </c>
      <c r="F8" s="361"/>
      <c r="G8" s="362">
        <f t="shared" si="2"/>
        <v>7</v>
      </c>
    </row>
    <row r="9" ht="75.0" customHeight="1">
      <c r="B9" s="360" t="s">
        <v>329</v>
      </c>
      <c r="C9" s="361" t="s">
        <v>332</v>
      </c>
      <c r="D9" s="361" t="s">
        <v>327</v>
      </c>
      <c r="E9" s="258" t="str">
        <f t="shared" si="1"/>
        <v>[INT 8]
When rolling to train a skill, if you roll a 10, gain an extra level in that skill, keep the skill marked as trainable for next session, and gain 1 Karma.</v>
      </c>
      <c r="F9" s="361"/>
      <c r="G9" s="362">
        <f t="shared" si="2"/>
        <v>7</v>
      </c>
    </row>
    <row r="10" ht="75.0" customHeight="1">
      <c r="B10" s="360" t="s">
        <v>333</v>
      </c>
      <c r="C10" s="361" t="s">
        <v>334</v>
      </c>
      <c r="D10" s="361" t="s">
        <v>327</v>
      </c>
      <c r="E10" s="258" t="str">
        <f t="shared" si="1"/>
        <v>[Any Martial Arts Skill 14]
+1 APT; +2 Nimbleness Mod. You may reroll attack rolls but you have to keep the second roll.</v>
      </c>
      <c r="F10" s="361"/>
      <c r="G10" s="362">
        <f t="shared" si="2"/>
        <v>9</v>
      </c>
    </row>
    <row r="11" ht="75.0" customHeight="1">
      <c r="B11" s="360" t="s">
        <v>335</v>
      </c>
      <c r="C11" s="361" t="s">
        <v>336</v>
      </c>
      <c r="D11" s="361" t="s">
        <v>327</v>
      </c>
      <c r="E11" s="258" t="str">
        <f t="shared" si="1"/>
        <v>[Subsequent Earning]
You can't use social skills against this person or group and they will most certainly attack you on sight.</v>
      </c>
      <c r="F11" s="361" t="s">
        <v>337</v>
      </c>
      <c r="G11" s="362">
        <f t="shared" si="2"/>
        <v>-5</v>
      </c>
    </row>
    <row r="12" ht="75.0" customHeight="1">
      <c r="B12" s="360" t="s">
        <v>335</v>
      </c>
      <c r="C12" s="361" t="s">
        <v>338</v>
      </c>
      <c r="D12" s="361" t="s">
        <v>322</v>
      </c>
      <c r="E12" s="258" t="str">
        <f t="shared" si="1"/>
        <v>[None]
You may only Raw Cast Empowered Spells and lower (&lt;30 DR). Woven Spells are unaffected.</v>
      </c>
      <c r="F12" s="361"/>
      <c r="G12" s="362">
        <f t="shared" si="2"/>
        <v>-10</v>
      </c>
    </row>
    <row r="13" ht="75.0" customHeight="1">
      <c r="B13" s="360" t="s">
        <v>339</v>
      </c>
      <c r="C13" s="361" t="s">
        <v>340</v>
      </c>
      <c r="D13" s="361" t="s">
        <v>322</v>
      </c>
      <c r="E13" s="258" t="str">
        <f t="shared" si="1"/>
        <v>[Replaces Feel the Esther Level 1; Must be gained through Root, Branch, Blossom, or GM awarded]
You gain the ability to use magic and spellweave. Mercy, Severity or Balance attunement</v>
      </c>
      <c r="F13" s="361" t="s">
        <v>341</v>
      </c>
      <c r="G13" s="362">
        <f t="shared" si="2"/>
        <v>15</v>
      </c>
    </row>
    <row r="14" ht="75.0" customHeight="1">
      <c r="B14" s="360" t="s">
        <v>323</v>
      </c>
      <c r="C14" s="361" t="s">
        <v>342</v>
      </c>
      <c r="D14" s="361" t="s">
        <v>322</v>
      </c>
      <c r="E14" s="258" t="str">
        <f t="shared" si="1"/>
        <v>[Special]
There is a surplus of Mana to draw from this realm. Whenever anyone draws upon this leyline it gives 1d20 worth of mana to be used immedietly. The Mana given then goes down one tier of dice. It goes back up one tier everyday.</v>
      </c>
      <c r="F14" s="361"/>
      <c r="G14" s="362">
        <f t="shared" si="2"/>
        <v>30</v>
      </c>
    </row>
    <row r="15" ht="75.0" customHeight="1">
      <c r="B15" s="360" t="s">
        <v>343</v>
      </c>
      <c r="C15" s="361" t="s">
        <v>344</v>
      </c>
      <c r="D15" s="361" t="s">
        <v>322</v>
      </c>
      <c r="E15" s="258" t="str">
        <f t="shared" si="1"/>
        <v>[None]
You may not spend Karma to change you or anyone else's luck. (can't bargain with GM)  Whenever you gain Karma for upholding your goals or values double the amount you recieve.</v>
      </c>
      <c r="F15" s="361"/>
      <c r="G15" s="362">
        <f t="shared" si="2"/>
        <v>20</v>
      </c>
    </row>
    <row r="16" ht="75.0" customHeight="1">
      <c r="B16" s="360" t="s">
        <v>339</v>
      </c>
      <c r="C16" s="361" t="s">
        <v>345</v>
      </c>
      <c r="D16" s="361"/>
      <c r="E16" s="258" t="b">
        <f t="shared" si="1"/>
        <v>0</v>
      </c>
      <c r="F16" s="361"/>
      <c r="G16" s="362">
        <f t="shared" si="2"/>
        <v>14</v>
      </c>
    </row>
    <row r="17" ht="75.0" customHeight="1">
      <c r="B17" s="360" t="s">
        <v>339</v>
      </c>
      <c r="C17" s="361" t="s">
        <v>346</v>
      </c>
      <c r="D17" s="361" t="s">
        <v>322</v>
      </c>
      <c r="E17" s="258" t="str">
        <f t="shared" si="1"/>
        <v>[The Hunger or Arcane Knowledge 8]
You may freely consume 1 available Mana to instantly regain 1 Fortitude.</v>
      </c>
      <c r="F17" s="361"/>
      <c r="G17" s="362">
        <f t="shared" si="2"/>
        <v>5</v>
      </c>
    </row>
    <row r="18" ht="75.0" customHeight="1">
      <c r="B18" s="360" t="s">
        <v>339</v>
      </c>
      <c r="C18" s="361" t="s">
        <v>347</v>
      </c>
      <c r="D18" s="361" t="s">
        <v>327</v>
      </c>
      <c r="E18" s="258"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8" s="361"/>
      <c r="G18" s="362">
        <f t="shared" si="2"/>
        <v>10</v>
      </c>
    </row>
    <row r="19" ht="75.0" customHeight="1">
      <c r="B19" s="360" t="s">
        <v>348</v>
      </c>
      <c r="C19" s="361" t="s">
        <v>349</v>
      </c>
      <c r="D19" s="361" t="s">
        <v>327</v>
      </c>
      <c r="E19" s="258" t="str">
        <f t="shared" si="1"/>
        <v>[KV 800]
Remove Static Negative Exploit. You may change the race of one willing humanoid to Neo-Human. Remove Strange Vibrations Negative Exploit.</v>
      </c>
      <c r="F19" s="361"/>
      <c r="G19" s="362">
        <f t="shared" si="2"/>
        <v>0</v>
      </c>
    </row>
    <row r="20" ht="75.0" customHeight="1">
      <c r="B20" s="360" t="s">
        <v>320</v>
      </c>
      <c r="C20" s="361" t="s">
        <v>350</v>
      </c>
      <c r="D20" s="361" t="s">
        <v>327</v>
      </c>
      <c r="E20" s="258" t="str">
        <f t="shared" si="1"/>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F20" s="361"/>
      <c r="G20" s="362">
        <f t="shared" si="2"/>
        <v>10</v>
      </c>
    </row>
    <row r="21" ht="75.0" customHeight="1">
      <c r="B21" s="360" t="s">
        <v>320</v>
      </c>
      <c r="C21" s="361" t="s">
        <v>351</v>
      </c>
      <c r="D21" s="361" t="s">
        <v>327</v>
      </c>
      <c r="E21" s="258" t="str">
        <f t="shared" si="1"/>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F21" s="361"/>
      <c r="G21" s="362">
        <f t="shared" si="2"/>
        <v>10</v>
      </c>
    </row>
    <row r="22" ht="75.0" customHeight="1">
      <c r="B22" s="360" t="s">
        <v>320</v>
      </c>
      <c r="C22" s="361" t="s">
        <v>352</v>
      </c>
      <c r="D22" s="361" t="s">
        <v>327</v>
      </c>
      <c r="E22" s="258" t="str">
        <f t="shared" si="1"/>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F22" s="361"/>
      <c r="G22" s="362">
        <f t="shared" si="2"/>
        <v>10</v>
      </c>
    </row>
    <row r="23" ht="75.0" customHeight="1">
      <c r="B23" s="360" t="s">
        <v>320</v>
      </c>
      <c r="C23" s="361" t="s">
        <v>353</v>
      </c>
      <c r="D23" s="361" t="s">
        <v>327</v>
      </c>
      <c r="E23" s="258" t="str">
        <f t="shared" si="1"/>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F23" s="361"/>
      <c r="G23" s="362">
        <f t="shared" si="2"/>
        <v>10</v>
      </c>
    </row>
    <row r="24" ht="75.0" customHeight="1">
      <c r="B24" s="360" t="s">
        <v>320</v>
      </c>
      <c r="C24" s="361" t="s">
        <v>354</v>
      </c>
      <c r="D24" s="361" t="s">
        <v>327</v>
      </c>
      <c r="E24" s="258" t="str">
        <f t="shared" si="1"/>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F24" s="361"/>
      <c r="G24" s="362">
        <f t="shared" si="2"/>
        <v>5</v>
      </c>
    </row>
    <row r="25" ht="75.0" customHeight="1">
      <c r="B25" s="360" t="s">
        <v>320</v>
      </c>
      <c r="C25" s="361" t="s">
        <v>355</v>
      </c>
      <c r="D25" s="361" t="s">
        <v>327</v>
      </c>
      <c r="E25" s="258" t="str">
        <f t="shared" si="1"/>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F25" s="361"/>
      <c r="G25" s="362">
        <f t="shared" si="2"/>
        <v>15</v>
      </c>
    </row>
    <row r="26" ht="75.0" customHeight="1">
      <c r="B26" s="360" t="s">
        <v>320</v>
      </c>
      <c r="C26" s="361" t="s">
        <v>356</v>
      </c>
      <c r="D26" s="361" t="s">
        <v>327</v>
      </c>
      <c r="E26" s="258" t="str">
        <f t="shared" si="1"/>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F26" s="361"/>
      <c r="G26" s="362">
        <f t="shared" si="2"/>
        <v>5</v>
      </c>
    </row>
    <row r="27" ht="75.0" customHeight="1">
      <c r="B27" s="360" t="s">
        <v>320</v>
      </c>
      <c r="C27" s="361" t="s">
        <v>357</v>
      </c>
      <c r="D27" s="361" t="s">
        <v>327</v>
      </c>
      <c r="E27" s="258" t="str">
        <f t="shared" si="1"/>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F27" s="361"/>
      <c r="G27" s="362">
        <f t="shared" si="2"/>
        <v>20</v>
      </c>
    </row>
    <row r="28" ht="75.0" customHeight="1">
      <c r="B28" s="360" t="s">
        <v>333</v>
      </c>
      <c r="C28" s="361" t="s">
        <v>358</v>
      </c>
      <c r="D28" s="361" t="s">
        <v>359</v>
      </c>
      <c r="E28" s="258" t="str">
        <f t="shared" si="1"/>
        <v>[Leadership 10; WIS 3]
At the start of any battle, if unsurprised, you may skip your first round of combat. If you do, then anyone you choose who can understand you gains +2 APT for the remainder of the batte; +1 APT Mod
</v>
      </c>
      <c r="F28" s="361"/>
      <c r="G28" s="362">
        <f t="shared" si="2"/>
        <v>11</v>
      </c>
    </row>
    <row r="29" ht="75.0" customHeight="1">
      <c r="B29" s="360" t="s">
        <v>320</v>
      </c>
      <c r="C29" s="361" t="s">
        <v>360</v>
      </c>
      <c r="D29" s="361" t="s">
        <v>327</v>
      </c>
      <c r="E29" s="258" t="str">
        <f t="shared" si="1"/>
        <v>#N/A</v>
      </c>
      <c r="F29" s="361"/>
      <c r="G29" s="362" t="str">
        <f t="shared" si="2"/>
        <v>#N/A</v>
      </c>
    </row>
    <row r="30" ht="75.0" customHeight="1">
      <c r="B30" s="360" t="s">
        <v>320</v>
      </c>
      <c r="C30" s="361" t="s">
        <v>361</v>
      </c>
      <c r="D30" s="361" t="s">
        <v>327</v>
      </c>
      <c r="E30" s="258" t="str">
        <f t="shared" si="1"/>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F30" s="361"/>
      <c r="G30" s="362">
        <f t="shared" si="2"/>
        <v>25</v>
      </c>
    </row>
    <row r="31" ht="75.0" customHeight="1">
      <c r="B31" s="360" t="s">
        <v>343</v>
      </c>
      <c r="C31" s="361" t="s">
        <v>362</v>
      </c>
      <c r="D31" s="361" t="s">
        <v>327</v>
      </c>
      <c r="E31" s="258" t="str">
        <f t="shared" si="1"/>
        <v>[Rolled a 10 Defying Death]
Choose one Supernatural Exploit. You are immune to Monkey Paws from Defying Death. Whenever you Defy Death gain 7 Karma.</v>
      </c>
      <c r="F31" s="361"/>
      <c r="G31" s="362">
        <f t="shared" si="2"/>
        <v>13</v>
      </c>
    </row>
    <row r="32" ht="75.0" customHeight="1">
      <c r="B32" s="360" t="s">
        <v>320</v>
      </c>
      <c r="C32" s="361" t="s">
        <v>363</v>
      </c>
      <c r="D32" s="361" t="s">
        <v>327</v>
      </c>
      <c r="E32" s="258" t="str">
        <f t="shared" si="1"/>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F32" s="361"/>
      <c r="G32" s="362">
        <f t="shared" si="2"/>
        <v>15</v>
      </c>
    </row>
    <row r="33" ht="75.0" customHeight="1">
      <c r="B33" s="360" t="s">
        <v>320</v>
      </c>
      <c r="C33" s="361" t="s">
        <v>364</v>
      </c>
      <c r="D33" s="361" t="s">
        <v>327</v>
      </c>
      <c r="E33" s="258" t="str">
        <f t="shared" si="1"/>
        <v>[Nano Interface Mk III]
You can speak, read, write, and understand any language.</v>
      </c>
      <c r="F33" s="361"/>
      <c r="G33" s="362">
        <f t="shared" si="2"/>
        <v>10</v>
      </c>
    </row>
    <row r="34" ht="75.0" customHeight="1">
      <c r="B34" s="360" t="s">
        <v>320</v>
      </c>
      <c r="C34" s="361" t="s">
        <v>365</v>
      </c>
      <c r="D34" s="361" t="s">
        <v>327</v>
      </c>
      <c r="E34" s="258" t="str">
        <f t="shared" si="1"/>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F34" s="361"/>
      <c r="G34" s="362">
        <f t="shared" si="2"/>
        <v>10</v>
      </c>
    </row>
    <row r="35" ht="75.0" customHeight="1">
      <c r="B35" s="360" t="s">
        <v>320</v>
      </c>
      <c r="C35" s="361" t="s">
        <v>366</v>
      </c>
      <c r="D35" s="361" t="s">
        <v>327</v>
      </c>
      <c r="E35" s="258" t="str">
        <f t="shared" si="1"/>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F35" s="361"/>
      <c r="G35" s="362">
        <f t="shared" si="2"/>
        <v>10</v>
      </c>
    </row>
    <row r="36" ht="75.0" customHeight="1">
      <c r="B36" s="360" t="s">
        <v>320</v>
      </c>
      <c r="C36" s="361" t="s">
        <v>367</v>
      </c>
      <c r="D36" s="361" t="s">
        <v>327</v>
      </c>
      <c r="E36" s="258" t="str">
        <f t="shared" si="1"/>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F36" s="361"/>
      <c r="G36" s="362">
        <f t="shared" si="2"/>
        <v>20</v>
      </c>
    </row>
    <row r="37" ht="75.0" customHeight="1">
      <c r="B37" s="360" t="s">
        <v>320</v>
      </c>
      <c r="C37" s="361" t="s">
        <v>368</v>
      </c>
      <c r="D37" s="361" t="s">
        <v>327</v>
      </c>
      <c r="E37" s="258" t="str">
        <f t="shared" si="1"/>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F37" s="361"/>
      <c r="G37" s="362">
        <f t="shared" si="2"/>
        <v>20</v>
      </c>
    </row>
    <row r="38" ht="75.0" customHeight="1">
      <c r="B38" s="360" t="s">
        <v>320</v>
      </c>
      <c r="C38" s="361" t="s">
        <v>369</v>
      </c>
      <c r="D38" s="361" t="s">
        <v>327</v>
      </c>
      <c r="E38" s="258" t="str">
        <f t="shared" si="1"/>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F38" s="361"/>
      <c r="G38" s="362">
        <f t="shared" si="2"/>
        <v>15</v>
      </c>
    </row>
    <row r="39" ht="75.0" customHeight="1">
      <c r="B39" s="360" t="s">
        <v>320</v>
      </c>
      <c r="C39" s="361" t="s">
        <v>370</v>
      </c>
      <c r="D39" s="361" t="s">
        <v>327</v>
      </c>
      <c r="E39" s="258" t="str">
        <f t="shared" si="1"/>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F39" s="361"/>
      <c r="G39" s="362">
        <f t="shared" si="2"/>
        <v>15</v>
      </c>
    </row>
    <row r="40" ht="75.0" customHeight="1">
      <c r="B40" s="360" t="s">
        <v>320</v>
      </c>
      <c r="C40" s="361" t="s">
        <v>371</v>
      </c>
      <c r="D40" s="361" t="s">
        <v>327</v>
      </c>
      <c r="E40" s="258" t="str">
        <f t="shared" si="1"/>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F40" s="361"/>
      <c r="G40" s="362">
        <f t="shared" si="2"/>
        <v>20</v>
      </c>
    </row>
    <row r="41" ht="75.0" customHeight="1">
      <c r="B41" s="360" t="s">
        <v>320</v>
      </c>
      <c r="C41" s="361" t="s">
        <v>372</v>
      </c>
      <c r="D41" s="361" t="s">
        <v>327</v>
      </c>
      <c r="E41" s="258" t="str">
        <f t="shared" si="1"/>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F41" s="361"/>
      <c r="G41" s="362">
        <f t="shared" si="2"/>
        <v>25</v>
      </c>
    </row>
    <row r="42" ht="75.0" customHeight="1">
      <c r="B42" s="360" t="s">
        <v>320</v>
      </c>
      <c r="C42" s="361" t="s">
        <v>373</v>
      </c>
      <c r="D42" s="361" t="s">
        <v>322</v>
      </c>
      <c r="E42" s="258" t="str">
        <f t="shared" si="1"/>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F42" s="361"/>
      <c r="G42" s="362">
        <f t="shared" si="2"/>
        <v>30</v>
      </c>
    </row>
    <row r="43" ht="75.0" customHeight="1">
      <c r="B43" s="360" t="s">
        <v>323</v>
      </c>
      <c r="C43" s="361" t="s">
        <v>374</v>
      </c>
      <c r="D43" s="361" t="s">
        <v>322</v>
      </c>
      <c r="E43" s="258" t="str">
        <f t="shared" si="1"/>
        <v>[None]
Your memory cannot be changed or altered by any outside force. You can vividly relive moments from your past and remember details you may not have conciously remembered. </v>
      </c>
      <c r="F43" s="361"/>
      <c r="G43" s="362">
        <f t="shared" si="2"/>
        <v>10</v>
      </c>
    </row>
    <row r="44" ht="75.0" customHeight="1">
      <c r="B44" s="360" t="s">
        <v>343</v>
      </c>
      <c r="C44" s="361" t="s">
        <v>375</v>
      </c>
      <c r="D44" s="361" t="s">
        <v>327</v>
      </c>
      <c r="E44" s="258" t="str">
        <f t="shared" si="1"/>
        <v>[INT 5]
On completion of an invention you recieve a normal version of the item instead of a prototype. Invention minimum time is reduced from 1 month to 1 week. +1 to Tech Level</v>
      </c>
      <c r="F44" s="361"/>
      <c r="G44" s="362">
        <f t="shared" si="2"/>
        <v>12</v>
      </c>
    </row>
    <row r="45" ht="75.0" customHeight="1">
      <c r="B45" s="360" t="s">
        <v>343</v>
      </c>
      <c r="C45" s="361" t="s">
        <v>376</v>
      </c>
      <c r="D45" s="361" t="s">
        <v>327</v>
      </c>
      <c r="E45" s="258" t="str">
        <f t="shared" si="1"/>
        <v>[WIS 4; INT 4; CHA 4]
Your mind can't be read and you can't be put to sleep magically. +2 to Wit, Ingenuity, and Conviction</v>
      </c>
      <c r="F45" s="361"/>
      <c r="G45" s="362">
        <f t="shared" si="2"/>
        <v>15</v>
      </c>
    </row>
    <row r="46" ht="75.0" customHeight="1">
      <c r="B46" s="360" t="s">
        <v>343</v>
      </c>
      <c r="C46" s="361" t="s">
        <v>377</v>
      </c>
      <c r="D46" s="361" t="s">
        <v>322</v>
      </c>
      <c r="E46" s="258" t="str">
        <f t="shared" si="1"/>
        <v>[Leadership 6]
You can let another creature do skill checks using your skill level. They must have at least 1 in the skill to use it. If they fail they may not mark the skill trainable.</v>
      </c>
      <c r="F46" s="361"/>
      <c r="G46" s="362">
        <f t="shared" si="2"/>
        <v>7</v>
      </c>
    </row>
    <row r="47" ht="75.0" customHeight="1">
      <c r="B47" s="360" t="s">
        <v>343</v>
      </c>
      <c r="C47" s="361" t="s">
        <v>378</v>
      </c>
      <c r="D47" s="361" t="s">
        <v>322</v>
      </c>
      <c r="E47" s="258" t="str">
        <f t="shared" si="1"/>
        <v>[None]
+1 Mod to all Saves.</v>
      </c>
      <c r="F47" s="361"/>
      <c r="G47" s="362">
        <f t="shared" si="2"/>
        <v>15</v>
      </c>
    </row>
    <row r="48" ht="75.0" customHeight="1">
      <c r="B48" s="360" t="s">
        <v>333</v>
      </c>
      <c r="C48" s="361" t="s">
        <v>379</v>
      </c>
      <c r="D48" s="361" t="s">
        <v>327</v>
      </c>
      <c r="E48" s="258" t="str">
        <f t="shared" si="1"/>
        <v>[Defied Death]
+2 Conviction Mod; +2 Virility Mod.; +1 mod to fate roll for defying death.</v>
      </c>
      <c r="F48" s="361"/>
      <c r="G48" s="362">
        <f t="shared" si="2"/>
        <v>9</v>
      </c>
    </row>
    <row r="49" ht="75.0" customHeight="1">
      <c r="B49" s="360"/>
      <c r="C49" s="361"/>
      <c r="D49" s="361"/>
      <c r="E49" s="258" t="b">
        <f t="shared" si="1"/>
        <v>0</v>
      </c>
      <c r="F49" s="361"/>
      <c r="G49" s="362" t="b">
        <f t="shared" si="2"/>
        <v>0</v>
      </c>
    </row>
    <row r="50" ht="75.0" customHeight="1">
      <c r="B50" s="360"/>
      <c r="C50" s="361"/>
      <c r="D50" s="361"/>
      <c r="E50" s="258" t="b">
        <f t="shared" si="1"/>
        <v>0</v>
      </c>
      <c r="F50" s="361"/>
      <c r="G50" s="362" t="b">
        <f t="shared" si="2"/>
        <v>0</v>
      </c>
    </row>
    <row r="51" ht="75.0" customHeight="1">
      <c r="B51" s="360"/>
      <c r="C51" s="361"/>
      <c r="D51" s="361"/>
      <c r="E51" s="258" t="b">
        <f t="shared" si="1"/>
        <v>0</v>
      </c>
      <c r="F51" s="361"/>
      <c r="G51" s="362" t="b">
        <f t="shared" si="2"/>
        <v>0</v>
      </c>
    </row>
    <row r="52" ht="75.0" customHeight="1">
      <c r="B52" s="363"/>
      <c r="C52" s="364"/>
      <c r="D52" s="364"/>
      <c r="E52" s="291" t="b">
        <f t="shared" si="1"/>
        <v>0</v>
      </c>
      <c r="F52" s="364"/>
      <c r="G52" s="365" t="b">
        <f t="shared" si="2"/>
        <v>0</v>
      </c>
    </row>
    <row r="53" ht="7.5" customHeight="1">
      <c r="A53" s="213"/>
      <c r="B53" s="30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B3:G52">
    <cfRule type="expression" dxfId="28" priority="4">
      <formula>MOD(INT((ROW(#REF!)-1)/2),2)=0</formula>
    </cfRule>
  </conditionalFormatting>
  <conditionalFormatting sqref="G3:G52">
    <cfRule type="expression" dxfId="10" priority="5">
      <formula>(D3) = ""</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213"/>
      <c r="B1" s="107" t="s">
        <v>380</v>
      </c>
      <c r="AC1" s="213"/>
    </row>
    <row r="2" ht="24.0" customHeight="1">
      <c r="A2" s="213"/>
      <c r="B2" s="366"/>
      <c r="C2" s="63"/>
      <c r="D2" s="64"/>
      <c r="E2" s="89"/>
      <c r="F2" s="89"/>
      <c r="G2" s="89"/>
      <c r="H2" s="89"/>
      <c r="I2" s="66"/>
      <c r="J2" s="344"/>
      <c r="AC2" s="213"/>
    </row>
    <row r="3" ht="31.5" customHeight="1">
      <c r="A3" s="213"/>
      <c r="C3" s="367" t="s">
        <v>381</v>
      </c>
      <c r="D3" s="368" t="s">
        <v>382</v>
      </c>
      <c r="E3" s="85"/>
      <c r="F3" s="85"/>
      <c r="G3" s="85"/>
      <c r="H3" s="85"/>
      <c r="I3" s="86"/>
      <c r="AC3" s="213"/>
    </row>
    <row r="4" ht="21.0" customHeight="1">
      <c r="A4" s="213"/>
      <c r="B4" s="215" t="s">
        <v>181</v>
      </c>
      <c r="C4" s="216" t="s">
        <v>182</v>
      </c>
      <c r="D4" s="369" t="s">
        <v>383</v>
      </c>
      <c r="E4" s="370"/>
      <c r="F4" s="370"/>
      <c r="G4" s="370"/>
      <c r="H4" s="370"/>
      <c r="I4" s="370"/>
      <c r="J4" s="370"/>
      <c r="K4" s="370"/>
      <c r="L4" s="370"/>
      <c r="M4" s="371"/>
      <c r="N4" s="372" t="s">
        <v>384</v>
      </c>
      <c r="O4" s="370"/>
      <c r="P4" s="371"/>
      <c r="Q4" s="217" t="s">
        <v>385</v>
      </c>
      <c r="R4" s="373" t="s">
        <v>386</v>
      </c>
      <c r="S4" s="219"/>
      <c r="T4" s="219"/>
      <c r="U4" s="220"/>
      <c r="V4" s="374" t="s">
        <v>387</v>
      </c>
      <c r="W4" s="375"/>
      <c r="X4" s="216" t="s">
        <v>388</v>
      </c>
      <c r="Y4" s="216" t="s">
        <v>187</v>
      </c>
      <c r="Z4" s="216" t="s">
        <v>317</v>
      </c>
      <c r="AB4" s="221" t="s">
        <v>6</v>
      </c>
      <c r="AC4" s="213"/>
    </row>
    <row r="5" ht="60.75" customHeight="1">
      <c r="A5" s="213"/>
      <c r="B5" s="82"/>
      <c r="D5" s="376" t="s">
        <v>389</v>
      </c>
      <c r="E5" s="377" t="s">
        <v>390</v>
      </c>
      <c r="F5" s="377" t="s">
        <v>391</v>
      </c>
      <c r="G5" s="377" t="s">
        <v>392</v>
      </c>
      <c r="H5" s="377" t="s">
        <v>393</v>
      </c>
      <c r="I5" s="377" t="s">
        <v>394</v>
      </c>
      <c r="J5" s="377" t="s">
        <v>395</v>
      </c>
      <c r="K5" s="377" t="s">
        <v>396</v>
      </c>
      <c r="L5" s="377" t="s">
        <v>397</v>
      </c>
      <c r="M5" s="378" t="s">
        <v>398</v>
      </c>
      <c r="N5" s="379" t="s">
        <v>399</v>
      </c>
      <c r="O5" s="380"/>
      <c r="P5" s="381" t="s">
        <v>400</v>
      </c>
      <c r="R5" s="382" t="s">
        <v>401</v>
      </c>
      <c r="S5" s="383" t="s">
        <v>402</v>
      </c>
      <c r="T5" s="383" t="s">
        <v>403</v>
      </c>
      <c r="U5" s="375"/>
      <c r="V5" s="384" t="s">
        <v>190</v>
      </c>
      <c r="W5" s="385" t="s">
        <v>123</v>
      </c>
      <c r="AC5" s="213"/>
    </row>
    <row r="6" ht="112.5" customHeight="1">
      <c r="A6" s="213"/>
      <c r="B6" s="386">
        <v>1.0</v>
      </c>
      <c r="C6" s="387" t="s">
        <v>404</v>
      </c>
      <c r="D6" s="388" t="b">
        <v>0</v>
      </c>
      <c r="E6" s="389" t="b">
        <v>0</v>
      </c>
      <c r="F6" s="389" t="b">
        <v>0</v>
      </c>
      <c r="G6" s="389" t="b">
        <v>0</v>
      </c>
      <c r="H6" s="389" t="b">
        <v>1</v>
      </c>
      <c r="I6" s="389" t="b">
        <v>0</v>
      </c>
      <c r="J6" s="389" t="b">
        <v>0</v>
      </c>
      <c r="K6" s="389" t="b">
        <v>0</v>
      </c>
      <c r="L6" s="389" t="b">
        <v>0</v>
      </c>
      <c r="M6" s="390" t="b">
        <v>0</v>
      </c>
      <c r="N6" s="388">
        <v>4.0</v>
      </c>
      <c r="O6" s="391" t="s">
        <v>405</v>
      </c>
      <c r="P6" s="390" t="s">
        <v>406</v>
      </c>
      <c r="Q6" s="389" t="s">
        <v>348</v>
      </c>
      <c r="R6" s="388" t="b">
        <v>1</v>
      </c>
      <c r="S6" s="390" t="b">
        <v>1</v>
      </c>
      <c r="T6" s="392"/>
      <c r="U6" s="393" t="s">
        <v>44</v>
      </c>
      <c r="V6" s="394"/>
      <c r="W6" s="395" t="s">
        <v>407</v>
      </c>
      <c r="X6" s="389">
        <v>1.0</v>
      </c>
      <c r="Y6" s="389" t="s">
        <v>408</v>
      </c>
      <c r="Z6" s="389" t="s">
        <v>409</v>
      </c>
      <c r="AA6" s="196"/>
      <c r="AB6" s="396" t="str">
        <f t="shared" ref="AB6:AB34" si="1"> IF(N6 = 0, "",
IF(N6 &lt; 10, "1 - Trivial",
IF(N6 &lt; 20, "2 - Weak",
IF(N6 &lt; 30, "3 - Empowered",
IF(N6 &lt; 40, "4 - Mighty",
IF(N6 &lt; 50, "5 - Heroic",
IF(N6 &gt; 49, "6 - Godly",
)))))))</f>
        <v>1 - Trivial</v>
      </c>
      <c r="AC6" s="213"/>
    </row>
    <row r="7" ht="112.5" customHeight="1">
      <c r="A7" s="213"/>
      <c r="B7" s="386">
        <v>2.0</v>
      </c>
      <c r="C7" s="397" t="s">
        <v>410</v>
      </c>
      <c r="D7" s="398" t="b">
        <v>0</v>
      </c>
      <c r="E7" s="316" t="b">
        <v>0</v>
      </c>
      <c r="F7" s="316" t="b">
        <v>0</v>
      </c>
      <c r="G7" s="316" t="b">
        <v>0</v>
      </c>
      <c r="H7" s="316" t="b">
        <v>0</v>
      </c>
      <c r="I7" s="316" t="b">
        <v>0</v>
      </c>
      <c r="J7" s="316" t="b">
        <v>0</v>
      </c>
      <c r="K7" s="316" t="b">
        <v>0</v>
      </c>
      <c r="L7" s="316" t="b">
        <v>1</v>
      </c>
      <c r="M7" s="399" t="b">
        <v>0</v>
      </c>
      <c r="N7" s="398">
        <v>1.0</v>
      </c>
      <c r="O7" s="400" t="s">
        <v>405</v>
      </c>
      <c r="P7" s="399" t="s">
        <v>411</v>
      </c>
      <c r="Q7" s="316" t="s">
        <v>348</v>
      </c>
      <c r="R7" s="398" t="b">
        <v>1</v>
      </c>
      <c r="S7" s="399" t="b">
        <v>1</v>
      </c>
      <c r="T7" s="401"/>
      <c r="U7" s="402" t="s">
        <v>44</v>
      </c>
      <c r="V7" s="403"/>
      <c r="W7" s="404" t="s">
        <v>407</v>
      </c>
      <c r="X7" s="316">
        <v>1.0</v>
      </c>
      <c r="Y7" s="316" t="s">
        <v>408</v>
      </c>
      <c r="Z7" s="296" t="s">
        <v>412</v>
      </c>
      <c r="AB7" s="405" t="str">
        <f t="shared" si="1"/>
        <v>1 - Trivial</v>
      </c>
      <c r="AC7" s="213"/>
    </row>
    <row r="8" ht="112.5" customHeight="1">
      <c r="A8" s="213"/>
      <c r="B8" s="386">
        <v>3.0</v>
      </c>
      <c r="C8" s="406" t="s">
        <v>413</v>
      </c>
      <c r="D8" s="407" t="b">
        <v>0</v>
      </c>
      <c r="E8" s="408" t="b">
        <v>0</v>
      </c>
      <c r="F8" s="408" t="b">
        <v>0</v>
      </c>
      <c r="G8" s="408" t="b">
        <v>1</v>
      </c>
      <c r="H8" s="408" t="b">
        <v>0</v>
      </c>
      <c r="I8" s="408" t="b">
        <v>0</v>
      </c>
      <c r="J8" s="408" t="b">
        <v>0</v>
      </c>
      <c r="K8" s="408" t="b">
        <v>0</v>
      </c>
      <c r="L8" s="408" t="b">
        <v>0</v>
      </c>
      <c r="M8" s="409" t="b">
        <v>0</v>
      </c>
      <c r="N8" s="407" t="s">
        <v>414</v>
      </c>
      <c r="O8" s="400" t="s">
        <v>405</v>
      </c>
      <c r="P8" s="409" t="s">
        <v>44</v>
      </c>
      <c r="Q8" s="408" t="s">
        <v>348</v>
      </c>
      <c r="R8" s="407" t="b">
        <v>1</v>
      </c>
      <c r="S8" s="409" t="b">
        <v>1</v>
      </c>
      <c r="T8" s="410"/>
      <c r="U8" s="411" t="s">
        <v>44</v>
      </c>
      <c r="V8" s="394"/>
      <c r="W8" s="395" t="s">
        <v>407</v>
      </c>
      <c r="X8" s="408">
        <v>1.0</v>
      </c>
      <c r="Y8" s="408" t="s">
        <v>408</v>
      </c>
      <c r="Z8" s="408" t="s">
        <v>415</v>
      </c>
      <c r="AB8" s="405" t="str">
        <f t="shared" si="1"/>
        <v>6 - Godly</v>
      </c>
      <c r="AC8" s="213"/>
    </row>
    <row r="9" ht="112.5" customHeight="1">
      <c r="A9" s="213"/>
      <c r="B9" s="386">
        <v>4.0</v>
      </c>
      <c r="C9" s="397" t="s">
        <v>416</v>
      </c>
      <c r="D9" s="398" t="b">
        <v>0</v>
      </c>
      <c r="E9" s="316" t="b">
        <v>0</v>
      </c>
      <c r="F9" s="316" t="b">
        <v>0</v>
      </c>
      <c r="G9" s="316" t="b">
        <v>0</v>
      </c>
      <c r="H9" s="316" t="b">
        <v>0</v>
      </c>
      <c r="I9" s="316" t="b">
        <v>0</v>
      </c>
      <c r="J9" s="316" t="b">
        <v>0</v>
      </c>
      <c r="K9" s="316" t="b">
        <v>1</v>
      </c>
      <c r="L9" s="316" t="b">
        <v>0</v>
      </c>
      <c r="M9" s="399" t="b">
        <v>0</v>
      </c>
      <c r="N9" s="398">
        <v>2.0</v>
      </c>
      <c r="O9" s="400" t="s">
        <v>405</v>
      </c>
      <c r="P9" s="399" t="s">
        <v>44</v>
      </c>
      <c r="Q9" s="316" t="s">
        <v>348</v>
      </c>
      <c r="R9" s="398" t="b">
        <v>1</v>
      </c>
      <c r="S9" s="399" t="b">
        <v>1</v>
      </c>
      <c r="T9" s="401"/>
      <c r="U9" s="402" t="s">
        <v>44</v>
      </c>
      <c r="V9" s="403"/>
      <c r="W9" s="404" t="s">
        <v>407</v>
      </c>
      <c r="X9" s="316">
        <v>1.0</v>
      </c>
      <c r="Y9" s="316" t="s">
        <v>417</v>
      </c>
      <c r="Z9" s="316" t="s">
        <v>418</v>
      </c>
      <c r="AB9" s="405" t="str">
        <f t="shared" si="1"/>
        <v>1 - Trivial</v>
      </c>
      <c r="AC9" s="213"/>
    </row>
    <row r="10" ht="112.5" customHeight="1">
      <c r="A10" s="213"/>
      <c r="B10" s="386">
        <v>5.0</v>
      </c>
      <c r="C10" s="406" t="s">
        <v>419</v>
      </c>
      <c r="D10" s="407" t="b">
        <v>0</v>
      </c>
      <c r="E10" s="408" t="b">
        <v>0</v>
      </c>
      <c r="F10" s="408" t="b">
        <v>0</v>
      </c>
      <c r="G10" s="408" t="b">
        <v>1</v>
      </c>
      <c r="H10" s="408" t="b">
        <v>0</v>
      </c>
      <c r="I10" s="408" t="b">
        <v>0</v>
      </c>
      <c r="J10" s="408" t="b">
        <v>0</v>
      </c>
      <c r="K10" s="408" t="b">
        <v>0</v>
      </c>
      <c r="L10" s="408" t="b">
        <v>0</v>
      </c>
      <c r="M10" s="409" t="b">
        <v>0</v>
      </c>
      <c r="N10" s="407">
        <v>5.0</v>
      </c>
      <c r="O10" s="400" t="s">
        <v>405</v>
      </c>
      <c r="P10" s="409" t="s">
        <v>44</v>
      </c>
      <c r="Q10" s="408" t="s">
        <v>348</v>
      </c>
      <c r="R10" s="407" t="b">
        <v>1</v>
      </c>
      <c r="S10" s="409" t="b">
        <v>1</v>
      </c>
      <c r="T10" s="410"/>
      <c r="U10" s="411" t="s">
        <v>44</v>
      </c>
      <c r="V10" s="394"/>
      <c r="W10" s="395" t="s">
        <v>407</v>
      </c>
      <c r="X10" s="408"/>
      <c r="Y10" s="408" t="s">
        <v>420</v>
      </c>
      <c r="Z10" s="408" t="s">
        <v>421</v>
      </c>
      <c r="AB10" s="405" t="str">
        <f t="shared" si="1"/>
        <v>1 - Trivial</v>
      </c>
      <c r="AC10" s="213"/>
    </row>
    <row r="11" ht="112.5" customHeight="1">
      <c r="A11" s="213"/>
      <c r="B11" s="386">
        <v>6.0</v>
      </c>
      <c r="C11" s="397" t="s">
        <v>422</v>
      </c>
      <c r="D11" s="398" t="b">
        <v>0</v>
      </c>
      <c r="E11" s="316" t="b">
        <v>0</v>
      </c>
      <c r="F11" s="316" t="b">
        <v>0</v>
      </c>
      <c r="G11" s="316" t="b">
        <v>0</v>
      </c>
      <c r="H11" s="316" t="b">
        <v>0</v>
      </c>
      <c r="I11" s="316" t="b">
        <v>0</v>
      </c>
      <c r="J11" s="316" t="b">
        <v>0</v>
      </c>
      <c r="K11" s="316" t="b">
        <v>0</v>
      </c>
      <c r="L11" s="316" t="b">
        <v>1</v>
      </c>
      <c r="M11" s="399" t="b">
        <v>0</v>
      </c>
      <c r="N11" s="398">
        <v>4.0</v>
      </c>
      <c r="O11" s="400" t="s">
        <v>405</v>
      </c>
      <c r="P11" s="399" t="s">
        <v>44</v>
      </c>
      <c r="Q11" s="316" t="s">
        <v>348</v>
      </c>
      <c r="R11" s="398" t="b">
        <v>1</v>
      </c>
      <c r="S11" s="399" t="b">
        <v>1</v>
      </c>
      <c r="T11" s="401"/>
      <c r="U11" s="402" t="s">
        <v>44</v>
      </c>
      <c r="V11" s="403">
        <v>1.0</v>
      </c>
      <c r="W11" s="404" t="s">
        <v>423</v>
      </c>
      <c r="X11" s="316">
        <v>1.0</v>
      </c>
      <c r="Y11" s="316" t="s">
        <v>417</v>
      </c>
      <c r="Z11" s="316" t="s">
        <v>424</v>
      </c>
      <c r="AB11" s="405" t="str">
        <f t="shared" si="1"/>
        <v>1 - Trivial</v>
      </c>
      <c r="AC11" s="213"/>
    </row>
    <row r="12" ht="112.5" customHeight="1">
      <c r="A12" s="213"/>
      <c r="B12" s="412">
        <v>7.0</v>
      </c>
      <c r="C12" s="406" t="s">
        <v>425</v>
      </c>
      <c r="D12" s="407" t="b">
        <v>0</v>
      </c>
      <c r="E12" s="408" t="b">
        <v>0</v>
      </c>
      <c r="F12" s="408" t="b">
        <v>0</v>
      </c>
      <c r="G12" s="408" t="b">
        <v>0</v>
      </c>
      <c r="H12" s="408" t="b">
        <v>0</v>
      </c>
      <c r="I12" s="408" t="b">
        <v>0</v>
      </c>
      <c r="J12" s="408" t="b">
        <v>0</v>
      </c>
      <c r="K12" s="408" t="b">
        <v>0</v>
      </c>
      <c r="L12" s="408" t="b">
        <v>0</v>
      </c>
      <c r="M12" s="409" t="b">
        <v>1</v>
      </c>
      <c r="N12" s="407">
        <v>1.0</v>
      </c>
      <c r="O12" s="400" t="s">
        <v>405</v>
      </c>
      <c r="P12" s="409" t="s">
        <v>44</v>
      </c>
      <c r="Q12" s="408" t="s">
        <v>348</v>
      </c>
      <c r="R12" s="407" t="b">
        <v>0</v>
      </c>
      <c r="S12" s="409" t="b">
        <v>1</v>
      </c>
      <c r="T12" s="410"/>
      <c r="U12" s="411" t="s">
        <v>44</v>
      </c>
      <c r="V12" s="394"/>
      <c r="W12" s="395" t="s">
        <v>407</v>
      </c>
      <c r="X12" s="408">
        <v>1.0</v>
      </c>
      <c r="Y12" s="408" t="s">
        <v>417</v>
      </c>
      <c r="Z12" s="408" t="s">
        <v>426</v>
      </c>
      <c r="AB12" s="405" t="str">
        <f t="shared" si="1"/>
        <v>1 - Trivial</v>
      </c>
      <c r="AC12" s="213"/>
    </row>
    <row r="13" ht="112.5" customHeight="1">
      <c r="A13" s="213"/>
      <c r="B13" s="412">
        <v>8.0</v>
      </c>
      <c r="C13" s="397" t="s">
        <v>427</v>
      </c>
      <c r="D13" s="398" t="b">
        <v>0</v>
      </c>
      <c r="E13" s="316" t="b">
        <v>0</v>
      </c>
      <c r="F13" s="316" t="b">
        <v>0</v>
      </c>
      <c r="G13" s="316" t="b">
        <v>0</v>
      </c>
      <c r="H13" s="316" t="b">
        <v>0</v>
      </c>
      <c r="I13" s="316" t="b">
        <v>0</v>
      </c>
      <c r="J13" s="316" t="b">
        <v>0</v>
      </c>
      <c r="K13" s="316" t="b">
        <v>0</v>
      </c>
      <c r="L13" s="316" t="b">
        <v>1</v>
      </c>
      <c r="M13" s="399" t="b">
        <v>0</v>
      </c>
      <c r="N13" s="398">
        <v>3.0</v>
      </c>
      <c r="O13" s="400" t="s">
        <v>405</v>
      </c>
      <c r="P13" s="399" t="s">
        <v>44</v>
      </c>
      <c r="Q13" s="316" t="s">
        <v>348</v>
      </c>
      <c r="R13" s="398" t="b">
        <v>1</v>
      </c>
      <c r="S13" s="399" t="b">
        <v>1</v>
      </c>
      <c r="T13" s="401"/>
      <c r="U13" s="402" t="s">
        <v>44</v>
      </c>
      <c r="V13" s="403"/>
      <c r="W13" s="404" t="s">
        <v>407</v>
      </c>
      <c r="X13" s="316">
        <v>1.0</v>
      </c>
      <c r="Y13" s="316" t="s">
        <v>417</v>
      </c>
      <c r="Z13" s="316" t="s">
        <v>428</v>
      </c>
      <c r="AB13" s="405" t="str">
        <f t="shared" si="1"/>
        <v>1 - Trivial</v>
      </c>
      <c r="AC13" s="213"/>
    </row>
    <row r="14" ht="112.5" customHeight="1">
      <c r="A14" s="213"/>
      <c r="B14" s="412">
        <v>9.0</v>
      </c>
      <c r="C14" s="406" t="s">
        <v>429</v>
      </c>
      <c r="D14" s="407" t="b">
        <v>0</v>
      </c>
      <c r="E14" s="408" t="b">
        <v>0</v>
      </c>
      <c r="F14" s="408" t="b">
        <v>0</v>
      </c>
      <c r="G14" s="408" t="b">
        <v>0</v>
      </c>
      <c r="H14" s="408" t="b">
        <v>0</v>
      </c>
      <c r="I14" s="408" t="b">
        <v>0</v>
      </c>
      <c r="J14" s="408" t="b">
        <v>0</v>
      </c>
      <c r="K14" s="408" t="b">
        <v>0</v>
      </c>
      <c r="L14" s="408" t="b">
        <v>1</v>
      </c>
      <c r="M14" s="409" t="b">
        <v>0</v>
      </c>
      <c r="N14" s="407">
        <v>6.0</v>
      </c>
      <c r="O14" s="400" t="s">
        <v>405</v>
      </c>
      <c r="P14" s="409" t="s">
        <v>44</v>
      </c>
      <c r="Q14" s="408" t="s">
        <v>348</v>
      </c>
      <c r="R14" s="407" t="b">
        <v>1</v>
      </c>
      <c r="S14" s="409" t="b">
        <v>1</v>
      </c>
      <c r="T14" s="410"/>
      <c r="U14" s="411" t="s">
        <v>44</v>
      </c>
      <c r="V14" s="394">
        <v>1.0</v>
      </c>
      <c r="W14" s="395" t="s">
        <v>423</v>
      </c>
      <c r="X14" s="408">
        <v>1.0</v>
      </c>
      <c r="Y14" s="408" t="s">
        <v>417</v>
      </c>
      <c r="Z14" s="408" t="s">
        <v>430</v>
      </c>
      <c r="AB14" s="405" t="str">
        <f t="shared" si="1"/>
        <v>1 - Trivial</v>
      </c>
      <c r="AC14" s="213"/>
    </row>
    <row r="15" ht="112.5" customHeight="1">
      <c r="A15" s="213"/>
      <c r="B15" s="412">
        <v>10.0</v>
      </c>
      <c r="C15" s="397" t="s">
        <v>431</v>
      </c>
      <c r="D15" s="398" t="b">
        <v>0</v>
      </c>
      <c r="E15" s="316" t="b">
        <v>0</v>
      </c>
      <c r="F15" s="316" t="b">
        <v>0</v>
      </c>
      <c r="G15" s="316" t="b">
        <v>0</v>
      </c>
      <c r="H15" s="316" t="b">
        <v>0</v>
      </c>
      <c r="I15" s="316" t="b">
        <v>0</v>
      </c>
      <c r="J15" s="316" t="b">
        <v>0</v>
      </c>
      <c r="K15" s="316" t="b">
        <v>0</v>
      </c>
      <c r="L15" s="316" t="b">
        <v>1</v>
      </c>
      <c r="M15" s="399" t="b">
        <v>0</v>
      </c>
      <c r="N15" s="398">
        <v>6.0</v>
      </c>
      <c r="O15" s="400" t="s">
        <v>405</v>
      </c>
      <c r="P15" s="399" t="s">
        <v>44</v>
      </c>
      <c r="Q15" s="316" t="s">
        <v>348</v>
      </c>
      <c r="R15" s="398" t="b">
        <v>1</v>
      </c>
      <c r="S15" s="399" t="b">
        <v>1</v>
      </c>
      <c r="T15" s="401"/>
      <c r="U15" s="402" t="s">
        <v>44</v>
      </c>
      <c r="V15" s="403"/>
      <c r="W15" s="404" t="s">
        <v>432</v>
      </c>
      <c r="X15" s="413"/>
      <c r="Y15" s="316" t="s">
        <v>420</v>
      </c>
      <c r="Z15" s="316" t="s">
        <v>433</v>
      </c>
      <c r="AB15" s="405" t="str">
        <f t="shared" si="1"/>
        <v>1 - Trivial</v>
      </c>
      <c r="AC15" s="213"/>
    </row>
    <row r="16" ht="112.5" customHeight="1">
      <c r="A16" s="213"/>
      <c r="B16" s="412">
        <v>11.0</v>
      </c>
      <c r="C16" s="406" t="s">
        <v>434</v>
      </c>
      <c r="D16" s="407" t="b">
        <v>0</v>
      </c>
      <c r="E16" s="408" t="b">
        <v>0</v>
      </c>
      <c r="F16" s="408" t="b">
        <v>0</v>
      </c>
      <c r="G16" s="408" t="b">
        <v>0</v>
      </c>
      <c r="H16" s="408" t="b">
        <v>0</v>
      </c>
      <c r="I16" s="408" t="b">
        <v>0</v>
      </c>
      <c r="J16" s="408" t="b">
        <v>0</v>
      </c>
      <c r="K16" s="408" t="b">
        <v>0</v>
      </c>
      <c r="L16" s="408" t="b">
        <v>1</v>
      </c>
      <c r="M16" s="409" t="b">
        <v>0</v>
      </c>
      <c r="N16" s="407">
        <v>20.0</v>
      </c>
      <c r="O16" s="400" t="s">
        <v>405</v>
      </c>
      <c r="P16" s="409" t="s">
        <v>44</v>
      </c>
      <c r="Q16" s="408" t="s">
        <v>348</v>
      </c>
      <c r="R16" s="407" t="b">
        <v>1</v>
      </c>
      <c r="S16" s="409" t="b">
        <v>1</v>
      </c>
      <c r="T16" s="410">
        <v>1.0</v>
      </c>
      <c r="U16" s="411" t="s">
        <v>435</v>
      </c>
      <c r="V16" s="394"/>
      <c r="W16" s="395" t="s">
        <v>407</v>
      </c>
      <c r="X16" s="408" t="s">
        <v>436</v>
      </c>
      <c r="Y16" s="408" t="s">
        <v>437</v>
      </c>
      <c r="Z16" s="408" t="s">
        <v>438</v>
      </c>
      <c r="AB16" s="405" t="str">
        <f t="shared" si="1"/>
        <v>3 - Empowered</v>
      </c>
      <c r="AC16" s="213"/>
    </row>
    <row r="17" ht="112.5" customHeight="1">
      <c r="A17" s="213"/>
      <c r="B17" s="412">
        <v>12.0</v>
      </c>
      <c r="C17" s="397" t="s">
        <v>439</v>
      </c>
      <c r="D17" s="398" t="b">
        <v>0</v>
      </c>
      <c r="E17" s="316" t="b">
        <v>0</v>
      </c>
      <c r="F17" s="316" t="b">
        <v>0</v>
      </c>
      <c r="G17" s="316" t="b">
        <v>1</v>
      </c>
      <c r="H17" s="316" t="b">
        <v>0</v>
      </c>
      <c r="I17" s="316" t="b">
        <v>0</v>
      </c>
      <c r="J17" s="316" t="b">
        <v>0</v>
      </c>
      <c r="K17" s="316" t="b">
        <v>0</v>
      </c>
      <c r="L17" s="316" t="b">
        <v>0</v>
      </c>
      <c r="M17" s="399" t="b">
        <v>0</v>
      </c>
      <c r="N17" s="398">
        <v>4.0</v>
      </c>
      <c r="O17" s="400" t="s">
        <v>405</v>
      </c>
      <c r="P17" s="399" t="s">
        <v>44</v>
      </c>
      <c r="Q17" s="316" t="s">
        <v>348</v>
      </c>
      <c r="R17" s="398" t="b">
        <v>1</v>
      </c>
      <c r="S17" s="399" t="b">
        <v>1</v>
      </c>
      <c r="T17" s="401"/>
      <c r="U17" s="402" t="s">
        <v>44</v>
      </c>
      <c r="V17" s="403"/>
      <c r="W17" s="404" t="s">
        <v>432</v>
      </c>
      <c r="X17" s="413"/>
      <c r="Y17" s="316" t="s">
        <v>420</v>
      </c>
      <c r="Z17" s="316" t="s">
        <v>440</v>
      </c>
      <c r="AB17" s="405" t="str">
        <f t="shared" si="1"/>
        <v>1 - Trivial</v>
      </c>
      <c r="AC17" s="213"/>
    </row>
    <row r="18" ht="112.5" customHeight="1">
      <c r="A18" s="213"/>
      <c r="B18" s="412">
        <v>13.0</v>
      </c>
      <c r="C18" s="406" t="s">
        <v>441</v>
      </c>
      <c r="D18" s="407" t="b">
        <v>0</v>
      </c>
      <c r="E18" s="408" t="b">
        <v>0</v>
      </c>
      <c r="F18" s="408" t="b">
        <v>0</v>
      </c>
      <c r="G18" s="408" t="b">
        <v>1</v>
      </c>
      <c r="H18" s="408" t="b">
        <v>0</v>
      </c>
      <c r="I18" s="408" t="b">
        <v>0</v>
      </c>
      <c r="J18" s="408" t="b">
        <v>0</v>
      </c>
      <c r="K18" s="408" t="b">
        <v>0</v>
      </c>
      <c r="L18" s="408" t="b">
        <v>0</v>
      </c>
      <c r="M18" s="409" t="b">
        <v>0</v>
      </c>
      <c r="N18" s="407">
        <v>9.0</v>
      </c>
      <c r="O18" s="400" t="s">
        <v>405</v>
      </c>
      <c r="P18" s="409" t="s">
        <v>411</v>
      </c>
      <c r="Q18" s="408" t="s">
        <v>442</v>
      </c>
      <c r="R18" s="407" t="b">
        <v>0</v>
      </c>
      <c r="S18" s="409" t="b">
        <v>1</v>
      </c>
      <c r="T18" s="410"/>
      <c r="U18" s="411" t="s">
        <v>44</v>
      </c>
      <c r="V18" s="394"/>
      <c r="W18" s="395" t="s">
        <v>407</v>
      </c>
      <c r="X18" s="408">
        <v>1.0</v>
      </c>
      <c r="Y18" s="408" t="s">
        <v>443</v>
      </c>
      <c r="Z18" s="408" t="s">
        <v>444</v>
      </c>
      <c r="AB18" s="405" t="str">
        <f t="shared" si="1"/>
        <v>1 - Trivial</v>
      </c>
      <c r="AC18" s="213"/>
    </row>
    <row r="19" ht="112.5" customHeight="1">
      <c r="A19" s="213"/>
      <c r="B19" s="412">
        <v>14.0</v>
      </c>
      <c r="C19" s="397" t="s">
        <v>445</v>
      </c>
      <c r="D19" s="398" t="b">
        <v>0</v>
      </c>
      <c r="E19" s="316" t="b">
        <v>0</v>
      </c>
      <c r="F19" s="316" t="b">
        <v>0</v>
      </c>
      <c r="G19" s="316" t="b">
        <v>0</v>
      </c>
      <c r="H19" s="316" t="b">
        <v>0</v>
      </c>
      <c r="I19" s="316" t="b">
        <v>0</v>
      </c>
      <c r="J19" s="316" t="b">
        <v>0</v>
      </c>
      <c r="K19" s="316" t="b">
        <v>0</v>
      </c>
      <c r="L19" s="316" t="b">
        <v>1</v>
      </c>
      <c r="M19" s="399" t="b">
        <v>0</v>
      </c>
      <c r="N19" s="398">
        <v>15.0</v>
      </c>
      <c r="O19" s="400" t="s">
        <v>405</v>
      </c>
      <c r="P19" s="399" t="s">
        <v>44</v>
      </c>
      <c r="Q19" s="316" t="s">
        <v>348</v>
      </c>
      <c r="R19" s="398" t="b">
        <v>0</v>
      </c>
      <c r="S19" s="399" t="b">
        <v>1</v>
      </c>
      <c r="T19" s="401"/>
      <c r="U19" s="402" t="s">
        <v>44</v>
      </c>
      <c r="V19" s="403"/>
      <c r="W19" s="404" t="s">
        <v>407</v>
      </c>
      <c r="X19" s="413"/>
      <c r="Y19" s="316" t="s">
        <v>437</v>
      </c>
      <c r="Z19" s="316" t="s">
        <v>446</v>
      </c>
      <c r="AB19" s="405" t="str">
        <f t="shared" si="1"/>
        <v>2 - Weak</v>
      </c>
      <c r="AC19" s="213"/>
    </row>
    <row r="20" ht="112.5" customHeight="1">
      <c r="A20" s="213"/>
      <c r="B20" s="412">
        <v>15.0</v>
      </c>
      <c r="C20" s="406" t="s">
        <v>447</v>
      </c>
      <c r="D20" s="407" t="b">
        <v>0</v>
      </c>
      <c r="E20" s="408" t="b">
        <v>0</v>
      </c>
      <c r="F20" s="408" t="b">
        <v>0</v>
      </c>
      <c r="G20" s="408" t="b">
        <v>0</v>
      </c>
      <c r="H20" s="408" t="b">
        <v>0</v>
      </c>
      <c r="I20" s="408" t="b">
        <v>0</v>
      </c>
      <c r="J20" s="408" t="b">
        <v>0</v>
      </c>
      <c r="K20" s="408" t="b">
        <v>0</v>
      </c>
      <c r="L20" s="408" t="b">
        <v>1</v>
      </c>
      <c r="M20" s="409" t="b">
        <v>0</v>
      </c>
      <c r="N20" s="407">
        <v>29.0</v>
      </c>
      <c r="O20" s="400" t="s">
        <v>405</v>
      </c>
      <c r="P20" s="409" t="s">
        <v>448</v>
      </c>
      <c r="Q20" s="408" t="s">
        <v>348</v>
      </c>
      <c r="R20" s="407" t="b">
        <v>1</v>
      </c>
      <c r="S20" s="409" t="b">
        <v>1</v>
      </c>
      <c r="T20" s="410">
        <v>1.0</v>
      </c>
      <c r="U20" s="411" t="s">
        <v>435</v>
      </c>
      <c r="V20" s="394"/>
      <c r="W20" s="395" t="s">
        <v>407</v>
      </c>
      <c r="X20" s="408" t="s">
        <v>449</v>
      </c>
      <c r="Y20" s="408" t="s">
        <v>437</v>
      </c>
      <c r="Z20" s="408" t="s">
        <v>450</v>
      </c>
      <c r="AB20" s="405" t="str">
        <f t="shared" si="1"/>
        <v>3 - Empowered</v>
      </c>
      <c r="AC20" s="213"/>
    </row>
    <row r="21" ht="112.5" customHeight="1">
      <c r="A21" s="213"/>
      <c r="B21" s="412">
        <v>16.0</v>
      </c>
      <c r="C21" s="397" t="s">
        <v>451</v>
      </c>
      <c r="D21" s="398" t="b">
        <v>0</v>
      </c>
      <c r="E21" s="316" t="b">
        <v>0</v>
      </c>
      <c r="F21" s="316" t="b">
        <v>0</v>
      </c>
      <c r="G21" s="316" t="b">
        <v>0</v>
      </c>
      <c r="H21" s="316" t="b">
        <v>0</v>
      </c>
      <c r="I21" s="316" t="b">
        <v>0</v>
      </c>
      <c r="J21" s="316" t="b">
        <v>0</v>
      </c>
      <c r="K21" s="316" t="b">
        <v>0</v>
      </c>
      <c r="L21" s="316" t="b">
        <v>1</v>
      </c>
      <c r="M21" s="399" t="b">
        <v>0</v>
      </c>
      <c r="N21" s="398">
        <v>29.0</v>
      </c>
      <c r="O21" s="400" t="s">
        <v>405</v>
      </c>
      <c r="P21" s="399" t="s">
        <v>452</v>
      </c>
      <c r="Q21" s="316" t="s">
        <v>348</v>
      </c>
      <c r="R21" s="398" t="b">
        <v>1</v>
      </c>
      <c r="S21" s="399" t="b">
        <v>1</v>
      </c>
      <c r="T21" s="401"/>
      <c r="U21" s="402" t="s">
        <v>44</v>
      </c>
      <c r="V21" s="403"/>
      <c r="W21" s="404" t="s">
        <v>407</v>
      </c>
      <c r="X21" s="316" t="s">
        <v>453</v>
      </c>
      <c r="Y21" s="316" t="s">
        <v>417</v>
      </c>
      <c r="Z21" s="316" t="s">
        <v>454</v>
      </c>
      <c r="AB21" s="405" t="str">
        <f t="shared" si="1"/>
        <v>3 - Empowered</v>
      </c>
      <c r="AC21" s="213"/>
    </row>
    <row r="22" ht="112.5" customHeight="1">
      <c r="A22" s="213"/>
      <c r="B22" s="412">
        <v>17.0</v>
      </c>
      <c r="C22" s="406" t="s">
        <v>455</v>
      </c>
      <c r="D22" s="407" t="b">
        <v>0</v>
      </c>
      <c r="E22" s="408" t="b">
        <v>0</v>
      </c>
      <c r="F22" s="408" t="b">
        <v>0</v>
      </c>
      <c r="G22" s="408" t="b">
        <v>0</v>
      </c>
      <c r="H22" s="408" t="b">
        <v>0</v>
      </c>
      <c r="I22" s="408" t="b">
        <v>0</v>
      </c>
      <c r="J22" s="408" t="b">
        <v>0</v>
      </c>
      <c r="K22" s="408" t="b">
        <v>0</v>
      </c>
      <c r="L22" s="408" t="b">
        <v>1</v>
      </c>
      <c r="M22" s="409" t="b">
        <v>0</v>
      </c>
      <c r="N22" s="407">
        <v>21.0</v>
      </c>
      <c r="O22" s="400" t="s">
        <v>405</v>
      </c>
      <c r="P22" s="409" t="s">
        <v>411</v>
      </c>
      <c r="Q22" s="408" t="s">
        <v>348</v>
      </c>
      <c r="R22" s="407" t="b">
        <v>1</v>
      </c>
      <c r="S22" s="409" t="b">
        <v>1</v>
      </c>
      <c r="T22" s="410"/>
      <c r="U22" s="411" t="s">
        <v>44</v>
      </c>
      <c r="V22" s="394"/>
      <c r="W22" s="395" t="s">
        <v>432</v>
      </c>
      <c r="X22" s="408">
        <v>1.0</v>
      </c>
      <c r="Y22" s="408" t="s">
        <v>437</v>
      </c>
      <c r="Z22" s="408" t="s">
        <v>456</v>
      </c>
      <c r="AB22" s="405" t="str">
        <f t="shared" si="1"/>
        <v>3 - Empowered</v>
      </c>
      <c r="AC22" s="213"/>
    </row>
    <row r="23" ht="112.5" customHeight="1">
      <c r="A23" s="213"/>
      <c r="B23" s="386">
        <v>18.0</v>
      </c>
      <c r="C23" s="397" t="s">
        <v>457</v>
      </c>
      <c r="D23" s="398" t="b">
        <v>0</v>
      </c>
      <c r="E23" s="316" t="b">
        <v>0</v>
      </c>
      <c r="F23" s="316" t="b">
        <v>0</v>
      </c>
      <c r="G23" s="316" t="b">
        <v>0</v>
      </c>
      <c r="H23" s="316" t="b">
        <v>0</v>
      </c>
      <c r="I23" s="316" t="b">
        <v>0</v>
      </c>
      <c r="J23" s="316" t="b">
        <v>0</v>
      </c>
      <c r="K23" s="316" t="b">
        <v>0</v>
      </c>
      <c r="L23" s="316" t="b">
        <v>1</v>
      </c>
      <c r="M23" s="399" t="b">
        <v>0</v>
      </c>
      <c r="N23" s="398">
        <v>33.0</v>
      </c>
      <c r="O23" s="400" t="s">
        <v>405</v>
      </c>
      <c r="P23" s="399" t="s">
        <v>448</v>
      </c>
      <c r="Q23" s="316" t="s">
        <v>348</v>
      </c>
      <c r="R23" s="398" t="b">
        <v>1</v>
      </c>
      <c r="S23" s="399" t="b">
        <v>1</v>
      </c>
      <c r="T23" s="401"/>
      <c r="U23" s="402" t="s">
        <v>44</v>
      </c>
      <c r="V23" s="403"/>
      <c r="W23" s="404" t="s">
        <v>432</v>
      </c>
      <c r="X23" s="316" t="s">
        <v>458</v>
      </c>
      <c r="Y23" s="316" t="s">
        <v>437</v>
      </c>
      <c r="Z23" s="414" t="s">
        <v>459</v>
      </c>
      <c r="AB23" s="405" t="str">
        <f t="shared" si="1"/>
        <v>4 - Mighty</v>
      </c>
      <c r="AC23" s="213"/>
    </row>
    <row r="24" ht="112.5" customHeight="1">
      <c r="A24" s="213"/>
      <c r="B24" s="412">
        <v>19.0</v>
      </c>
      <c r="C24" s="406" t="s">
        <v>460</v>
      </c>
      <c r="D24" s="407" t="b">
        <v>0</v>
      </c>
      <c r="E24" s="408" t="b">
        <v>0</v>
      </c>
      <c r="F24" s="408" t="b">
        <v>0</v>
      </c>
      <c r="G24" s="408" t="b">
        <v>1</v>
      </c>
      <c r="H24" s="408" t="b">
        <v>0</v>
      </c>
      <c r="I24" s="408" t="b">
        <v>0</v>
      </c>
      <c r="J24" s="408" t="b">
        <v>0</v>
      </c>
      <c r="K24" s="408" t="b">
        <v>0</v>
      </c>
      <c r="L24" s="408" t="b">
        <v>0</v>
      </c>
      <c r="M24" s="409" t="b">
        <v>0</v>
      </c>
      <c r="N24" s="407">
        <v>44.0</v>
      </c>
      <c r="O24" s="400" t="s">
        <v>405</v>
      </c>
      <c r="P24" s="409" t="s">
        <v>406</v>
      </c>
      <c r="Q24" s="408" t="s">
        <v>348</v>
      </c>
      <c r="R24" s="407" t="b">
        <v>1</v>
      </c>
      <c r="S24" s="409" t="b">
        <v>1</v>
      </c>
      <c r="T24" s="410"/>
      <c r="U24" s="411" t="s">
        <v>44</v>
      </c>
      <c r="V24" s="394"/>
      <c r="W24" s="395" t="s">
        <v>407</v>
      </c>
      <c r="X24" s="408">
        <v>1.0</v>
      </c>
      <c r="Y24" s="408" t="s">
        <v>437</v>
      </c>
      <c r="Z24" s="408" t="s">
        <v>461</v>
      </c>
      <c r="AB24" s="405" t="str">
        <f t="shared" si="1"/>
        <v>5 - Heroic</v>
      </c>
      <c r="AC24" s="213"/>
    </row>
    <row r="25" ht="112.5" customHeight="1">
      <c r="A25" s="213"/>
      <c r="B25" s="386">
        <v>20.0</v>
      </c>
      <c r="C25" s="397" t="s">
        <v>462</v>
      </c>
      <c r="D25" s="398" t="b">
        <v>0</v>
      </c>
      <c r="E25" s="316" t="b">
        <v>0</v>
      </c>
      <c r="F25" s="316" t="b">
        <v>0</v>
      </c>
      <c r="G25" s="316" t="b">
        <v>0</v>
      </c>
      <c r="H25" s="316" t="b">
        <v>0</v>
      </c>
      <c r="I25" s="316" t="b">
        <v>0</v>
      </c>
      <c r="J25" s="316" t="b">
        <v>0</v>
      </c>
      <c r="K25" s="316" t="b">
        <v>0</v>
      </c>
      <c r="L25" s="316" t="b">
        <v>1</v>
      </c>
      <c r="M25" s="399" t="b">
        <v>0</v>
      </c>
      <c r="N25" s="398">
        <v>65.0</v>
      </c>
      <c r="O25" s="400" t="s">
        <v>405</v>
      </c>
      <c r="P25" s="399" t="s">
        <v>448</v>
      </c>
      <c r="Q25" s="316" t="s">
        <v>348</v>
      </c>
      <c r="R25" s="398" t="b">
        <v>1</v>
      </c>
      <c r="S25" s="399" t="b">
        <v>1</v>
      </c>
      <c r="T25" s="401">
        <v>1.0</v>
      </c>
      <c r="U25" s="402" t="s">
        <v>435</v>
      </c>
      <c r="V25" s="403"/>
      <c r="W25" s="404" t="s">
        <v>432</v>
      </c>
      <c r="X25" s="316" t="s">
        <v>463</v>
      </c>
      <c r="Y25" s="316" t="s">
        <v>417</v>
      </c>
      <c r="Z25" s="316" t="s">
        <v>464</v>
      </c>
      <c r="AB25" s="405" t="str">
        <f t="shared" si="1"/>
        <v>6 - Godly</v>
      </c>
      <c r="AC25" s="213"/>
    </row>
    <row r="26" ht="112.5" customHeight="1">
      <c r="A26" s="213"/>
      <c r="B26" s="412">
        <v>21.0</v>
      </c>
      <c r="C26" s="406" t="s">
        <v>465</v>
      </c>
      <c r="D26" s="407" t="b">
        <v>0</v>
      </c>
      <c r="E26" s="408" t="b">
        <v>0</v>
      </c>
      <c r="F26" s="408" t="b">
        <v>0</v>
      </c>
      <c r="G26" s="408" t="b">
        <v>0</v>
      </c>
      <c r="H26" s="408" t="b">
        <v>0</v>
      </c>
      <c r="I26" s="408" t="b">
        <v>0</v>
      </c>
      <c r="J26" s="408" t="b">
        <v>0</v>
      </c>
      <c r="K26" s="408" t="b">
        <v>0</v>
      </c>
      <c r="L26" s="408" t="b">
        <v>1</v>
      </c>
      <c r="M26" s="409" t="b">
        <v>0</v>
      </c>
      <c r="N26" s="407">
        <v>12.0</v>
      </c>
      <c r="O26" s="400" t="s">
        <v>405</v>
      </c>
      <c r="P26" s="409" t="s">
        <v>44</v>
      </c>
      <c r="Q26" s="408" t="s">
        <v>348</v>
      </c>
      <c r="R26" s="407" t="b">
        <v>1</v>
      </c>
      <c r="S26" s="409" t="b">
        <v>1</v>
      </c>
      <c r="T26" s="410"/>
      <c r="U26" s="411" t="s">
        <v>44</v>
      </c>
      <c r="V26" s="394"/>
      <c r="W26" s="395" t="s">
        <v>407</v>
      </c>
      <c r="X26" s="408" t="s">
        <v>466</v>
      </c>
      <c r="Y26" s="408" t="s">
        <v>467</v>
      </c>
      <c r="Z26" s="408" t="s">
        <v>468</v>
      </c>
      <c r="AB26" s="405" t="str">
        <f t="shared" si="1"/>
        <v>2 - Weak</v>
      </c>
      <c r="AC26" s="213"/>
    </row>
    <row r="27" ht="112.5" customHeight="1">
      <c r="A27" s="213"/>
      <c r="B27" s="412">
        <v>22.0</v>
      </c>
      <c r="C27" s="397"/>
      <c r="D27" s="398" t="b">
        <v>0</v>
      </c>
      <c r="E27" s="316" t="b">
        <v>0</v>
      </c>
      <c r="F27" s="316" t="b">
        <v>0</v>
      </c>
      <c r="G27" s="316" t="b">
        <v>0</v>
      </c>
      <c r="H27" s="316" t="b">
        <v>0</v>
      </c>
      <c r="I27" s="316" t="b">
        <v>0</v>
      </c>
      <c r="J27" s="316" t="b">
        <v>0</v>
      </c>
      <c r="K27" s="316" t="b">
        <v>0</v>
      </c>
      <c r="L27" s="316" t="b">
        <v>0</v>
      </c>
      <c r="M27" s="399" t="b">
        <v>0</v>
      </c>
      <c r="N27" s="398"/>
      <c r="O27" s="400" t="s">
        <v>405</v>
      </c>
      <c r="P27" s="399"/>
      <c r="Q27" s="316"/>
      <c r="R27" s="398" t="b">
        <v>0</v>
      </c>
      <c r="S27" s="399" t="b">
        <v>0</v>
      </c>
      <c r="T27" s="401"/>
      <c r="U27" s="402"/>
      <c r="V27" s="403"/>
      <c r="W27" s="404"/>
      <c r="X27" s="316"/>
      <c r="Y27" s="316"/>
      <c r="Z27" s="316"/>
      <c r="AB27" s="405" t="str">
        <f t="shared" si="1"/>
        <v/>
      </c>
      <c r="AC27" s="213"/>
    </row>
    <row r="28" ht="112.5" customHeight="1">
      <c r="A28" s="213"/>
      <c r="B28" s="412">
        <v>23.0</v>
      </c>
      <c r="C28" s="406"/>
      <c r="D28" s="407" t="b">
        <v>0</v>
      </c>
      <c r="E28" s="408" t="b">
        <v>0</v>
      </c>
      <c r="F28" s="408" t="b">
        <v>0</v>
      </c>
      <c r="G28" s="408" t="b">
        <v>0</v>
      </c>
      <c r="H28" s="408" t="b">
        <v>0</v>
      </c>
      <c r="I28" s="408" t="b">
        <v>0</v>
      </c>
      <c r="J28" s="408" t="b">
        <v>0</v>
      </c>
      <c r="K28" s="408" t="b">
        <v>0</v>
      </c>
      <c r="L28" s="408" t="b">
        <v>0</v>
      </c>
      <c r="M28" s="409" t="b">
        <v>0</v>
      </c>
      <c r="N28" s="407"/>
      <c r="O28" s="400" t="s">
        <v>405</v>
      </c>
      <c r="P28" s="409"/>
      <c r="Q28" s="408"/>
      <c r="R28" s="407" t="b">
        <v>0</v>
      </c>
      <c r="S28" s="409" t="b">
        <v>0</v>
      </c>
      <c r="T28" s="410"/>
      <c r="U28" s="411"/>
      <c r="V28" s="394"/>
      <c r="W28" s="395"/>
      <c r="X28" s="408"/>
      <c r="Y28" s="408"/>
      <c r="Z28" s="408"/>
      <c r="AB28" s="405" t="str">
        <f t="shared" si="1"/>
        <v/>
      </c>
      <c r="AC28" s="213"/>
    </row>
    <row r="29" ht="112.5" customHeight="1">
      <c r="A29" s="213"/>
      <c r="B29" s="412">
        <v>24.0</v>
      </c>
      <c r="C29" s="397"/>
      <c r="D29" s="398" t="b">
        <v>0</v>
      </c>
      <c r="E29" s="316" t="b">
        <v>0</v>
      </c>
      <c r="F29" s="316" t="b">
        <v>0</v>
      </c>
      <c r="G29" s="316" t="b">
        <v>0</v>
      </c>
      <c r="H29" s="316" t="b">
        <v>0</v>
      </c>
      <c r="I29" s="316" t="b">
        <v>0</v>
      </c>
      <c r="J29" s="316" t="b">
        <v>0</v>
      </c>
      <c r="K29" s="316" t="b">
        <v>0</v>
      </c>
      <c r="L29" s="316" t="b">
        <v>0</v>
      </c>
      <c r="M29" s="399" t="b">
        <v>0</v>
      </c>
      <c r="N29" s="398"/>
      <c r="O29" s="400" t="s">
        <v>405</v>
      </c>
      <c r="P29" s="399"/>
      <c r="Q29" s="316"/>
      <c r="R29" s="398" t="b">
        <v>0</v>
      </c>
      <c r="S29" s="399" t="b">
        <v>0</v>
      </c>
      <c r="T29" s="401"/>
      <c r="U29" s="402"/>
      <c r="V29" s="403"/>
      <c r="W29" s="404"/>
      <c r="X29" s="316"/>
      <c r="Y29" s="316"/>
      <c r="Z29" s="316"/>
      <c r="AB29" s="405" t="str">
        <f t="shared" si="1"/>
        <v/>
      </c>
      <c r="AC29" s="213"/>
    </row>
    <row r="30" ht="112.5" customHeight="1">
      <c r="A30" s="213"/>
      <c r="B30" s="412">
        <v>25.0</v>
      </c>
      <c r="C30" s="406"/>
      <c r="D30" s="407" t="b">
        <v>0</v>
      </c>
      <c r="E30" s="408" t="b">
        <v>0</v>
      </c>
      <c r="F30" s="408" t="b">
        <v>0</v>
      </c>
      <c r="G30" s="408" t="b">
        <v>0</v>
      </c>
      <c r="H30" s="408" t="b">
        <v>0</v>
      </c>
      <c r="I30" s="408" t="b">
        <v>0</v>
      </c>
      <c r="J30" s="408" t="b">
        <v>0</v>
      </c>
      <c r="K30" s="408" t="b">
        <v>0</v>
      </c>
      <c r="L30" s="408" t="b">
        <v>0</v>
      </c>
      <c r="M30" s="409" t="b">
        <v>0</v>
      </c>
      <c r="N30" s="407"/>
      <c r="O30" s="400" t="s">
        <v>405</v>
      </c>
      <c r="P30" s="409"/>
      <c r="Q30" s="408"/>
      <c r="R30" s="407" t="b">
        <v>0</v>
      </c>
      <c r="S30" s="409" t="b">
        <v>0</v>
      </c>
      <c r="T30" s="410"/>
      <c r="U30" s="411"/>
      <c r="V30" s="394"/>
      <c r="W30" s="395"/>
      <c r="X30" s="408"/>
      <c r="Y30" s="408"/>
      <c r="Z30" s="408"/>
      <c r="AB30" s="405" t="str">
        <f t="shared" si="1"/>
        <v/>
      </c>
      <c r="AC30" s="213"/>
    </row>
    <row r="31" ht="112.5" customHeight="1">
      <c r="A31" s="213"/>
      <c r="B31" s="386">
        <v>26.0</v>
      </c>
      <c r="C31" s="397"/>
      <c r="D31" s="398" t="b">
        <v>0</v>
      </c>
      <c r="E31" s="316" t="b">
        <v>0</v>
      </c>
      <c r="F31" s="316" t="b">
        <v>0</v>
      </c>
      <c r="G31" s="316" t="b">
        <v>0</v>
      </c>
      <c r="H31" s="316" t="b">
        <v>0</v>
      </c>
      <c r="I31" s="316" t="b">
        <v>0</v>
      </c>
      <c r="J31" s="316" t="b">
        <v>0</v>
      </c>
      <c r="K31" s="316" t="b">
        <v>0</v>
      </c>
      <c r="L31" s="316" t="b">
        <v>0</v>
      </c>
      <c r="M31" s="399" t="b">
        <v>0</v>
      </c>
      <c r="N31" s="398"/>
      <c r="O31" s="400" t="s">
        <v>405</v>
      </c>
      <c r="P31" s="399"/>
      <c r="Q31" s="316"/>
      <c r="R31" s="398" t="b">
        <v>0</v>
      </c>
      <c r="S31" s="399" t="b">
        <v>0</v>
      </c>
      <c r="T31" s="401"/>
      <c r="U31" s="402"/>
      <c r="V31" s="403"/>
      <c r="W31" s="404"/>
      <c r="X31" s="316"/>
      <c r="Y31" s="316"/>
      <c r="Z31" s="316"/>
      <c r="AB31" s="405" t="str">
        <f t="shared" si="1"/>
        <v/>
      </c>
      <c r="AC31" s="213"/>
    </row>
    <row r="32" ht="112.5" customHeight="1">
      <c r="A32" s="213"/>
      <c r="B32" s="412">
        <v>27.0</v>
      </c>
      <c r="C32" s="406"/>
      <c r="D32" s="407" t="b">
        <v>0</v>
      </c>
      <c r="E32" s="408" t="b">
        <v>0</v>
      </c>
      <c r="F32" s="408" t="b">
        <v>0</v>
      </c>
      <c r="G32" s="408" t="b">
        <v>0</v>
      </c>
      <c r="H32" s="408" t="b">
        <v>0</v>
      </c>
      <c r="I32" s="408" t="b">
        <v>0</v>
      </c>
      <c r="J32" s="408" t="b">
        <v>0</v>
      </c>
      <c r="K32" s="408" t="b">
        <v>0</v>
      </c>
      <c r="L32" s="408" t="b">
        <v>0</v>
      </c>
      <c r="M32" s="409" t="b">
        <v>0</v>
      </c>
      <c r="N32" s="407"/>
      <c r="O32" s="400" t="s">
        <v>405</v>
      </c>
      <c r="P32" s="409"/>
      <c r="Q32" s="408"/>
      <c r="R32" s="407" t="b">
        <v>0</v>
      </c>
      <c r="S32" s="409" t="b">
        <v>0</v>
      </c>
      <c r="T32" s="410"/>
      <c r="U32" s="411"/>
      <c r="V32" s="394"/>
      <c r="W32" s="395"/>
      <c r="X32" s="408"/>
      <c r="Y32" s="408"/>
      <c r="Z32" s="408"/>
      <c r="AB32" s="405" t="str">
        <f t="shared" si="1"/>
        <v/>
      </c>
      <c r="AC32" s="213"/>
    </row>
    <row r="33" ht="112.5" customHeight="1">
      <c r="A33" s="213"/>
      <c r="B33" s="412">
        <v>28.0</v>
      </c>
      <c r="C33" s="397"/>
      <c r="D33" s="398" t="b">
        <v>0</v>
      </c>
      <c r="E33" s="316" t="b">
        <v>0</v>
      </c>
      <c r="F33" s="316" t="b">
        <v>0</v>
      </c>
      <c r="G33" s="316" t="b">
        <v>0</v>
      </c>
      <c r="H33" s="316" t="b">
        <v>0</v>
      </c>
      <c r="I33" s="316" t="b">
        <v>0</v>
      </c>
      <c r="J33" s="316" t="b">
        <v>0</v>
      </c>
      <c r="K33" s="316" t="b">
        <v>0</v>
      </c>
      <c r="L33" s="316" t="b">
        <v>0</v>
      </c>
      <c r="M33" s="399" t="b">
        <v>0</v>
      </c>
      <c r="N33" s="398"/>
      <c r="O33" s="400" t="s">
        <v>405</v>
      </c>
      <c r="P33" s="399"/>
      <c r="Q33" s="316"/>
      <c r="R33" s="398" t="b">
        <v>0</v>
      </c>
      <c r="S33" s="399" t="b">
        <v>0</v>
      </c>
      <c r="T33" s="401"/>
      <c r="U33" s="402"/>
      <c r="V33" s="403"/>
      <c r="W33" s="404"/>
      <c r="X33" s="316"/>
      <c r="Y33" s="316"/>
      <c r="Z33" s="316"/>
      <c r="AB33" s="405" t="str">
        <f t="shared" si="1"/>
        <v/>
      </c>
      <c r="AC33" s="213"/>
    </row>
    <row r="34" ht="112.5" customHeight="1">
      <c r="A34" s="213"/>
      <c r="B34" s="415">
        <v>29.0</v>
      </c>
      <c r="C34" s="416"/>
      <c r="D34" s="417" t="b">
        <v>0</v>
      </c>
      <c r="E34" s="418" t="b">
        <v>0</v>
      </c>
      <c r="F34" s="418" t="b">
        <v>0</v>
      </c>
      <c r="G34" s="418" t="b">
        <v>0</v>
      </c>
      <c r="H34" s="418" t="b">
        <v>0</v>
      </c>
      <c r="I34" s="418" t="b">
        <v>0</v>
      </c>
      <c r="J34" s="418" t="b">
        <v>0</v>
      </c>
      <c r="K34" s="418" t="b">
        <v>0</v>
      </c>
      <c r="L34" s="418" t="b">
        <v>0</v>
      </c>
      <c r="M34" s="419" t="b">
        <v>0</v>
      </c>
      <c r="N34" s="417"/>
      <c r="O34" s="420" t="s">
        <v>405</v>
      </c>
      <c r="P34" s="419"/>
      <c r="Q34" s="418"/>
      <c r="R34" s="417" t="b">
        <v>0</v>
      </c>
      <c r="S34" s="419" t="b">
        <v>0</v>
      </c>
      <c r="T34" s="421"/>
      <c r="U34" s="422"/>
      <c r="V34" s="423"/>
      <c r="W34" s="424"/>
      <c r="X34" s="418"/>
      <c r="Y34" s="418"/>
      <c r="Z34" s="418"/>
      <c r="AA34" s="186"/>
      <c r="AB34" s="425" t="str">
        <f t="shared" si="1"/>
        <v/>
      </c>
      <c r="AC34" s="213"/>
    </row>
    <row r="35" ht="7.5" customHeight="1">
      <c r="A35" s="213"/>
      <c r="B35" s="300"/>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6"/>
      <c r="B1" s="356" t="s">
        <v>469</v>
      </c>
      <c r="M1" s="427"/>
    </row>
    <row r="2" ht="16.5" customHeight="1">
      <c r="A2" s="426"/>
      <c r="B2" s="428" t="s">
        <v>470</v>
      </c>
      <c r="C2" s="429"/>
      <c r="D2" s="430"/>
      <c r="E2" s="430"/>
      <c r="F2" s="430"/>
      <c r="G2" s="430"/>
      <c r="H2" s="430"/>
      <c r="I2" s="430"/>
      <c r="J2" s="430"/>
      <c r="K2" s="430"/>
      <c r="L2" s="430"/>
      <c r="M2" s="426"/>
    </row>
    <row r="3" ht="16.5" customHeight="1">
      <c r="A3" s="426"/>
      <c r="B3" s="428" t="s">
        <v>471</v>
      </c>
      <c r="C3" s="431"/>
      <c r="D3" s="431"/>
      <c r="E3" s="431"/>
      <c r="F3" s="431"/>
      <c r="G3" s="431"/>
      <c r="H3" s="431"/>
      <c r="I3" s="431"/>
      <c r="J3" s="431"/>
      <c r="K3" s="431"/>
      <c r="L3" s="431"/>
      <c r="M3" s="426"/>
    </row>
    <row r="4" ht="16.5" customHeight="1">
      <c r="A4" s="426"/>
      <c r="B4" s="432" t="s">
        <v>472</v>
      </c>
      <c r="C4" s="433"/>
      <c r="D4" s="433"/>
      <c r="E4" s="433"/>
      <c r="F4" s="433"/>
      <c r="G4" s="433"/>
      <c r="H4" s="433"/>
      <c r="I4" s="433"/>
      <c r="J4" s="433"/>
      <c r="K4" s="433"/>
      <c r="L4" s="433"/>
      <c r="M4" s="426"/>
    </row>
    <row r="5" ht="16.5" customHeight="1">
      <c r="A5" s="426"/>
      <c r="B5" s="434" t="s">
        <v>473</v>
      </c>
      <c r="C5" s="435" t="s">
        <v>474</v>
      </c>
      <c r="D5" s="435" t="s">
        <v>475</v>
      </c>
      <c r="E5" s="431"/>
      <c r="F5" s="431"/>
      <c r="G5" s="431"/>
      <c r="H5" s="431"/>
      <c r="I5" s="431"/>
      <c r="J5" s="431"/>
      <c r="K5" s="431"/>
      <c r="L5" s="431"/>
      <c r="M5" s="426"/>
    </row>
    <row r="6" ht="37.5" customHeight="1">
      <c r="A6" s="426"/>
      <c r="B6" s="436" t="s">
        <v>476</v>
      </c>
      <c r="C6" s="196"/>
      <c r="D6" s="196"/>
      <c r="E6" s="196"/>
      <c r="F6" s="196"/>
      <c r="G6" s="196"/>
      <c r="H6" s="196"/>
      <c r="I6" s="196"/>
      <c r="J6" s="196"/>
      <c r="K6" s="196"/>
      <c r="L6" s="197"/>
      <c r="M6" s="426"/>
    </row>
    <row r="7" ht="37.5" customHeight="1">
      <c r="A7" s="426"/>
      <c r="B7" s="437" t="s">
        <v>477</v>
      </c>
      <c r="L7" s="438"/>
      <c r="M7" s="426"/>
    </row>
    <row r="8" ht="37.5" customHeight="1">
      <c r="A8" s="426"/>
      <c r="B8" s="439" t="s">
        <v>478</v>
      </c>
      <c r="L8" s="440"/>
      <c r="M8" s="426"/>
    </row>
    <row r="9" ht="37.5" customHeight="1">
      <c r="A9" s="426"/>
      <c r="B9" s="437" t="s">
        <v>479</v>
      </c>
      <c r="L9" s="438"/>
      <c r="M9" s="426"/>
    </row>
    <row r="10" ht="37.5" customHeight="1">
      <c r="A10" s="426"/>
      <c r="B10" s="439" t="s">
        <v>480</v>
      </c>
      <c r="L10" s="440"/>
      <c r="M10" s="426"/>
    </row>
    <row r="11" ht="37.5" customHeight="1">
      <c r="A11" s="426"/>
      <c r="B11" s="437" t="s">
        <v>481</v>
      </c>
      <c r="L11" s="438"/>
      <c r="M11" s="426"/>
    </row>
    <row r="12" ht="37.5" customHeight="1">
      <c r="A12" s="426"/>
      <c r="B12" s="441" t="s">
        <v>482</v>
      </c>
      <c r="L12" s="440"/>
      <c r="M12" s="426"/>
    </row>
    <row r="13" ht="37.5" customHeight="1">
      <c r="A13" s="426"/>
      <c r="B13" s="442"/>
      <c r="L13" s="438"/>
      <c r="M13" s="426"/>
    </row>
    <row r="14" ht="37.5" customHeight="1">
      <c r="A14" s="426"/>
      <c r="B14" s="439" t="s">
        <v>483</v>
      </c>
      <c r="L14" s="440"/>
      <c r="M14" s="426"/>
    </row>
    <row r="15" ht="37.5" customHeight="1">
      <c r="A15" s="426"/>
      <c r="B15" s="437" t="s">
        <v>484</v>
      </c>
      <c r="L15" s="438"/>
      <c r="M15" s="426"/>
    </row>
    <row r="16" ht="37.5" customHeight="1">
      <c r="A16" s="426"/>
      <c r="B16" s="439" t="s">
        <v>485</v>
      </c>
      <c r="L16" s="440"/>
      <c r="M16" s="426"/>
    </row>
    <row r="17" ht="37.5" customHeight="1">
      <c r="A17" s="426"/>
      <c r="B17" s="437" t="s">
        <v>486</v>
      </c>
      <c r="L17" s="438"/>
      <c r="M17" s="426"/>
    </row>
    <row r="18" ht="37.5" customHeight="1">
      <c r="A18" s="426"/>
      <c r="B18" s="439" t="s">
        <v>487</v>
      </c>
      <c r="L18" s="440"/>
      <c r="M18" s="426"/>
    </row>
    <row r="19" ht="37.5" customHeight="1">
      <c r="A19" s="426"/>
      <c r="B19" s="437" t="s">
        <v>488</v>
      </c>
      <c r="L19" s="438"/>
      <c r="M19" s="426"/>
    </row>
    <row r="20" ht="37.5" customHeight="1">
      <c r="A20" s="426"/>
      <c r="B20" s="439" t="s">
        <v>489</v>
      </c>
      <c r="L20" s="440"/>
      <c r="M20" s="426"/>
    </row>
    <row r="21" ht="37.5" customHeight="1">
      <c r="A21" s="426"/>
      <c r="B21" s="437" t="s">
        <v>490</v>
      </c>
      <c r="L21" s="438"/>
      <c r="M21" s="426"/>
    </row>
    <row r="22" ht="37.5" customHeight="1">
      <c r="A22" s="426"/>
      <c r="B22" s="443"/>
      <c r="L22" s="440"/>
      <c r="M22" s="426"/>
    </row>
    <row r="23" ht="37.5" customHeight="1">
      <c r="A23" s="426"/>
      <c r="B23" s="442"/>
      <c r="L23" s="438"/>
      <c r="M23" s="426"/>
    </row>
    <row r="24" ht="37.5" customHeight="1">
      <c r="A24" s="426"/>
      <c r="B24" s="439" t="s">
        <v>491</v>
      </c>
      <c r="L24" s="440"/>
      <c r="M24" s="426"/>
    </row>
    <row r="25" ht="37.5" customHeight="1">
      <c r="A25" s="426"/>
      <c r="B25" s="437" t="s">
        <v>492</v>
      </c>
      <c r="L25" s="438"/>
      <c r="M25" s="426"/>
    </row>
    <row r="26" ht="37.5" customHeight="1">
      <c r="A26" s="426"/>
      <c r="B26" s="439" t="s">
        <v>493</v>
      </c>
      <c r="L26" s="440"/>
      <c r="M26" s="426"/>
    </row>
    <row r="27" ht="37.5" customHeight="1">
      <c r="A27" s="426"/>
      <c r="B27" s="442"/>
      <c r="L27" s="438"/>
      <c r="M27" s="426"/>
    </row>
    <row r="28" ht="37.5" customHeight="1">
      <c r="A28" s="426"/>
      <c r="B28" s="443"/>
      <c r="L28" s="440"/>
      <c r="M28" s="426"/>
    </row>
    <row r="29" ht="37.5" customHeight="1">
      <c r="A29" s="426"/>
      <c r="B29" s="442"/>
      <c r="L29" s="438"/>
      <c r="M29" s="426"/>
    </row>
    <row r="30" ht="37.5" customHeight="1">
      <c r="A30" s="426"/>
      <c r="B30" s="443"/>
      <c r="L30" s="440"/>
      <c r="M30" s="426"/>
    </row>
    <row r="31" ht="37.5" customHeight="1">
      <c r="A31" s="426"/>
      <c r="B31" s="442"/>
      <c r="L31" s="438"/>
      <c r="M31" s="426"/>
    </row>
    <row r="32" ht="37.5" customHeight="1">
      <c r="A32" s="426"/>
      <c r="B32" s="443"/>
      <c r="L32" s="440"/>
      <c r="M32" s="426"/>
    </row>
    <row r="33" ht="37.5" customHeight="1">
      <c r="A33" s="426"/>
      <c r="B33" s="442"/>
      <c r="L33" s="438"/>
      <c r="M33" s="426"/>
    </row>
    <row r="34" ht="37.5" customHeight="1">
      <c r="A34" s="426"/>
      <c r="B34" s="443"/>
      <c r="L34" s="440"/>
      <c r="M34" s="426"/>
    </row>
    <row r="35" ht="37.5" customHeight="1">
      <c r="A35" s="426"/>
      <c r="B35" s="442"/>
      <c r="L35" s="438"/>
      <c r="M35" s="426"/>
    </row>
    <row r="36" ht="37.5" customHeight="1">
      <c r="A36" s="426"/>
      <c r="B36" s="443"/>
      <c r="L36" s="440"/>
      <c r="M36" s="426"/>
    </row>
    <row r="37" ht="37.5" customHeight="1">
      <c r="A37" s="426"/>
      <c r="B37" s="442"/>
      <c r="L37" s="438"/>
      <c r="M37" s="426"/>
    </row>
    <row r="38" ht="37.5" customHeight="1">
      <c r="A38" s="426"/>
      <c r="B38" s="443"/>
      <c r="L38" s="440"/>
      <c r="M38" s="426"/>
    </row>
    <row r="39" ht="37.5" customHeight="1">
      <c r="A39" s="426"/>
      <c r="B39" s="442"/>
      <c r="L39" s="438"/>
      <c r="M39" s="426"/>
    </row>
    <row r="40" ht="37.5" customHeight="1">
      <c r="A40" s="426"/>
      <c r="B40" s="443"/>
      <c r="L40" s="440"/>
      <c r="M40" s="426"/>
    </row>
    <row r="41" ht="37.5" customHeight="1">
      <c r="A41" s="426"/>
      <c r="B41" s="442"/>
      <c r="L41" s="438"/>
      <c r="M41" s="426"/>
    </row>
    <row r="42" ht="37.5" customHeight="1">
      <c r="A42" s="426"/>
      <c r="B42" s="443"/>
      <c r="L42" s="440"/>
      <c r="M42" s="426"/>
    </row>
    <row r="43" ht="37.5" customHeight="1">
      <c r="A43" s="426"/>
      <c r="B43" s="442"/>
      <c r="L43" s="438"/>
      <c r="M43" s="426"/>
    </row>
    <row r="44" ht="37.5" customHeight="1">
      <c r="A44" s="426"/>
      <c r="B44" s="443"/>
      <c r="L44" s="440"/>
      <c r="M44" s="426"/>
    </row>
    <row r="45" ht="37.5" customHeight="1">
      <c r="A45" s="426"/>
      <c r="B45" s="442"/>
      <c r="L45" s="438"/>
      <c r="M45" s="426"/>
    </row>
    <row r="46" ht="37.5" customHeight="1">
      <c r="A46" s="426"/>
      <c r="B46" s="443"/>
      <c r="L46" s="440"/>
      <c r="M46" s="426"/>
    </row>
    <row r="47" ht="37.5" customHeight="1">
      <c r="A47" s="426"/>
      <c r="B47" s="442"/>
      <c r="L47" s="438"/>
      <c r="M47" s="426"/>
    </row>
    <row r="48" ht="37.5" customHeight="1">
      <c r="A48" s="426"/>
      <c r="B48" s="443"/>
      <c r="L48" s="440"/>
      <c r="M48" s="426"/>
    </row>
    <row r="49" ht="37.5" customHeight="1">
      <c r="A49" s="426"/>
      <c r="B49" s="442"/>
      <c r="L49" s="438"/>
      <c r="M49" s="426"/>
    </row>
    <row r="50" ht="37.5" customHeight="1">
      <c r="A50" s="426"/>
      <c r="B50" s="444" t="s">
        <v>494</v>
      </c>
      <c r="C50" s="186"/>
      <c r="D50" s="186"/>
      <c r="E50" s="186"/>
      <c r="F50" s="186"/>
      <c r="G50" s="186"/>
      <c r="H50" s="186"/>
      <c r="I50" s="186"/>
      <c r="J50" s="186"/>
      <c r="K50" s="186"/>
      <c r="L50" s="445"/>
      <c r="M50" s="426"/>
    </row>
    <row r="51" ht="7.5" customHeight="1">
      <c r="A51" s="426"/>
      <c r="B51" s="446"/>
      <c r="C51" s="446"/>
      <c r="D51" s="446"/>
      <c r="E51" s="446"/>
      <c r="F51" s="446"/>
      <c r="G51" s="446"/>
      <c r="H51" s="446"/>
      <c r="I51" s="446"/>
      <c r="J51" s="446"/>
      <c r="K51" s="446"/>
      <c r="L51" s="446"/>
      <c r="M51" s="426"/>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7"/>
      <c r="B1" s="447"/>
      <c r="E1" s="448"/>
    </row>
    <row r="2" ht="30.0" customHeight="1">
      <c r="B2" s="449" t="s">
        <v>495</v>
      </c>
      <c r="C2" s="450"/>
      <c r="D2" s="451" t="s">
        <v>496</v>
      </c>
    </row>
    <row r="3" ht="30.0" customHeight="1">
      <c r="B3" s="449" t="s">
        <v>497</v>
      </c>
      <c r="C3" s="452"/>
      <c r="D3" s="453" t="b">
        <v>0</v>
      </c>
    </row>
    <row r="4" ht="30.0" customHeight="1">
      <c r="B4" s="449" t="s">
        <v>498</v>
      </c>
      <c r="C4" s="452"/>
      <c r="D4" s="453" t="b">
        <v>0</v>
      </c>
    </row>
    <row r="5" ht="30.0" customHeight="1">
      <c r="B5" s="454"/>
      <c r="C5" s="452"/>
      <c r="D5" s="455"/>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6" t="str">
        <f t="array" ref="A1:ALL1">TRANSPOSE(indirect(Exploits!B3&amp;"!A:A"))</f>
        <v>Machine Interfacing</v>
      </c>
      <c r="B1" t="s">
        <v>499</v>
      </c>
      <c r="C1" t="s">
        <v>351</v>
      </c>
      <c r="D1" t="s">
        <v>363</v>
      </c>
      <c r="E1" t="s">
        <v>357</v>
      </c>
      <c r="F1" t="s">
        <v>364</v>
      </c>
      <c r="G1" t="s">
        <v>350</v>
      </c>
      <c r="H1" t="s">
        <v>365</v>
      </c>
      <c r="I1" t="s">
        <v>366</v>
      </c>
      <c r="J1" t="s">
        <v>367</v>
      </c>
      <c r="K1" t="s">
        <v>354</v>
      </c>
      <c r="L1" t="s">
        <v>356</v>
      </c>
      <c r="M1" t="s">
        <v>368</v>
      </c>
      <c r="N1" t="s">
        <v>353</v>
      </c>
      <c r="O1" t="s">
        <v>500</v>
      </c>
      <c r="P1" t="s">
        <v>369</v>
      </c>
      <c r="Q1" t="s">
        <v>355</v>
      </c>
      <c r="R1" t="s">
        <v>352</v>
      </c>
      <c r="S1" t="s">
        <v>370</v>
      </c>
      <c r="T1" t="s">
        <v>501</v>
      </c>
      <c r="U1" t="s">
        <v>371</v>
      </c>
      <c r="V1" t="s">
        <v>361</v>
      </c>
      <c r="W1" t="s">
        <v>372</v>
      </c>
      <c r="X1" t="s">
        <v>373</v>
      </c>
    </row>
    <row r="2">
      <c r="A2" s="456" t="str">
        <f t="array" ref="A2:ALL2">TRANSPOSE(indirect(Exploits!B4&amp;"!A:A"))</f>
        <v>Ancient Soul</v>
      </c>
      <c r="B2" t="s">
        <v>502</v>
      </c>
      <c r="C2" t="s">
        <v>324</v>
      </c>
      <c r="D2" t="s">
        <v>503</v>
      </c>
      <c r="E2" t="s">
        <v>504</v>
      </c>
      <c r="F2" t="s">
        <v>505</v>
      </c>
      <c r="G2" t="s">
        <v>506</v>
      </c>
      <c r="H2" t="s">
        <v>507</v>
      </c>
      <c r="I2" t="s">
        <v>508</v>
      </c>
      <c r="J2" t="s">
        <v>509</v>
      </c>
      <c r="K2" t="s">
        <v>510</v>
      </c>
      <c r="L2" t="s">
        <v>511</v>
      </c>
      <c r="M2" t="s">
        <v>512</v>
      </c>
      <c r="N2" t="s">
        <v>513</v>
      </c>
      <c r="O2" t="s">
        <v>514</v>
      </c>
      <c r="P2" t="s">
        <v>515</v>
      </c>
      <c r="Q2" t="s">
        <v>516</v>
      </c>
      <c r="R2" t="s">
        <v>342</v>
      </c>
      <c r="S2" t="s">
        <v>374</v>
      </c>
      <c r="T2" t="s">
        <v>517</v>
      </c>
      <c r="U2" t="s">
        <v>518</v>
      </c>
    </row>
    <row r="3">
      <c r="A3" s="456" t="str">
        <f t="array" ref="A3:ALL3">TRANSPOSE(indirect(Exploits!B5&amp;"!A:A"))</f>
        <v>Alluring Spark</v>
      </c>
      <c r="B3" t="s">
        <v>519</v>
      </c>
      <c r="C3" t="s">
        <v>328</v>
      </c>
      <c r="D3" t="s">
        <v>520</v>
      </c>
      <c r="E3" t="s">
        <v>521</v>
      </c>
    </row>
    <row r="4">
      <c r="A4" s="456" t="str">
        <f t="array" ref="A4:ALL4">TRANSPOSE(indirect(Exploits!B6&amp;"!A:A"))</f>
        <v>Alluring Spark</v>
      </c>
      <c r="B4" t="s">
        <v>519</v>
      </c>
      <c r="C4" t="s">
        <v>328</v>
      </c>
      <c r="D4" t="s">
        <v>520</v>
      </c>
      <c r="E4" t="s">
        <v>521</v>
      </c>
    </row>
    <row r="5">
      <c r="A5" s="456" t="str">
        <f t="array" ref="A5:ALL5">TRANSPOSE(indirect(Exploits!B7&amp;"!A:A"))</f>
        <v>Fast Learner</v>
      </c>
      <c r="B5" t="s">
        <v>522</v>
      </c>
      <c r="C5" t="s">
        <v>523</v>
      </c>
      <c r="D5" t="s">
        <v>524</v>
      </c>
      <c r="E5" t="s">
        <v>332</v>
      </c>
      <c r="F5" t="s">
        <v>525</v>
      </c>
      <c r="G5" t="s">
        <v>331</v>
      </c>
      <c r="H5" t="s">
        <v>526</v>
      </c>
    </row>
    <row r="6">
      <c r="A6" s="456" t="str">
        <f t="array" ref="A6:ALL6">TRANSPOSE(indirect(Exploits!B8&amp;"!A:A"))</f>
        <v>Fast Learner</v>
      </c>
      <c r="B6" t="s">
        <v>522</v>
      </c>
      <c r="C6" t="s">
        <v>523</v>
      </c>
      <c r="D6" t="s">
        <v>524</v>
      </c>
      <c r="E6" t="s">
        <v>332</v>
      </c>
      <c r="F6" t="s">
        <v>525</v>
      </c>
      <c r="G6" t="s">
        <v>331</v>
      </c>
      <c r="H6" t="s">
        <v>526</v>
      </c>
    </row>
    <row r="7">
      <c r="A7" s="456" t="str">
        <f t="array" ref="A7:ALL7">TRANSPOSE(indirect(Exploits!B9&amp;"!A:A"))</f>
        <v>Fast Learner</v>
      </c>
      <c r="B7" t="s">
        <v>522</v>
      </c>
      <c r="C7" t="s">
        <v>523</v>
      </c>
      <c r="D7" t="s">
        <v>524</v>
      </c>
      <c r="E7" t="s">
        <v>332</v>
      </c>
      <c r="F7" t="s">
        <v>525</v>
      </c>
      <c r="G7" t="s">
        <v>331</v>
      </c>
      <c r="H7" t="s">
        <v>526</v>
      </c>
    </row>
    <row r="8">
      <c r="A8" s="456" t="str">
        <f t="array" ref="A8:ALL8">TRANSPOSE(indirect(Exploits!B10&amp;"!A:A"))</f>
        <v>Combat Improvision</v>
      </c>
      <c r="B8" t="s">
        <v>527</v>
      </c>
      <c r="C8" t="s">
        <v>528</v>
      </c>
      <c r="D8" t="s">
        <v>529</v>
      </c>
      <c r="E8" t="s">
        <v>530</v>
      </c>
      <c r="F8" t="s">
        <v>531</v>
      </c>
      <c r="G8" t="s">
        <v>334</v>
      </c>
      <c r="H8" t="s">
        <v>358</v>
      </c>
      <c r="I8" t="s">
        <v>532</v>
      </c>
      <c r="J8" t="s">
        <v>533</v>
      </c>
      <c r="K8" t="s">
        <v>379</v>
      </c>
      <c r="L8" t="s">
        <v>534</v>
      </c>
      <c r="M8" t="s">
        <v>535</v>
      </c>
      <c r="N8" t="s">
        <v>536</v>
      </c>
      <c r="O8" t="s">
        <v>537</v>
      </c>
      <c r="P8" t="s">
        <v>538</v>
      </c>
      <c r="Q8" t="s">
        <v>539</v>
      </c>
      <c r="R8" t="s">
        <v>540</v>
      </c>
      <c r="S8" t="s">
        <v>541</v>
      </c>
      <c r="T8" t="s">
        <v>542</v>
      </c>
      <c r="U8" t="s">
        <v>543</v>
      </c>
      <c r="V8" t="s">
        <v>544</v>
      </c>
      <c r="W8" t="s">
        <v>545</v>
      </c>
      <c r="X8" t="s">
        <v>546</v>
      </c>
      <c r="Y8" t="s">
        <v>547</v>
      </c>
      <c r="Z8" t="s">
        <v>548</v>
      </c>
      <c r="AA8" t="s">
        <v>549</v>
      </c>
      <c r="AB8" t="s">
        <v>550</v>
      </c>
      <c r="AC8" t="s">
        <v>551</v>
      </c>
      <c r="AD8" t="s">
        <v>552</v>
      </c>
      <c r="AE8" t="s">
        <v>553</v>
      </c>
      <c r="AF8" t="s">
        <v>554</v>
      </c>
      <c r="AG8" t="s">
        <v>555</v>
      </c>
      <c r="AH8" t="s">
        <v>556</v>
      </c>
      <c r="AI8" t="s">
        <v>557</v>
      </c>
      <c r="AJ8" t="s">
        <v>558</v>
      </c>
      <c r="AK8" t="s">
        <v>559</v>
      </c>
      <c r="AL8" t="s">
        <v>560</v>
      </c>
      <c r="AM8" t="s">
        <v>561</v>
      </c>
      <c r="AN8" t="s">
        <v>562</v>
      </c>
      <c r="AO8" t="s">
        <v>563</v>
      </c>
      <c r="AP8" t="s">
        <v>564</v>
      </c>
      <c r="AQ8" t="s">
        <v>565</v>
      </c>
      <c r="AR8" t="s">
        <v>566</v>
      </c>
    </row>
    <row r="9">
      <c r="A9" s="456" t="str">
        <f t="array" ref="A9:ALL9">TRANSPOSE(indirect(Exploits!B11&amp;"!A:A"))</f>
        <v>Allergic to (X)</v>
      </c>
      <c r="B9" t="s">
        <v>336</v>
      </c>
      <c r="C9" t="s">
        <v>567</v>
      </c>
      <c r="D9" t="s">
        <v>568</v>
      </c>
      <c r="E9" t="s">
        <v>569</v>
      </c>
      <c r="F9" t="s">
        <v>570</v>
      </c>
      <c r="G9" t="s">
        <v>571</v>
      </c>
      <c r="H9" t="s">
        <v>572</v>
      </c>
      <c r="I9" t="s">
        <v>573</v>
      </c>
      <c r="J9" t="s">
        <v>574</v>
      </c>
      <c r="K9" t="s">
        <v>575</v>
      </c>
      <c r="L9" t="s">
        <v>576</v>
      </c>
      <c r="M9" t="s">
        <v>577</v>
      </c>
      <c r="N9" t="s">
        <v>578</v>
      </c>
      <c r="O9" t="s">
        <v>579</v>
      </c>
      <c r="P9" t="s">
        <v>580</v>
      </c>
      <c r="Q9" t="s">
        <v>581</v>
      </c>
      <c r="R9" t="s">
        <v>582</v>
      </c>
      <c r="S9" t="s">
        <v>583</v>
      </c>
      <c r="T9" t="s">
        <v>338</v>
      </c>
    </row>
    <row r="10">
      <c r="A10" s="456" t="str">
        <f t="array" ref="A10:ALL10">TRANSPOSE(indirect(Exploits!B12&amp;"!A:A"))</f>
        <v>Allergic to (X)</v>
      </c>
      <c r="B10" t="s">
        <v>336</v>
      </c>
      <c r="C10" t="s">
        <v>567</v>
      </c>
      <c r="D10" t="s">
        <v>568</v>
      </c>
      <c r="E10" t="s">
        <v>569</v>
      </c>
      <c r="F10" t="s">
        <v>570</v>
      </c>
      <c r="G10" t="s">
        <v>571</v>
      </c>
      <c r="H10" t="s">
        <v>572</v>
      </c>
      <c r="I10" t="s">
        <v>573</v>
      </c>
      <c r="J10" t="s">
        <v>574</v>
      </c>
      <c r="K10" t="s">
        <v>575</v>
      </c>
      <c r="L10" t="s">
        <v>576</v>
      </c>
      <c r="M10" t="s">
        <v>577</v>
      </c>
      <c r="N10" t="s">
        <v>578</v>
      </c>
      <c r="O10" t="s">
        <v>579</v>
      </c>
      <c r="P10" t="s">
        <v>580</v>
      </c>
      <c r="Q10" t="s">
        <v>581</v>
      </c>
      <c r="R10" t="s">
        <v>582</v>
      </c>
      <c r="S10" t="s">
        <v>583</v>
      </c>
      <c r="T10" t="s">
        <v>338</v>
      </c>
    </row>
    <row r="11">
      <c r="A11" s="456" t="str">
        <f t="array" ref="A11:ALL11">TRANSPOSE(indirect(Exploits!B13&amp;"!A:A"))</f>
        <v>Chaotic Spark</v>
      </c>
      <c r="B11" t="s">
        <v>584</v>
      </c>
      <c r="C11" t="s">
        <v>585</v>
      </c>
      <c r="D11" t="s">
        <v>586</v>
      </c>
      <c r="E11" t="s">
        <v>340</v>
      </c>
      <c r="F11" t="s">
        <v>345</v>
      </c>
      <c r="G11" t="s">
        <v>587</v>
      </c>
      <c r="H11" t="s">
        <v>588</v>
      </c>
      <c r="I11" t="s">
        <v>347</v>
      </c>
      <c r="J11" t="s">
        <v>589</v>
      </c>
      <c r="K11" t="s">
        <v>590</v>
      </c>
      <c r="L11" t="s">
        <v>346</v>
      </c>
      <c r="M11" t="s">
        <v>591</v>
      </c>
      <c r="N11" t="s">
        <v>592</v>
      </c>
      <c r="O11" t="s">
        <v>593</v>
      </c>
      <c r="P11" t="s">
        <v>594</v>
      </c>
    </row>
    <row r="12">
      <c r="A12" s="456" t="str">
        <f t="array" ref="A12:ALL12">TRANSPOSE(indirect(Exploits!B14&amp;"!A:A"))</f>
        <v>Ancient Soul</v>
      </c>
      <c r="B12" t="s">
        <v>502</v>
      </c>
      <c r="C12" t="s">
        <v>324</v>
      </c>
      <c r="D12" t="s">
        <v>503</v>
      </c>
      <c r="E12" t="s">
        <v>504</v>
      </c>
      <c r="F12" t="s">
        <v>505</v>
      </c>
      <c r="G12" t="s">
        <v>506</v>
      </c>
      <c r="H12" t="s">
        <v>507</v>
      </c>
      <c r="I12" t="s">
        <v>508</v>
      </c>
      <c r="J12" t="s">
        <v>509</v>
      </c>
      <c r="K12" t="s">
        <v>510</v>
      </c>
      <c r="L12" t="s">
        <v>511</v>
      </c>
      <c r="M12" t="s">
        <v>512</v>
      </c>
      <c r="N12" t="s">
        <v>513</v>
      </c>
      <c r="O12" t="s">
        <v>514</v>
      </c>
      <c r="P12" t="s">
        <v>515</v>
      </c>
      <c r="Q12" t="s">
        <v>516</v>
      </c>
      <c r="R12" t="s">
        <v>342</v>
      </c>
      <c r="S12" t="s">
        <v>374</v>
      </c>
      <c r="T12" t="s">
        <v>517</v>
      </c>
      <c r="U12" t="s">
        <v>518</v>
      </c>
    </row>
    <row r="13">
      <c r="A13" s="456" t="str">
        <f t="array" ref="A13:ALL13">TRANSPOSE(indirect(Exploits!B15&amp;"!A:A"))</f>
        <v>Field Repair</v>
      </c>
      <c r="B13" t="s">
        <v>595</v>
      </c>
      <c r="C13" t="s">
        <v>596</v>
      </c>
      <c r="D13" t="s">
        <v>597</v>
      </c>
      <c r="E13" t="s">
        <v>362</v>
      </c>
      <c r="F13" t="s">
        <v>598</v>
      </c>
      <c r="G13" t="s">
        <v>376</v>
      </c>
      <c r="H13" t="s">
        <v>599</v>
      </c>
      <c r="I13" t="s">
        <v>377</v>
      </c>
      <c r="J13" t="s">
        <v>600</v>
      </c>
      <c r="K13" t="s">
        <v>601</v>
      </c>
      <c r="L13" t="s">
        <v>602</v>
      </c>
      <c r="M13" t="s">
        <v>378</v>
      </c>
      <c r="N13" t="s">
        <v>603</v>
      </c>
      <c r="O13" t="s">
        <v>344</v>
      </c>
      <c r="P13" t="s">
        <v>375</v>
      </c>
      <c r="Q13" t="s">
        <v>604</v>
      </c>
      <c r="R13" t="s">
        <v>605</v>
      </c>
      <c r="S13" t="s">
        <v>606</v>
      </c>
      <c r="T13" t="s">
        <v>607</v>
      </c>
      <c r="U13" t="s">
        <v>608</v>
      </c>
      <c r="V13" t="s">
        <v>609</v>
      </c>
    </row>
    <row r="14">
      <c r="A14" s="456" t="str">
        <f t="array" ref="A14:ALL14">TRANSPOSE(indirect(Exploits!B16&amp;"!A:A"))</f>
        <v>Chaotic Spark</v>
      </c>
      <c r="B14" t="s">
        <v>584</v>
      </c>
      <c r="C14" t="s">
        <v>585</v>
      </c>
      <c r="D14" t="s">
        <v>586</v>
      </c>
      <c r="E14" t="s">
        <v>340</v>
      </c>
      <c r="F14" t="s">
        <v>345</v>
      </c>
      <c r="G14" t="s">
        <v>587</v>
      </c>
      <c r="H14" t="s">
        <v>588</v>
      </c>
      <c r="I14" t="s">
        <v>347</v>
      </c>
      <c r="J14" t="s">
        <v>589</v>
      </c>
      <c r="K14" t="s">
        <v>590</v>
      </c>
      <c r="L14" t="s">
        <v>346</v>
      </c>
      <c r="M14" t="s">
        <v>591</v>
      </c>
      <c r="N14" t="s">
        <v>592</v>
      </c>
      <c r="O14" t="s">
        <v>593</v>
      </c>
      <c r="P14" t="s">
        <v>594</v>
      </c>
    </row>
    <row r="15">
      <c r="A15" s="456" t="str">
        <f t="array" ref="A15:ALL15">TRANSPOSE(indirect(Exploits!B17&amp;"!A:A"))</f>
        <v>Chaotic Spark</v>
      </c>
      <c r="B15" t="s">
        <v>584</v>
      </c>
      <c r="C15" t="s">
        <v>585</v>
      </c>
      <c r="D15" t="s">
        <v>586</v>
      </c>
      <c r="E15" t="s">
        <v>340</v>
      </c>
      <c r="F15" t="s">
        <v>345</v>
      </c>
      <c r="G15" t="s">
        <v>587</v>
      </c>
      <c r="H15" t="s">
        <v>588</v>
      </c>
      <c r="I15" t="s">
        <v>347</v>
      </c>
      <c r="J15" t="s">
        <v>589</v>
      </c>
      <c r="K15" t="s">
        <v>590</v>
      </c>
      <c r="L15" t="s">
        <v>346</v>
      </c>
      <c r="M15" t="s">
        <v>591</v>
      </c>
      <c r="N15" t="s">
        <v>592</v>
      </c>
      <c r="O15" t="s">
        <v>593</v>
      </c>
      <c r="P15" t="s">
        <v>594</v>
      </c>
    </row>
    <row r="16">
      <c r="A16" s="456" t="str">
        <f t="array" ref="A16:ALL16">TRANSPOSE(indirect(Exploits!B18&amp;"!A:A"))</f>
        <v>Chaotic Spark</v>
      </c>
      <c r="B16" t="s">
        <v>584</v>
      </c>
      <c r="C16" t="s">
        <v>585</v>
      </c>
      <c r="D16" t="s">
        <v>586</v>
      </c>
      <c r="E16" t="s">
        <v>340</v>
      </c>
      <c r="F16" t="s">
        <v>345</v>
      </c>
      <c r="G16" t="s">
        <v>587</v>
      </c>
      <c r="H16" t="s">
        <v>588</v>
      </c>
      <c r="I16" t="s">
        <v>347</v>
      </c>
      <c r="J16" t="s">
        <v>589</v>
      </c>
      <c r="K16" t="s">
        <v>590</v>
      </c>
      <c r="L16" t="s">
        <v>346</v>
      </c>
      <c r="M16" t="s">
        <v>591</v>
      </c>
      <c r="N16" t="s">
        <v>592</v>
      </c>
      <c r="O16" t="s">
        <v>593</v>
      </c>
      <c r="P16" t="s">
        <v>594</v>
      </c>
    </row>
    <row r="17">
      <c r="A17" s="456" t="str">
        <f t="array" ref="A17:ALL17">TRANSPOSE(indirect(Exploits!B19&amp;"!A:A"))</f>
        <v>Ambitious</v>
      </c>
      <c r="B17" t="s">
        <v>610</v>
      </c>
      <c r="C17" t="s">
        <v>611</v>
      </c>
      <c r="D17" t="s">
        <v>612</v>
      </c>
      <c r="E17" t="s">
        <v>613</v>
      </c>
      <c r="F17" t="s">
        <v>614</v>
      </c>
      <c r="G17" t="s">
        <v>615</v>
      </c>
      <c r="H17" t="s">
        <v>616</v>
      </c>
      <c r="I17" t="s">
        <v>617</v>
      </c>
      <c r="J17" t="s">
        <v>618</v>
      </c>
      <c r="K17" t="s">
        <v>619</v>
      </c>
      <c r="L17" t="s">
        <v>620</v>
      </c>
      <c r="M17" t="s">
        <v>621</v>
      </c>
      <c r="N17" t="s">
        <v>622</v>
      </c>
      <c r="O17" t="s">
        <v>623</v>
      </c>
      <c r="P17" t="s">
        <v>624</v>
      </c>
      <c r="Q17" t="s">
        <v>625</v>
      </c>
      <c r="R17" t="s">
        <v>626</v>
      </c>
      <c r="S17" t="s">
        <v>627</v>
      </c>
      <c r="T17" t="s">
        <v>349</v>
      </c>
      <c r="U17" t="s">
        <v>628</v>
      </c>
      <c r="V17" t="s">
        <v>629</v>
      </c>
    </row>
    <row r="18">
      <c r="A18" s="456" t="str">
        <f t="array" ref="A18:ALL18">TRANSPOSE(indirect(Exploits!B20&amp;"!A:A"))</f>
        <v>Machine Interfacing</v>
      </c>
      <c r="B18" t="s">
        <v>499</v>
      </c>
      <c r="C18" t="s">
        <v>351</v>
      </c>
      <c r="D18" t="s">
        <v>363</v>
      </c>
      <c r="E18" t="s">
        <v>357</v>
      </c>
      <c r="F18" t="s">
        <v>364</v>
      </c>
      <c r="G18" t="s">
        <v>350</v>
      </c>
      <c r="H18" t="s">
        <v>365</v>
      </c>
      <c r="I18" t="s">
        <v>366</v>
      </c>
      <c r="J18" t="s">
        <v>367</v>
      </c>
      <c r="K18" t="s">
        <v>354</v>
      </c>
      <c r="L18" t="s">
        <v>356</v>
      </c>
      <c r="M18" t="s">
        <v>368</v>
      </c>
      <c r="N18" t="s">
        <v>353</v>
      </c>
      <c r="O18" t="s">
        <v>500</v>
      </c>
      <c r="P18" t="s">
        <v>369</v>
      </c>
      <c r="Q18" t="s">
        <v>355</v>
      </c>
      <c r="R18" t="s">
        <v>352</v>
      </c>
      <c r="S18" t="s">
        <v>370</v>
      </c>
      <c r="T18" t="s">
        <v>501</v>
      </c>
      <c r="U18" t="s">
        <v>371</v>
      </c>
      <c r="V18" t="s">
        <v>361</v>
      </c>
      <c r="W18" t="s">
        <v>372</v>
      </c>
      <c r="X18" t="s">
        <v>373</v>
      </c>
    </row>
    <row r="19">
      <c r="A19" s="456" t="str">
        <f t="array" ref="A19:ALL19">TRANSPOSE(indirect(Exploits!B21&amp;"!A:A"))</f>
        <v>Machine Interfacing</v>
      </c>
      <c r="B19" t="s">
        <v>499</v>
      </c>
      <c r="C19" t="s">
        <v>351</v>
      </c>
      <c r="D19" t="s">
        <v>363</v>
      </c>
      <c r="E19" t="s">
        <v>357</v>
      </c>
      <c r="F19" t="s">
        <v>364</v>
      </c>
      <c r="G19" t="s">
        <v>350</v>
      </c>
      <c r="H19" t="s">
        <v>365</v>
      </c>
      <c r="I19" t="s">
        <v>366</v>
      </c>
      <c r="J19" t="s">
        <v>367</v>
      </c>
      <c r="K19" t="s">
        <v>354</v>
      </c>
      <c r="L19" t="s">
        <v>356</v>
      </c>
      <c r="M19" t="s">
        <v>368</v>
      </c>
      <c r="N19" t="s">
        <v>353</v>
      </c>
      <c r="O19" t="s">
        <v>500</v>
      </c>
      <c r="P19" t="s">
        <v>369</v>
      </c>
      <c r="Q19" t="s">
        <v>355</v>
      </c>
      <c r="R19" t="s">
        <v>352</v>
      </c>
      <c r="S19" t="s">
        <v>370</v>
      </c>
      <c r="T19" t="s">
        <v>501</v>
      </c>
      <c r="U19" t="s">
        <v>371</v>
      </c>
      <c r="V19" t="s">
        <v>361</v>
      </c>
      <c r="W19" t="s">
        <v>372</v>
      </c>
      <c r="X19" t="s">
        <v>373</v>
      </c>
    </row>
    <row r="20">
      <c r="A20" s="456" t="str">
        <f t="array" ref="A20:ALL20">TRANSPOSE(indirect(Exploits!B22&amp;"!A:A"))</f>
        <v>Machine Interfacing</v>
      </c>
      <c r="B20" t="s">
        <v>499</v>
      </c>
      <c r="C20" t="s">
        <v>351</v>
      </c>
      <c r="D20" t="s">
        <v>363</v>
      </c>
      <c r="E20" t="s">
        <v>357</v>
      </c>
      <c r="F20" t="s">
        <v>364</v>
      </c>
      <c r="G20" t="s">
        <v>350</v>
      </c>
      <c r="H20" t="s">
        <v>365</v>
      </c>
      <c r="I20" t="s">
        <v>366</v>
      </c>
      <c r="J20" t="s">
        <v>367</v>
      </c>
      <c r="K20" t="s">
        <v>354</v>
      </c>
      <c r="L20" t="s">
        <v>356</v>
      </c>
      <c r="M20" t="s">
        <v>368</v>
      </c>
      <c r="N20" t="s">
        <v>353</v>
      </c>
      <c r="O20" t="s">
        <v>500</v>
      </c>
      <c r="P20" t="s">
        <v>369</v>
      </c>
      <c r="Q20" t="s">
        <v>355</v>
      </c>
      <c r="R20" t="s">
        <v>352</v>
      </c>
      <c r="S20" t="s">
        <v>370</v>
      </c>
      <c r="T20" t="s">
        <v>501</v>
      </c>
      <c r="U20" t="s">
        <v>371</v>
      </c>
      <c r="V20" t="s">
        <v>361</v>
      </c>
      <c r="W20" t="s">
        <v>372</v>
      </c>
      <c r="X20" t="s">
        <v>373</v>
      </c>
    </row>
    <row r="21">
      <c r="A21" s="456" t="str">
        <f t="array" ref="A21:ALL21">TRANSPOSE(indirect(Exploits!B23&amp;"!A:A"))</f>
        <v>Machine Interfacing</v>
      </c>
      <c r="B21" t="s">
        <v>499</v>
      </c>
      <c r="C21" t="s">
        <v>351</v>
      </c>
      <c r="D21" t="s">
        <v>363</v>
      </c>
      <c r="E21" t="s">
        <v>357</v>
      </c>
      <c r="F21" t="s">
        <v>364</v>
      </c>
      <c r="G21" t="s">
        <v>350</v>
      </c>
      <c r="H21" t="s">
        <v>365</v>
      </c>
      <c r="I21" t="s">
        <v>366</v>
      </c>
      <c r="J21" t="s">
        <v>367</v>
      </c>
      <c r="K21" t="s">
        <v>354</v>
      </c>
      <c r="L21" t="s">
        <v>356</v>
      </c>
      <c r="M21" t="s">
        <v>368</v>
      </c>
      <c r="N21" t="s">
        <v>353</v>
      </c>
      <c r="O21" t="s">
        <v>500</v>
      </c>
      <c r="P21" t="s">
        <v>369</v>
      </c>
      <c r="Q21" t="s">
        <v>355</v>
      </c>
      <c r="R21" t="s">
        <v>352</v>
      </c>
      <c r="S21" t="s">
        <v>370</v>
      </c>
      <c r="T21" t="s">
        <v>501</v>
      </c>
      <c r="U21" t="s">
        <v>371</v>
      </c>
      <c r="V21" t="s">
        <v>361</v>
      </c>
      <c r="W21" t="s">
        <v>372</v>
      </c>
      <c r="X21" t="s">
        <v>373</v>
      </c>
    </row>
    <row r="22">
      <c r="A22" s="456" t="str">
        <f t="array" ref="A22:ALL22">TRANSPOSE(indirect(Exploits!B24&amp;"!A:A"))</f>
        <v>Machine Interfacing</v>
      </c>
      <c r="B22" t="s">
        <v>499</v>
      </c>
      <c r="C22" t="s">
        <v>351</v>
      </c>
      <c r="D22" t="s">
        <v>363</v>
      </c>
      <c r="E22" t="s">
        <v>357</v>
      </c>
      <c r="F22" t="s">
        <v>364</v>
      </c>
      <c r="G22" t="s">
        <v>350</v>
      </c>
      <c r="H22" t="s">
        <v>365</v>
      </c>
      <c r="I22" t="s">
        <v>366</v>
      </c>
      <c r="J22" t="s">
        <v>367</v>
      </c>
      <c r="K22" t="s">
        <v>354</v>
      </c>
      <c r="L22" t="s">
        <v>356</v>
      </c>
      <c r="M22" t="s">
        <v>368</v>
      </c>
      <c r="N22" t="s">
        <v>353</v>
      </c>
      <c r="O22" t="s">
        <v>500</v>
      </c>
      <c r="P22" t="s">
        <v>369</v>
      </c>
      <c r="Q22" t="s">
        <v>355</v>
      </c>
      <c r="R22" t="s">
        <v>352</v>
      </c>
      <c r="S22" t="s">
        <v>370</v>
      </c>
      <c r="T22" t="s">
        <v>501</v>
      </c>
      <c r="U22" t="s">
        <v>371</v>
      </c>
      <c r="V22" t="s">
        <v>361</v>
      </c>
      <c r="W22" t="s">
        <v>372</v>
      </c>
      <c r="X22" t="s">
        <v>373</v>
      </c>
    </row>
    <row r="23">
      <c r="A23" s="456" t="str">
        <f t="array" ref="A23:ALL23">TRANSPOSE(indirect(Exploits!B25&amp;"!A:A"))</f>
        <v>Machine Interfacing</v>
      </c>
      <c r="B23" t="s">
        <v>499</v>
      </c>
      <c r="C23" t="s">
        <v>351</v>
      </c>
      <c r="D23" t="s">
        <v>363</v>
      </c>
      <c r="E23" t="s">
        <v>357</v>
      </c>
      <c r="F23" t="s">
        <v>364</v>
      </c>
      <c r="G23" t="s">
        <v>350</v>
      </c>
      <c r="H23" t="s">
        <v>365</v>
      </c>
      <c r="I23" t="s">
        <v>366</v>
      </c>
      <c r="J23" t="s">
        <v>367</v>
      </c>
      <c r="K23" t="s">
        <v>354</v>
      </c>
      <c r="L23" t="s">
        <v>356</v>
      </c>
      <c r="M23" t="s">
        <v>368</v>
      </c>
      <c r="N23" t="s">
        <v>353</v>
      </c>
      <c r="O23" t="s">
        <v>500</v>
      </c>
      <c r="P23" t="s">
        <v>369</v>
      </c>
      <c r="Q23" t="s">
        <v>355</v>
      </c>
      <c r="R23" t="s">
        <v>352</v>
      </c>
      <c r="S23" t="s">
        <v>370</v>
      </c>
      <c r="T23" t="s">
        <v>501</v>
      </c>
      <c r="U23" t="s">
        <v>371</v>
      </c>
      <c r="V23" t="s">
        <v>361</v>
      </c>
      <c r="W23" t="s">
        <v>372</v>
      </c>
      <c r="X23" t="s">
        <v>373</v>
      </c>
    </row>
    <row r="24">
      <c r="A24" s="456" t="str">
        <f t="array" ref="A24:ALL24">TRANSPOSE(indirect(Exploits!B26&amp;"!A:A"))</f>
        <v>Machine Interfacing</v>
      </c>
      <c r="B24" t="s">
        <v>499</v>
      </c>
      <c r="C24" t="s">
        <v>351</v>
      </c>
      <c r="D24" t="s">
        <v>363</v>
      </c>
      <c r="E24" t="s">
        <v>357</v>
      </c>
      <c r="F24" t="s">
        <v>364</v>
      </c>
      <c r="G24" t="s">
        <v>350</v>
      </c>
      <c r="H24" t="s">
        <v>365</v>
      </c>
      <c r="I24" t="s">
        <v>366</v>
      </c>
      <c r="J24" t="s">
        <v>367</v>
      </c>
      <c r="K24" t="s">
        <v>354</v>
      </c>
      <c r="L24" t="s">
        <v>356</v>
      </c>
      <c r="M24" t="s">
        <v>368</v>
      </c>
      <c r="N24" t="s">
        <v>353</v>
      </c>
      <c r="O24" t="s">
        <v>500</v>
      </c>
      <c r="P24" t="s">
        <v>369</v>
      </c>
      <c r="Q24" t="s">
        <v>355</v>
      </c>
      <c r="R24" t="s">
        <v>352</v>
      </c>
      <c r="S24" t="s">
        <v>370</v>
      </c>
      <c r="T24" t="s">
        <v>501</v>
      </c>
      <c r="U24" t="s">
        <v>371</v>
      </c>
      <c r="V24" t="s">
        <v>361</v>
      </c>
      <c r="W24" t="s">
        <v>372</v>
      </c>
      <c r="X24" t="s">
        <v>373</v>
      </c>
    </row>
    <row r="25">
      <c r="A25" s="456" t="str">
        <f t="array" ref="A25:ALL25">TRANSPOSE(indirect(Exploits!B27&amp;"!A:A"))</f>
        <v>Machine Interfacing</v>
      </c>
      <c r="B25" t="s">
        <v>499</v>
      </c>
      <c r="C25" t="s">
        <v>351</v>
      </c>
      <c r="D25" t="s">
        <v>363</v>
      </c>
      <c r="E25" t="s">
        <v>357</v>
      </c>
      <c r="F25" t="s">
        <v>364</v>
      </c>
      <c r="G25" t="s">
        <v>350</v>
      </c>
      <c r="H25" t="s">
        <v>365</v>
      </c>
      <c r="I25" t="s">
        <v>366</v>
      </c>
      <c r="J25" t="s">
        <v>367</v>
      </c>
      <c r="K25" t="s">
        <v>354</v>
      </c>
      <c r="L25" t="s">
        <v>356</v>
      </c>
      <c r="M25" t="s">
        <v>368</v>
      </c>
      <c r="N25" t="s">
        <v>353</v>
      </c>
      <c r="O25" t="s">
        <v>500</v>
      </c>
      <c r="P25" t="s">
        <v>369</v>
      </c>
      <c r="Q25" t="s">
        <v>355</v>
      </c>
      <c r="R25" t="s">
        <v>352</v>
      </c>
      <c r="S25" t="s">
        <v>370</v>
      </c>
      <c r="T25" t="s">
        <v>501</v>
      </c>
      <c r="U25" t="s">
        <v>371</v>
      </c>
      <c r="V25" t="s">
        <v>361</v>
      </c>
      <c r="W25" t="s">
        <v>372</v>
      </c>
      <c r="X25" t="s">
        <v>373</v>
      </c>
    </row>
    <row r="26">
      <c r="A26" s="456" t="str">
        <f t="array" ref="A26:ALL26">TRANSPOSE(indirect(Exploits!B28&amp;"!A:A"))</f>
        <v>Combat Improvision</v>
      </c>
      <c r="B26" t="s">
        <v>527</v>
      </c>
      <c r="C26" t="s">
        <v>528</v>
      </c>
      <c r="D26" t="s">
        <v>529</v>
      </c>
      <c r="E26" t="s">
        <v>530</v>
      </c>
      <c r="F26" t="s">
        <v>531</v>
      </c>
      <c r="G26" t="s">
        <v>334</v>
      </c>
      <c r="H26" t="s">
        <v>358</v>
      </c>
      <c r="I26" t="s">
        <v>532</v>
      </c>
      <c r="J26" t="s">
        <v>533</v>
      </c>
      <c r="K26" t="s">
        <v>379</v>
      </c>
      <c r="L26" t="s">
        <v>534</v>
      </c>
      <c r="M26" t="s">
        <v>535</v>
      </c>
      <c r="N26" t="s">
        <v>536</v>
      </c>
      <c r="O26" t="s">
        <v>537</v>
      </c>
      <c r="P26" t="s">
        <v>538</v>
      </c>
      <c r="Q26" t="s">
        <v>539</v>
      </c>
      <c r="R26" t="s">
        <v>540</v>
      </c>
      <c r="S26" t="s">
        <v>541</v>
      </c>
      <c r="T26" t="s">
        <v>542</v>
      </c>
      <c r="U26" t="s">
        <v>543</v>
      </c>
      <c r="V26" t="s">
        <v>544</v>
      </c>
      <c r="W26" t="s">
        <v>545</v>
      </c>
      <c r="X26" t="s">
        <v>546</v>
      </c>
      <c r="Y26" t="s">
        <v>547</v>
      </c>
      <c r="Z26" t="s">
        <v>548</v>
      </c>
      <c r="AA26" t="s">
        <v>549</v>
      </c>
      <c r="AB26" t="s">
        <v>550</v>
      </c>
      <c r="AC26" t="s">
        <v>551</v>
      </c>
      <c r="AD26" t="s">
        <v>552</v>
      </c>
      <c r="AE26" t="s">
        <v>553</v>
      </c>
      <c r="AF26" t="s">
        <v>554</v>
      </c>
      <c r="AG26" t="s">
        <v>555</v>
      </c>
      <c r="AH26" t="s">
        <v>556</v>
      </c>
      <c r="AI26" t="s">
        <v>557</v>
      </c>
      <c r="AJ26" t="s">
        <v>558</v>
      </c>
      <c r="AK26" t="s">
        <v>559</v>
      </c>
      <c r="AL26" t="s">
        <v>560</v>
      </c>
      <c r="AM26" t="s">
        <v>561</v>
      </c>
      <c r="AN26" t="s">
        <v>562</v>
      </c>
      <c r="AO26" t="s">
        <v>563</v>
      </c>
      <c r="AP26" t="s">
        <v>564</v>
      </c>
      <c r="AQ26" t="s">
        <v>565</v>
      </c>
      <c r="AR26" t="s">
        <v>566</v>
      </c>
    </row>
    <row r="27">
      <c r="A27" s="456" t="str">
        <f t="array" ref="A27:ALL27">TRANSPOSE(indirect(Exploits!B29&amp;"!A:A"))</f>
        <v>Machine Interfacing</v>
      </c>
      <c r="B27" t="s">
        <v>499</v>
      </c>
      <c r="C27" t="s">
        <v>351</v>
      </c>
      <c r="D27" t="s">
        <v>363</v>
      </c>
      <c r="E27" t="s">
        <v>357</v>
      </c>
      <c r="F27" t="s">
        <v>364</v>
      </c>
      <c r="G27" t="s">
        <v>350</v>
      </c>
      <c r="H27" t="s">
        <v>365</v>
      </c>
      <c r="I27" t="s">
        <v>366</v>
      </c>
      <c r="J27" t="s">
        <v>367</v>
      </c>
      <c r="K27" t="s">
        <v>354</v>
      </c>
      <c r="L27" t="s">
        <v>356</v>
      </c>
      <c r="M27" t="s">
        <v>368</v>
      </c>
      <c r="N27" t="s">
        <v>353</v>
      </c>
      <c r="O27" t="s">
        <v>500</v>
      </c>
      <c r="P27" t="s">
        <v>369</v>
      </c>
      <c r="Q27" t="s">
        <v>355</v>
      </c>
      <c r="R27" t="s">
        <v>352</v>
      </c>
      <c r="S27" t="s">
        <v>370</v>
      </c>
      <c r="T27" t="s">
        <v>501</v>
      </c>
      <c r="U27" t="s">
        <v>371</v>
      </c>
      <c r="V27" t="s">
        <v>361</v>
      </c>
      <c r="W27" t="s">
        <v>372</v>
      </c>
      <c r="X27" t="s">
        <v>373</v>
      </c>
    </row>
    <row r="28">
      <c r="A28" s="456" t="str">
        <f t="array" ref="A28:ALL28">TRANSPOSE(indirect(Exploits!B30&amp;"!A:A"))</f>
        <v>Machine Interfacing</v>
      </c>
      <c r="B28" t="s">
        <v>499</v>
      </c>
      <c r="C28" t="s">
        <v>351</v>
      </c>
      <c r="D28" t="s">
        <v>363</v>
      </c>
      <c r="E28" t="s">
        <v>357</v>
      </c>
      <c r="F28" t="s">
        <v>364</v>
      </c>
      <c r="G28" t="s">
        <v>350</v>
      </c>
      <c r="H28" t="s">
        <v>365</v>
      </c>
      <c r="I28" t="s">
        <v>366</v>
      </c>
      <c r="J28" t="s">
        <v>367</v>
      </c>
      <c r="K28" t="s">
        <v>354</v>
      </c>
      <c r="L28" t="s">
        <v>356</v>
      </c>
      <c r="M28" t="s">
        <v>368</v>
      </c>
      <c r="N28" t="s">
        <v>353</v>
      </c>
      <c r="O28" t="s">
        <v>500</v>
      </c>
      <c r="P28" t="s">
        <v>369</v>
      </c>
      <c r="Q28" t="s">
        <v>355</v>
      </c>
      <c r="R28" t="s">
        <v>352</v>
      </c>
      <c r="S28" t="s">
        <v>370</v>
      </c>
      <c r="T28" t="s">
        <v>501</v>
      </c>
      <c r="U28" t="s">
        <v>371</v>
      </c>
      <c r="V28" t="s">
        <v>361</v>
      </c>
      <c r="W28" t="s">
        <v>372</v>
      </c>
      <c r="X28" t="s">
        <v>373</v>
      </c>
    </row>
    <row r="29">
      <c r="A29" s="456" t="str">
        <f t="array" ref="A29:ALL29">TRANSPOSE(indirect(Exploits!B31&amp;"!A:A"))</f>
        <v>Field Repair</v>
      </c>
      <c r="B29" t="s">
        <v>595</v>
      </c>
      <c r="C29" t="s">
        <v>596</v>
      </c>
      <c r="D29" t="s">
        <v>597</v>
      </c>
      <c r="E29" t="s">
        <v>362</v>
      </c>
      <c r="F29" t="s">
        <v>598</v>
      </c>
      <c r="G29" t="s">
        <v>376</v>
      </c>
      <c r="H29" t="s">
        <v>599</v>
      </c>
      <c r="I29" t="s">
        <v>377</v>
      </c>
      <c r="J29" t="s">
        <v>600</v>
      </c>
      <c r="K29" t="s">
        <v>601</v>
      </c>
      <c r="L29" t="s">
        <v>602</v>
      </c>
      <c r="M29" t="s">
        <v>378</v>
      </c>
      <c r="N29" t="s">
        <v>603</v>
      </c>
      <c r="O29" t="s">
        <v>344</v>
      </c>
      <c r="P29" t="s">
        <v>375</v>
      </c>
      <c r="Q29" t="s">
        <v>604</v>
      </c>
      <c r="R29" t="s">
        <v>605</v>
      </c>
      <c r="S29" t="s">
        <v>606</v>
      </c>
      <c r="T29" t="s">
        <v>607</v>
      </c>
      <c r="U29" t="s">
        <v>608</v>
      </c>
      <c r="V29" t="s">
        <v>609</v>
      </c>
    </row>
    <row r="30">
      <c r="A30" s="456" t="str">
        <f t="array" ref="A30:ALL30">TRANSPOSE(indirect(Exploits!B32&amp;"!A:A"))</f>
        <v>Machine Interfacing</v>
      </c>
      <c r="B30" t="s">
        <v>499</v>
      </c>
      <c r="C30" t="s">
        <v>351</v>
      </c>
      <c r="D30" t="s">
        <v>363</v>
      </c>
      <c r="E30" t="s">
        <v>357</v>
      </c>
      <c r="F30" t="s">
        <v>364</v>
      </c>
      <c r="G30" t="s">
        <v>350</v>
      </c>
      <c r="H30" t="s">
        <v>365</v>
      </c>
      <c r="I30" t="s">
        <v>366</v>
      </c>
      <c r="J30" t="s">
        <v>367</v>
      </c>
      <c r="K30" t="s">
        <v>354</v>
      </c>
      <c r="L30" t="s">
        <v>356</v>
      </c>
      <c r="M30" t="s">
        <v>368</v>
      </c>
      <c r="N30" t="s">
        <v>353</v>
      </c>
      <c r="O30" t="s">
        <v>500</v>
      </c>
      <c r="P30" t="s">
        <v>369</v>
      </c>
      <c r="Q30" t="s">
        <v>355</v>
      </c>
      <c r="R30" t="s">
        <v>352</v>
      </c>
      <c r="S30" t="s">
        <v>370</v>
      </c>
      <c r="T30" t="s">
        <v>501</v>
      </c>
      <c r="U30" t="s">
        <v>371</v>
      </c>
      <c r="V30" t="s">
        <v>361</v>
      </c>
      <c r="W30" t="s">
        <v>372</v>
      </c>
      <c r="X30" t="s">
        <v>373</v>
      </c>
    </row>
    <row r="31">
      <c r="A31" s="456" t="str">
        <f t="array" ref="A31:ALL31">TRANSPOSE(indirect(Exploits!B33&amp;"!A:A"))</f>
        <v>Machine Interfacing</v>
      </c>
      <c r="B31" t="s">
        <v>499</v>
      </c>
      <c r="C31" t="s">
        <v>351</v>
      </c>
      <c r="D31" t="s">
        <v>363</v>
      </c>
      <c r="E31" t="s">
        <v>357</v>
      </c>
      <c r="F31" t="s">
        <v>364</v>
      </c>
      <c r="G31" t="s">
        <v>350</v>
      </c>
      <c r="H31" t="s">
        <v>365</v>
      </c>
      <c r="I31" t="s">
        <v>366</v>
      </c>
      <c r="J31" t="s">
        <v>367</v>
      </c>
      <c r="K31" t="s">
        <v>354</v>
      </c>
      <c r="L31" t="s">
        <v>356</v>
      </c>
      <c r="M31" t="s">
        <v>368</v>
      </c>
      <c r="N31" t="s">
        <v>353</v>
      </c>
      <c r="O31" t="s">
        <v>500</v>
      </c>
      <c r="P31" t="s">
        <v>369</v>
      </c>
      <c r="Q31" t="s">
        <v>355</v>
      </c>
      <c r="R31" t="s">
        <v>352</v>
      </c>
      <c r="S31" t="s">
        <v>370</v>
      </c>
      <c r="T31" t="s">
        <v>501</v>
      </c>
      <c r="U31" t="s">
        <v>371</v>
      </c>
      <c r="V31" t="s">
        <v>361</v>
      </c>
      <c r="W31" t="s">
        <v>372</v>
      </c>
      <c r="X31" t="s">
        <v>373</v>
      </c>
    </row>
    <row r="32">
      <c r="A32" s="456" t="str">
        <f t="array" ref="A32:ALL32">TRANSPOSE(indirect(Exploits!B34&amp;"!A:A"))</f>
        <v>Machine Interfacing</v>
      </c>
      <c r="B32" t="s">
        <v>499</v>
      </c>
      <c r="C32" t="s">
        <v>351</v>
      </c>
      <c r="D32" t="s">
        <v>363</v>
      </c>
      <c r="E32" t="s">
        <v>357</v>
      </c>
      <c r="F32" t="s">
        <v>364</v>
      </c>
      <c r="G32" t="s">
        <v>350</v>
      </c>
      <c r="H32" t="s">
        <v>365</v>
      </c>
      <c r="I32" t="s">
        <v>366</v>
      </c>
      <c r="J32" t="s">
        <v>367</v>
      </c>
      <c r="K32" t="s">
        <v>354</v>
      </c>
      <c r="L32" t="s">
        <v>356</v>
      </c>
      <c r="M32" t="s">
        <v>368</v>
      </c>
      <c r="N32" t="s">
        <v>353</v>
      </c>
      <c r="O32" t="s">
        <v>500</v>
      </c>
      <c r="P32" t="s">
        <v>369</v>
      </c>
      <c r="Q32" t="s">
        <v>355</v>
      </c>
      <c r="R32" t="s">
        <v>352</v>
      </c>
      <c r="S32" t="s">
        <v>370</v>
      </c>
      <c r="T32" t="s">
        <v>501</v>
      </c>
      <c r="U32" t="s">
        <v>371</v>
      </c>
      <c r="V32" t="s">
        <v>361</v>
      </c>
      <c r="W32" t="s">
        <v>372</v>
      </c>
      <c r="X32" t="s">
        <v>373</v>
      </c>
    </row>
    <row r="33">
      <c r="A33" s="456" t="str">
        <f t="array" ref="A33:ALL33">TRANSPOSE(indirect(Exploits!B35&amp;"!A:A"))</f>
        <v>Machine Interfacing</v>
      </c>
      <c r="B33" t="s">
        <v>499</v>
      </c>
      <c r="C33" t="s">
        <v>351</v>
      </c>
      <c r="D33" t="s">
        <v>363</v>
      </c>
      <c r="E33" t="s">
        <v>357</v>
      </c>
      <c r="F33" t="s">
        <v>364</v>
      </c>
      <c r="G33" t="s">
        <v>350</v>
      </c>
      <c r="H33" t="s">
        <v>365</v>
      </c>
      <c r="I33" t="s">
        <v>366</v>
      </c>
      <c r="J33" t="s">
        <v>367</v>
      </c>
      <c r="K33" t="s">
        <v>354</v>
      </c>
      <c r="L33" t="s">
        <v>356</v>
      </c>
      <c r="M33" t="s">
        <v>368</v>
      </c>
      <c r="N33" t="s">
        <v>353</v>
      </c>
      <c r="O33" t="s">
        <v>500</v>
      </c>
      <c r="P33" t="s">
        <v>369</v>
      </c>
      <c r="Q33" t="s">
        <v>355</v>
      </c>
      <c r="R33" t="s">
        <v>352</v>
      </c>
      <c r="S33" t="s">
        <v>370</v>
      </c>
      <c r="T33" t="s">
        <v>501</v>
      </c>
      <c r="U33" t="s">
        <v>371</v>
      </c>
      <c r="V33" t="s">
        <v>361</v>
      </c>
      <c r="W33" t="s">
        <v>372</v>
      </c>
      <c r="X33" t="s">
        <v>373</v>
      </c>
    </row>
    <row r="34">
      <c r="A34" s="456" t="str">
        <f t="array" ref="A34:ALL34">TRANSPOSE(indirect(Exploits!B36&amp;"!A:A"))</f>
        <v>Machine Interfacing</v>
      </c>
      <c r="B34" t="s">
        <v>499</v>
      </c>
      <c r="C34" t="s">
        <v>351</v>
      </c>
      <c r="D34" t="s">
        <v>363</v>
      </c>
      <c r="E34" t="s">
        <v>357</v>
      </c>
      <c r="F34" t="s">
        <v>364</v>
      </c>
      <c r="G34" t="s">
        <v>350</v>
      </c>
      <c r="H34" t="s">
        <v>365</v>
      </c>
      <c r="I34" t="s">
        <v>366</v>
      </c>
      <c r="J34" t="s">
        <v>367</v>
      </c>
      <c r="K34" t="s">
        <v>354</v>
      </c>
      <c r="L34" t="s">
        <v>356</v>
      </c>
      <c r="M34" t="s">
        <v>368</v>
      </c>
      <c r="N34" t="s">
        <v>353</v>
      </c>
      <c r="O34" t="s">
        <v>500</v>
      </c>
      <c r="P34" t="s">
        <v>369</v>
      </c>
      <c r="Q34" t="s">
        <v>355</v>
      </c>
      <c r="R34" t="s">
        <v>352</v>
      </c>
      <c r="S34" t="s">
        <v>370</v>
      </c>
      <c r="T34" t="s">
        <v>501</v>
      </c>
      <c r="U34" t="s">
        <v>371</v>
      </c>
      <c r="V34" t="s">
        <v>361</v>
      </c>
      <c r="W34" t="s">
        <v>372</v>
      </c>
      <c r="X34" t="s">
        <v>373</v>
      </c>
    </row>
    <row r="35">
      <c r="A35" s="456" t="str">
        <f t="array" ref="A35:ALL35">TRANSPOSE(indirect(Exploits!B37&amp;"!A:A"))</f>
        <v>Machine Interfacing</v>
      </c>
      <c r="B35" t="s">
        <v>499</v>
      </c>
      <c r="C35" t="s">
        <v>351</v>
      </c>
      <c r="D35" t="s">
        <v>363</v>
      </c>
      <c r="E35" t="s">
        <v>357</v>
      </c>
      <c r="F35" t="s">
        <v>364</v>
      </c>
      <c r="G35" t="s">
        <v>350</v>
      </c>
      <c r="H35" t="s">
        <v>365</v>
      </c>
      <c r="I35" t="s">
        <v>366</v>
      </c>
      <c r="J35" t="s">
        <v>367</v>
      </c>
      <c r="K35" t="s">
        <v>354</v>
      </c>
      <c r="L35" t="s">
        <v>356</v>
      </c>
      <c r="M35" t="s">
        <v>368</v>
      </c>
      <c r="N35" t="s">
        <v>353</v>
      </c>
      <c r="O35" t="s">
        <v>500</v>
      </c>
      <c r="P35" t="s">
        <v>369</v>
      </c>
      <c r="Q35" t="s">
        <v>355</v>
      </c>
      <c r="R35" t="s">
        <v>352</v>
      </c>
      <c r="S35" t="s">
        <v>370</v>
      </c>
      <c r="T35" t="s">
        <v>501</v>
      </c>
      <c r="U35" t="s">
        <v>371</v>
      </c>
      <c r="V35" t="s">
        <v>361</v>
      </c>
      <c r="W35" t="s">
        <v>372</v>
      </c>
      <c r="X35" t="s">
        <v>373</v>
      </c>
    </row>
    <row r="36">
      <c r="A36" s="456" t="str">
        <f t="array" ref="A36:ALL36">TRANSPOSE(indirect(Exploits!B38&amp;"!A:A"))</f>
        <v>Machine Interfacing</v>
      </c>
      <c r="B36" t="s">
        <v>499</v>
      </c>
      <c r="C36" t="s">
        <v>351</v>
      </c>
      <c r="D36" t="s">
        <v>363</v>
      </c>
      <c r="E36" t="s">
        <v>357</v>
      </c>
      <c r="F36" t="s">
        <v>364</v>
      </c>
      <c r="G36" t="s">
        <v>350</v>
      </c>
      <c r="H36" t="s">
        <v>365</v>
      </c>
      <c r="I36" t="s">
        <v>366</v>
      </c>
      <c r="J36" t="s">
        <v>367</v>
      </c>
      <c r="K36" t="s">
        <v>354</v>
      </c>
      <c r="L36" t="s">
        <v>356</v>
      </c>
      <c r="M36" t="s">
        <v>368</v>
      </c>
      <c r="N36" t="s">
        <v>353</v>
      </c>
      <c r="O36" t="s">
        <v>500</v>
      </c>
      <c r="P36" t="s">
        <v>369</v>
      </c>
      <c r="Q36" t="s">
        <v>355</v>
      </c>
      <c r="R36" t="s">
        <v>352</v>
      </c>
      <c r="S36" t="s">
        <v>370</v>
      </c>
      <c r="T36" t="s">
        <v>501</v>
      </c>
      <c r="U36" t="s">
        <v>371</v>
      </c>
      <c r="V36" t="s">
        <v>361</v>
      </c>
      <c r="W36" t="s">
        <v>372</v>
      </c>
      <c r="X36" t="s">
        <v>373</v>
      </c>
    </row>
    <row r="37">
      <c r="A37" s="456" t="str">
        <f t="array" ref="A37:ALL37">TRANSPOSE(indirect(Exploits!B39&amp;"!A:A"))</f>
        <v>Machine Interfacing</v>
      </c>
      <c r="B37" t="s">
        <v>499</v>
      </c>
      <c r="C37" t="s">
        <v>351</v>
      </c>
      <c r="D37" t="s">
        <v>363</v>
      </c>
      <c r="E37" t="s">
        <v>357</v>
      </c>
      <c r="F37" t="s">
        <v>364</v>
      </c>
      <c r="G37" t="s">
        <v>350</v>
      </c>
      <c r="H37" t="s">
        <v>365</v>
      </c>
      <c r="I37" t="s">
        <v>366</v>
      </c>
      <c r="J37" t="s">
        <v>367</v>
      </c>
      <c r="K37" t="s">
        <v>354</v>
      </c>
      <c r="L37" t="s">
        <v>356</v>
      </c>
      <c r="M37" t="s">
        <v>368</v>
      </c>
      <c r="N37" t="s">
        <v>353</v>
      </c>
      <c r="O37" t="s">
        <v>500</v>
      </c>
      <c r="P37" t="s">
        <v>369</v>
      </c>
      <c r="Q37" t="s">
        <v>355</v>
      </c>
      <c r="R37" t="s">
        <v>352</v>
      </c>
      <c r="S37" t="s">
        <v>370</v>
      </c>
      <c r="T37" t="s">
        <v>501</v>
      </c>
      <c r="U37" t="s">
        <v>371</v>
      </c>
      <c r="V37" t="s">
        <v>361</v>
      </c>
      <c r="W37" t="s">
        <v>372</v>
      </c>
      <c r="X37" t="s">
        <v>373</v>
      </c>
    </row>
    <row r="38">
      <c r="A38" s="456" t="str">
        <f t="array" ref="A38:ALL38">TRANSPOSE(indirect(Exploits!B40&amp;"!A:A"))</f>
        <v>Machine Interfacing</v>
      </c>
      <c r="B38" t="s">
        <v>499</v>
      </c>
      <c r="C38" t="s">
        <v>351</v>
      </c>
      <c r="D38" t="s">
        <v>363</v>
      </c>
      <c r="E38" t="s">
        <v>357</v>
      </c>
      <c r="F38" t="s">
        <v>364</v>
      </c>
      <c r="G38" t="s">
        <v>350</v>
      </c>
      <c r="H38" t="s">
        <v>365</v>
      </c>
      <c r="I38" t="s">
        <v>366</v>
      </c>
      <c r="J38" t="s">
        <v>367</v>
      </c>
      <c r="K38" t="s">
        <v>354</v>
      </c>
      <c r="L38" t="s">
        <v>356</v>
      </c>
      <c r="M38" t="s">
        <v>368</v>
      </c>
      <c r="N38" t="s">
        <v>353</v>
      </c>
      <c r="O38" t="s">
        <v>500</v>
      </c>
      <c r="P38" t="s">
        <v>369</v>
      </c>
      <c r="Q38" t="s">
        <v>355</v>
      </c>
      <c r="R38" t="s">
        <v>352</v>
      </c>
      <c r="S38" t="s">
        <v>370</v>
      </c>
      <c r="T38" t="s">
        <v>501</v>
      </c>
      <c r="U38" t="s">
        <v>371</v>
      </c>
      <c r="V38" t="s">
        <v>361</v>
      </c>
      <c r="W38" t="s">
        <v>372</v>
      </c>
      <c r="X38" t="s">
        <v>373</v>
      </c>
    </row>
    <row r="39">
      <c r="A39" s="456" t="str">
        <f t="array" ref="A39:ALL39">TRANSPOSE(indirect(Exploits!B41&amp;"!A:A"))</f>
        <v>Machine Interfacing</v>
      </c>
      <c r="B39" t="s">
        <v>499</v>
      </c>
      <c r="C39" t="s">
        <v>351</v>
      </c>
      <c r="D39" t="s">
        <v>363</v>
      </c>
      <c r="E39" t="s">
        <v>357</v>
      </c>
      <c r="F39" t="s">
        <v>364</v>
      </c>
      <c r="G39" t="s">
        <v>350</v>
      </c>
      <c r="H39" t="s">
        <v>365</v>
      </c>
      <c r="I39" t="s">
        <v>366</v>
      </c>
      <c r="J39" t="s">
        <v>367</v>
      </c>
      <c r="K39" t="s">
        <v>354</v>
      </c>
      <c r="L39" t="s">
        <v>356</v>
      </c>
      <c r="M39" t="s">
        <v>368</v>
      </c>
      <c r="N39" t="s">
        <v>353</v>
      </c>
      <c r="O39" t="s">
        <v>500</v>
      </c>
      <c r="P39" t="s">
        <v>369</v>
      </c>
      <c r="Q39" t="s">
        <v>355</v>
      </c>
      <c r="R39" t="s">
        <v>352</v>
      </c>
      <c r="S39" t="s">
        <v>370</v>
      </c>
      <c r="T39" t="s">
        <v>501</v>
      </c>
      <c r="U39" t="s">
        <v>371</v>
      </c>
      <c r="V39" t="s">
        <v>361</v>
      </c>
      <c r="W39" t="s">
        <v>372</v>
      </c>
      <c r="X39" t="s">
        <v>373</v>
      </c>
    </row>
    <row r="40">
      <c r="A40" s="456" t="str">
        <f t="array" ref="A40:ALL40">TRANSPOSE(indirect(Exploits!B42&amp;"!A:A"))</f>
        <v>Machine Interfacing</v>
      </c>
      <c r="B40" t="s">
        <v>499</v>
      </c>
      <c r="C40" t="s">
        <v>351</v>
      </c>
      <c r="D40" t="s">
        <v>363</v>
      </c>
      <c r="E40" t="s">
        <v>357</v>
      </c>
      <c r="F40" t="s">
        <v>364</v>
      </c>
      <c r="G40" t="s">
        <v>350</v>
      </c>
      <c r="H40" t="s">
        <v>365</v>
      </c>
      <c r="I40" t="s">
        <v>366</v>
      </c>
      <c r="J40" t="s">
        <v>367</v>
      </c>
      <c r="K40" t="s">
        <v>354</v>
      </c>
      <c r="L40" t="s">
        <v>356</v>
      </c>
      <c r="M40" t="s">
        <v>368</v>
      </c>
      <c r="N40" t="s">
        <v>353</v>
      </c>
      <c r="O40" t="s">
        <v>500</v>
      </c>
      <c r="P40" t="s">
        <v>369</v>
      </c>
      <c r="Q40" t="s">
        <v>355</v>
      </c>
      <c r="R40" t="s">
        <v>352</v>
      </c>
      <c r="S40" t="s">
        <v>370</v>
      </c>
      <c r="T40" t="s">
        <v>501</v>
      </c>
      <c r="U40" t="s">
        <v>371</v>
      </c>
      <c r="V40" t="s">
        <v>361</v>
      </c>
      <c r="W40" t="s">
        <v>372</v>
      </c>
      <c r="X40" t="s">
        <v>373</v>
      </c>
    </row>
    <row r="41">
      <c r="A41" s="456" t="str">
        <f t="array" ref="A41:ALL41">TRANSPOSE(indirect(Exploits!B43&amp;"!A:A"))</f>
        <v>Ancient Soul</v>
      </c>
      <c r="B41" t="s">
        <v>502</v>
      </c>
      <c r="C41" t="s">
        <v>324</v>
      </c>
      <c r="D41" t="s">
        <v>503</v>
      </c>
      <c r="E41" t="s">
        <v>504</v>
      </c>
      <c r="F41" t="s">
        <v>505</v>
      </c>
      <c r="G41" t="s">
        <v>506</v>
      </c>
      <c r="H41" t="s">
        <v>507</v>
      </c>
      <c r="I41" t="s">
        <v>508</v>
      </c>
      <c r="J41" t="s">
        <v>509</v>
      </c>
      <c r="K41" t="s">
        <v>510</v>
      </c>
      <c r="L41" t="s">
        <v>511</v>
      </c>
      <c r="M41" t="s">
        <v>512</v>
      </c>
      <c r="N41" t="s">
        <v>513</v>
      </c>
      <c r="O41" t="s">
        <v>514</v>
      </c>
      <c r="P41" t="s">
        <v>515</v>
      </c>
      <c r="Q41" t="s">
        <v>516</v>
      </c>
      <c r="R41" t="s">
        <v>342</v>
      </c>
      <c r="S41" t="s">
        <v>374</v>
      </c>
      <c r="T41" t="s">
        <v>517</v>
      </c>
      <c r="U41" t="s">
        <v>518</v>
      </c>
    </row>
    <row r="42">
      <c r="A42" s="456" t="str">
        <f t="array" ref="A42:ALL42">TRANSPOSE(indirect(Exploits!B44&amp;"!A:A"))</f>
        <v>Field Repair</v>
      </c>
      <c r="B42" t="s">
        <v>595</v>
      </c>
      <c r="C42" t="s">
        <v>596</v>
      </c>
      <c r="D42" t="s">
        <v>597</v>
      </c>
      <c r="E42" t="s">
        <v>362</v>
      </c>
      <c r="F42" t="s">
        <v>598</v>
      </c>
      <c r="G42" t="s">
        <v>376</v>
      </c>
      <c r="H42" t="s">
        <v>599</v>
      </c>
      <c r="I42" t="s">
        <v>377</v>
      </c>
      <c r="J42" t="s">
        <v>600</v>
      </c>
      <c r="K42" t="s">
        <v>601</v>
      </c>
      <c r="L42" t="s">
        <v>602</v>
      </c>
      <c r="M42" t="s">
        <v>378</v>
      </c>
      <c r="N42" t="s">
        <v>603</v>
      </c>
      <c r="O42" t="s">
        <v>344</v>
      </c>
      <c r="P42" t="s">
        <v>375</v>
      </c>
      <c r="Q42" t="s">
        <v>604</v>
      </c>
      <c r="R42" t="s">
        <v>605</v>
      </c>
      <c r="S42" t="s">
        <v>606</v>
      </c>
      <c r="T42" t="s">
        <v>607</v>
      </c>
      <c r="U42" t="s">
        <v>608</v>
      </c>
      <c r="V42" t="s">
        <v>609</v>
      </c>
    </row>
    <row r="43">
      <c r="A43" s="456" t="str">
        <f t="array" ref="A43:ALL43">TRANSPOSE(indirect(Exploits!B45&amp;"!A:A"))</f>
        <v>Field Repair</v>
      </c>
      <c r="B43" t="s">
        <v>595</v>
      </c>
      <c r="C43" t="s">
        <v>596</v>
      </c>
      <c r="D43" t="s">
        <v>597</v>
      </c>
      <c r="E43" t="s">
        <v>362</v>
      </c>
      <c r="F43" t="s">
        <v>598</v>
      </c>
      <c r="G43" t="s">
        <v>376</v>
      </c>
      <c r="H43" t="s">
        <v>599</v>
      </c>
      <c r="I43" t="s">
        <v>377</v>
      </c>
      <c r="J43" t="s">
        <v>600</v>
      </c>
      <c r="K43" t="s">
        <v>601</v>
      </c>
      <c r="L43" t="s">
        <v>602</v>
      </c>
      <c r="M43" t="s">
        <v>378</v>
      </c>
      <c r="N43" t="s">
        <v>603</v>
      </c>
      <c r="O43" t="s">
        <v>344</v>
      </c>
      <c r="P43" t="s">
        <v>375</v>
      </c>
      <c r="Q43" t="s">
        <v>604</v>
      </c>
      <c r="R43" t="s">
        <v>605</v>
      </c>
      <c r="S43" t="s">
        <v>606</v>
      </c>
      <c r="T43" t="s">
        <v>607</v>
      </c>
      <c r="U43" t="s">
        <v>608</v>
      </c>
      <c r="V43" t="s">
        <v>609</v>
      </c>
    </row>
    <row r="44">
      <c r="A44" s="456" t="str">
        <f t="array" ref="A44:ALL44">TRANSPOSE(indirect(Exploits!B46&amp;"!A:A"))</f>
        <v>Field Repair</v>
      </c>
      <c r="B44" t="s">
        <v>595</v>
      </c>
      <c r="C44" t="s">
        <v>596</v>
      </c>
      <c r="D44" t="s">
        <v>597</v>
      </c>
      <c r="E44" t="s">
        <v>362</v>
      </c>
      <c r="F44" t="s">
        <v>598</v>
      </c>
      <c r="G44" t="s">
        <v>376</v>
      </c>
      <c r="H44" t="s">
        <v>599</v>
      </c>
      <c r="I44" t="s">
        <v>377</v>
      </c>
      <c r="J44" t="s">
        <v>600</v>
      </c>
      <c r="K44" t="s">
        <v>601</v>
      </c>
      <c r="L44" t="s">
        <v>602</v>
      </c>
      <c r="M44" t="s">
        <v>378</v>
      </c>
      <c r="N44" t="s">
        <v>603</v>
      </c>
      <c r="O44" t="s">
        <v>344</v>
      </c>
      <c r="P44" t="s">
        <v>375</v>
      </c>
      <c r="Q44" t="s">
        <v>604</v>
      </c>
      <c r="R44" t="s">
        <v>605</v>
      </c>
      <c r="S44" t="s">
        <v>606</v>
      </c>
      <c r="T44" t="s">
        <v>607</v>
      </c>
      <c r="U44" t="s">
        <v>608</v>
      </c>
      <c r="V44" t="s">
        <v>609</v>
      </c>
    </row>
    <row r="45">
      <c r="A45" s="456" t="str">
        <f t="array" ref="A45:ALL45">TRANSPOSE(indirect(Exploits!B47&amp;"!A:A"))</f>
        <v>Field Repair</v>
      </c>
      <c r="B45" t="s">
        <v>595</v>
      </c>
      <c r="C45" t="s">
        <v>596</v>
      </c>
      <c r="D45" t="s">
        <v>597</v>
      </c>
      <c r="E45" t="s">
        <v>362</v>
      </c>
      <c r="F45" t="s">
        <v>598</v>
      </c>
      <c r="G45" t="s">
        <v>376</v>
      </c>
      <c r="H45" t="s">
        <v>599</v>
      </c>
      <c r="I45" t="s">
        <v>377</v>
      </c>
      <c r="J45" t="s">
        <v>600</v>
      </c>
      <c r="K45" t="s">
        <v>601</v>
      </c>
      <c r="L45" t="s">
        <v>602</v>
      </c>
      <c r="M45" t="s">
        <v>378</v>
      </c>
      <c r="N45" t="s">
        <v>603</v>
      </c>
      <c r="O45" t="s">
        <v>344</v>
      </c>
      <c r="P45" t="s">
        <v>375</v>
      </c>
      <c r="Q45" t="s">
        <v>604</v>
      </c>
      <c r="R45" t="s">
        <v>605</v>
      </c>
      <c r="S45" t="s">
        <v>606</v>
      </c>
      <c r="T45" t="s">
        <v>607</v>
      </c>
      <c r="U45" t="s">
        <v>608</v>
      </c>
      <c r="V45" t="s">
        <v>609</v>
      </c>
    </row>
    <row r="46">
      <c r="A46" s="456" t="str">
        <f t="array" ref="A46:ALL46">TRANSPOSE(indirect(Exploits!B48&amp;"!A:A"))</f>
        <v>Combat Improvision</v>
      </c>
      <c r="B46" t="s">
        <v>527</v>
      </c>
      <c r="C46" t="s">
        <v>528</v>
      </c>
      <c r="D46" t="s">
        <v>529</v>
      </c>
      <c r="E46" t="s">
        <v>530</v>
      </c>
      <c r="F46" t="s">
        <v>531</v>
      </c>
      <c r="G46" t="s">
        <v>334</v>
      </c>
      <c r="H46" t="s">
        <v>358</v>
      </c>
      <c r="I46" t="s">
        <v>532</v>
      </c>
      <c r="J46" t="s">
        <v>533</v>
      </c>
      <c r="K46" t="s">
        <v>379</v>
      </c>
      <c r="L46" t="s">
        <v>534</v>
      </c>
      <c r="M46" t="s">
        <v>535</v>
      </c>
      <c r="N46" t="s">
        <v>536</v>
      </c>
      <c r="O46" t="s">
        <v>537</v>
      </c>
      <c r="P46" t="s">
        <v>538</v>
      </c>
      <c r="Q46" t="s">
        <v>539</v>
      </c>
      <c r="R46" t="s">
        <v>540</v>
      </c>
      <c r="S46" t="s">
        <v>541</v>
      </c>
      <c r="T46" t="s">
        <v>542</v>
      </c>
      <c r="U46" t="s">
        <v>543</v>
      </c>
      <c r="V46" t="s">
        <v>544</v>
      </c>
      <c r="W46" t="s">
        <v>545</v>
      </c>
      <c r="X46" t="s">
        <v>546</v>
      </c>
      <c r="Y46" t="s">
        <v>547</v>
      </c>
      <c r="Z46" t="s">
        <v>548</v>
      </c>
      <c r="AA46" t="s">
        <v>549</v>
      </c>
      <c r="AB46" t="s">
        <v>550</v>
      </c>
      <c r="AC46" t="s">
        <v>551</v>
      </c>
      <c r="AD46" t="s">
        <v>552</v>
      </c>
      <c r="AE46" t="s">
        <v>553</v>
      </c>
      <c r="AF46" t="s">
        <v>554</v>
      </c>
      <c r="AG46" t="s">
        <v>555</v>
      </c>
      <c r="AH46" t="s">
        <v>556</v>
      </c>
      <c r="AI46" t="s">
        <v>557</v>
      </c>
      <c r="AJ46" t="s">
        <v>558</v>
      </c>
      <c r="AK46" t="s">
        <v>559</v>
      </c>
      <c r="AL46" t="s">
        <v>560</v>
      </c>
      <c r="AM46" t="s">
        <v>561</v>
      </c>
      <c r="AN46" t="s">
        <v>562</v>
      </c>
      <c r="AO46" t="s">
        <v>563</v>
      </c>
      <c r="AP46" t="s">
        <v>564</v>
      </c>
      <c r="AQ46" t="s">
        <v>565</v>
      </c>
      <c r="AR46" t="s">
        <v>566</v>
      </c>
    </row>
    <row r="47">
      <c r="A47" s="456" t="str">
        <f t="array" ref="A47:AZ47">TRANSPOSE(indirect(Exploits!B49&amp;"!A:A"))</f>
        <v>Machine Interfacing</v>
      </c>
      <c r="B47" t="s">
        <v>630</v>
      </c>
      <c r="C47" t="s">
        <v>326</v>
      </c>
      <c r="D47" t="s">
        <v>326</v>
      </c>
      <c r="E47" t="s">
        <v>330</v>
      </c>
      <c r="F47" t="s">
        <v>330</v>
      </c>
      <c r="G47" t="s">
        <v>330</v>
      </c>
      <c r="H47" t="s">
        <v>631</v>
      </c>
      <c r="I47" t="s">
        <v>632</v>
      </c>
      <c r="J47" t="s">
        <v>632</v>
      </c>
      <c r="K47" t="s">
        <v>633</v>
      </c>
      <c r="L47" t="s">
        <v>630</v>
      </c>
      <c r="M47" t="s">
        <v>634</v>
      </c>
      <c r="N47" t="s">
        <v>633</v>
      </c>
      <c r="O47" t="s">
        <v>633</v>
      </c>
      <c r="P47" t="s">
        <v>633</v>
      </c>
      <c r="Q47" t="s">
        <v>635</v>
      </c>
      <c r="R47" t="s">
        <v>321</v>
      </c>
      <c r="S47" t="s">
        <v>321</v>
      </c>
      <c r="T47" t="s">
        <v>321</v>
      </c>
      <c r="U47" t="s">
        <v>321</v>
      </c>
      <c r="V47" t="s">
        <v>321</v>
      </c>
      <c r="W47" t="s">
        <v>321</v>
      </c>
      <c r="X47" t="s">
        <v>321</v>
      </c>
      <c r="Y47" t="s">
        <v>321</v>
      </c>
      <c r="Z47" t="s">
        <v>631</v>
      </c>
      <c r="AA47" t="s">
        <v>321</v>
      </c>
      <c r="AB47" t="s">
        <v>321</v>
      </c>
      <c r="AC47" t="s">
        <v>634</v>
      </c>
      <c r="AD47" t="s">
        <v>321</v>
      </c>
      <c r="AE47" t="s">
        <v>321</v>
      </c>
      <c r="AF47" t="s">
        <v>321</v>
      </c>
      <c r="AG47" t="s">
        <v>321</v>
      </c>
      <c r="AH47" t="s">
        <v>321</v>
      </c>
      <c r="AI47" t="s">
        <v>321</v>
      </c>
      <c r="AJ47" t="s">
        <v>321</v>
      </c>
      <c r="AK47" t="s">
        <v>321</v>
      </c>
      <c r="AL47" t="s">
        <v>321</v>
      </c>
      <c r="AM47" t="s">
        <v>321</v>
      </c>
      <c r="AN47" t="s">
        <v>321</v>
      </c>
      <c r="AO47" t="s">
        <v>630</v>
      </c>
      <c r="AP47" t="s">
        <v>634</v>
      </c>
      <c r="AQ47" t="s">
        <v>634</v>
      </c>
      <c r="AR47" t="s">
        <v>634</v>
      </c>
      <c r="AS47" t="s">
        <v>634</v>
      </c>
      <c r="AT47" t="s">
        <v>631</v>
      </c>
      <c r="AU47" t="s">
        <v>321</v>
      </c>
      <c r="AV47" t="s">
        <v>321</v>
      </c>
      <c r="AW47" t="s">
        <v>321</v>
      </c>
      <c r="AX47" t="s">
        <v>321</v>
      </c>
      <c r="AY47" t="s">
        <v>321</v>
      </c>
      <c r="AZ47" t="s">
        <v>321</v>
      </c>
    </row>
    <row r="48">
      <c r="A48" s="456" t="str">
        <f t="array" ref="A48:AZ48">TRANSPOSE(indirect(Exploits!B50&amp;"!A:A"))</f>
        <v>Machine Interfacing</v>
      </c>
      <c r="B48" t="s">
        <v>630</v>
      </c>
      <c r="C48" t="s">
        <v>326</v>
      </c>
      <c r="D48" t="s">
        <v>326</v>
      </c>
      <c r="E48" t="s">
        <v>330</v>
      </c>
      <c r="F48" t="s">
        <v>330</v>
      </c>
      <c r="G48" t="s">
        <v>330</v>
      </c>
      <c r="H48" t="s">
        <v>631</v>
      </c>
      <c r="I48" t="s">
        <v>632</v>
      </c>
      <c r="J48" t="s">
        <v>632</v>
      </c>
      <c r="K48" t="s">
        <v>633</v>
      </c>
      <c r="L48" t="s">
        <v>630</v>
      </c>
      <c r="M48" t="s">
        <v>634</v>
      </c>
      <c r="N48" t="s">
        <v>633</v>
      </c>
      <c r="O48" t="s">
        <v>633</v>
      </c>
      <c r="P48" t="s">
        <v>633</v>
      </c>
      <c r="Q48" t="s">
        <v>635</v>
      </c>
      <c r="R48" t="s">
        <v>321</v>
      </c>
      <c r="S48" t="s">
        <v>321</v>
      </c>
      <c r="T48" t="s">
        <v>321</v>
      </c>
      <c r="U48" t="s">
        <v>321</v>
      </c>
      <c r="V48" t="s">
        <v>321</v>
      </c>
      <c r="W48" t="s">
        <v>321</v>
      </c>
      <c r="X48" t="s">
        <v>321</v>
      </c>
      <c r="Y48" t="s">
        <v>321</v>
      </c>
      <c r="Z48" t="s">
        <v>631</v>
      </c>
      <c r="AA48" t="s">
        <v>321</v>
      </c>
      <c r="AB48" t="s">
        <v>321</v>
      </c>
      <c r="AC48" t="s">
        <v>634</v>
      </c>
      <c r="AD48" t="s">
        <v>321</v>
      </c>
      <c r="AE48" t="s">
        <v>321</v>
      </c>
      <c r="AF48" t="s">
        <v>321</v>
      </c>
      <c r="AG48" t="s">
        <v>321</v>
      </c>
      <c r="AH48" t="s">
        <v>321</v>
      </c>
      <c r="AI48" t="s">
        <v>321</v>
      </c>
      <c r="AJ48" t="s">
        <v>321</v>
      </c>
      <c r="AK48" t="s">
        <v>321</v>
      </c>
      <c r="AL48" t="s">
        <v>321</v>
      </c>
      <c r="AM48" t="s">
        <v>321</v>
      </c>
      <c r="AN48" t="s">
        <v>321</v>
      </c>
      <c r="AO48" t="s">
        <v>630</v>
      </c>
      <c r="AP48" t="s">
        <v>634</v>
      </c>
      <c r="AQ48" t="s">
        <v>634</v>
      </c>
      <c r="AR48" t="s">
        <v>634</v>
      </c>
      <c r="AS48" t="s">
        <v>634</v>
      </c>
      <c r="AT48" t="s">
        <v>631</v>
      </c>
      <c r="AU48" t="s">
        <v>321</v>
      </c>
      <c r="AV48" t="s">
        <v>321</v>
      </c>
      <c r="AW48" t="s">
        <v>321</v>
      </c>
      <c r="AX48" t="s">
        <v>321</v>
      </c>
      <c r="AY48" t="s">
        <v>321</v>
      </c>
      <c r="AZ48" t="s">
        <v>321</v>
      </c>
    </row>
    <row r="49">
      <c r="A49" s="456" t="str">
        <f t="array" ref="A49:AZ49">TRANSPOSE(indirect(Exploits!B51&amp;"!A:A"))</f>
        <v>Machine Interfacing</v>
      </c>
      <c r="B49" t="s">
        <v>630</v>
      </c>
      <c r="C49" t="s">
        <v>326</v>
      </c>
      <c r="D49" t="s">
        <v>326</v>
      </c>
      <c r="E49" t="s">
        <v>330</v>
      </c>
      <c r="F49" t="s">
        <v>330</v>
      </c>
      <c r="G49" t="s">
        <v>330</v>
      </c>
      <c r="H49" t="s">
        <v>631</v>
      </c>
      <c r="I49" t="s">
        <v>632</v>
      </c>
      <c r="J49" t="s">
        <v>632</v>
      </c>
      <c r="K49" t="s">
        <v>633</v>
      </c>
      <c r="L49" t="s">
        <v>630</v>
      </c>
      <c r="M49" t="s">
        <v>634</v>
      </c>
      <c r="N49" t="s">
        <v>633</v>
      </c>
      <c r="O49" t="s">
        <v>633</v>
      </c>
      <c r="P49" t="s">
        <v>633</v>
      </c>
      <c r="Q49" t="s">
        <v>635</v>
      </c>
      <c r="R49" t="s">
        <v>321</v>
      </c>
      <c r="S49" t="s">
        <v>321</v>
      </c>
      <c r="T49" t="s">
        <v>321</v>
      </c>
      <c r="U49" t="s">
        <v>321</v>
      </c>
      <c r="V49" t="s">
        <v>321</v>
      </c>
      <c r="W49" t="s">
        <v>321</v>
      </c>
      <c r="X49" t="s">
        <v>321</v>
      </c>
      <c r="Y49" t="s">
        <v>321</v>
      </c>
      <c r="Z49" t="s">
        <v>631</v>
      </c>
      <c r="AA49" t="s">
        <v>321</v>
      </c>
      <c r="AB49" t="s">
        <v>321</v>
      </c>
      <c r="AC49" t="s">
        <v>634</v>
      </c>
      <c r="AD49" t="s">
        <v>321</v>
      </c>
      <c r="AE49" t="s">
        <v>321</v>
      </c>
      <c r="AF49" t="s">
        <v>321</v>
      </c>
      <c r="AG49" t="s">
        <v>321</v>
      </c>
      <c r="AH49" t="s">
        <v>321</v>
      </c>
      <c r="AI49" t="s">
        <v>321</v>
      </c>
      <c r="AJ49" t="s">
        <v>321</v>
      </c>
      <c r="AK49" t="s">
        <v>321</v>
      </c>
      <c r="AL49" t="s">
        <v>321</v>
      </c>
      <c r="AM49" t="s">
        <v>321</v>
      </c>
      <c r="AN49" t="s">
        <v>321</v>
      </c>
      <c r="AO49" t="s">
        <v>630</v>
      </c>
      <c r="AP49" t="s">
        <v>634</v>
      </c>
      <c r="AQ49" t="s">
        <v>634</v>
      </c>
      <c r="AR49" t="s">
        <v>634</v>
      </c>
      <c r="AS49" t="s">
        <v>634</v>
      </c>
      <c r="AT49" t="s">
        <v>631</v>
      </c>
      <c r="AU49" t="s">
        <v>321</v>
      </c>
      <c r="AV49" t="s">
        <v>321</v>
      </c>
      <c r="AW49" t="s">
        <v>321</v>
      </c>
      <c r="AX49" t="s">
        <v>321</v>
      </c>
      <c r="AY49" t="s">
        <v>321</v>
      </c>
      <c r="AZ49" t="s">
        <v>321</v>
      </c>
    </row>
    <row r="50">
      <c r="A50" s="456" t="str">
        <f t="array" ref="A50:AZ50">TRANSPOSE(indirect(Exploits!B52&amp;"!A:A"))</f>
        <v>Machine Interfacing</v>
      </c>
      <c r="B50" t="s">
        <v>630</v>
      </c>
      <c r="C50" t="s">
        <v>326</v>
      </c>
      <c r="D50" t="s">
        <v>326</v>
      </c>
      <c r="E50" t="s">
        <v>330</v>
      </c>
      <c r="F50" t="s">
        <v>330</v>
      </c>
      <c r="G50" t="s">
        <v>330</v>
      </c>
      <c r="H50" t="s">
        <v>631</v>
      </c>
      <c r="I50" t="s">
        <v>632</v>
      </c>
      <c r="J50" t="s">
        <v>632</v>
      </c>
      <c r="K50" t="s">
        <v>633</v>
      </c>
      <c r="L50" t="s">
        <v>630</v>
      </c>
      <c r="M50" t="s">
        <v>634</v>
      </c>
      <c r="N50" t="s">
        <v>633</v>
      </c>
      <c r="O50" t="s">
        <v>633</v>
      </c>
      <c r="P50" t="s">
        <v>633</v>
      </c>
      <c r="Q50" t="s">
        <v>635</v>
      </c>
      <c r="R50" t="s">
        <v>321</v>
      </c>
      <c r="S50" t="s">
        <v>321</v>
      </c>
      <c r="T50" t="s">
        <v>321</v>
      </c>
      <c r="U50" t="s">
        <v>321</v>
      </c>
      <c r="V50" t="s">
        <v>321</v>
      </c>
      <c r="W50" t="s">
        <v>321</v>
      </c>
      <c r="X50" t="s">
        <v>321</v>
      </c>
      <c r="Y50" t="s">
        <v>321</v>
      </c>
      <c r="Z50" t="s">
        <v>631</v>
      </c>
      <c r="AA50" t="s">
        <v>321</v>
      </c>
      <c r="AB50" t="s">
        <v>321</v>
      </c>
      <c r="AC50" t="s">
        <v>634</v>
      </c>
      <c r="AD50" t="s">
        <v>321</v>
      </c>
      <c r="AE50" t="s">
        <v>321</v>
      </c>
      <c r="AF50" t="s">
        <v>321</v>
      </c>
      <c r="AG50" t="s">
        <v>321</v>
      </c>
      <c r="AH50" t="s">
        <v>321</v>
      </c>
      <c r="AI50" t="s">
        <v>321</v>
      </c>
      <c r="AJ50" t="s">
        <v>321</v>
      </c>
      <c r="AK50" t="s">
        <v>321</v>
      </c>
      <c r="AL50" t="s">
        <v>321</v>
      </c>
      <c r="AM50" t="s">
        <v>321</v>
      </c>
      <c r="AN50" t="s">
        <v>321</v>
      </c>
      <c r="AO50" t="s">
        <v>630</v>
      </c>
      <c r="AP50" t="s">
        <v>634</v>
      </c>
      <c r="AQ50" t="s">
        <v>634</v>
      </c>
      <c r="AR50" t="s">
        <v>634</v>
      </c>
      <c r="AS50" t="s">
        <v>634</v>
      </c>
      <c r="AT50" t="s">
        <v>631</v>
      </c>
      <c r="AU50" t="s">
        <v>321</v>
      </c>
      <c r="AV50" t="s">
        <v>321</v>
      </c>
      <c r="AW50" t="s">
        <v>321</v>
      </c>
      <c r="AX50" t="s">
        <v>321</v>
      </c>
      <c r="AY50" t="s">
        <v>321</v>
      </c>
      <c r="AZ50" t="s">
        <v>321</v>
      </c>
    </row>
    <row r="51">
      <c r="A51" s="456" t="str">
        <f t="array" ref="A51:AZ51">TRANSPOSE(indirect(Exploits!B53&amp;"!A:A"))</f>
        <v>Machine Interfacing</v>
      </c>
      <c r="B51" t="s">
        <v>630</v>
      </c>
      <c r="C51" t="s">
        <v>326</v>
      </c>
      <c r="D51" t="s">
        <v>326</v>
      </c>
      <c r="E51" t="s">
        <v>330</v>
      </c>
      <c r="F51" t="s">
        <v>330</v>
      </c>
      <c r="G51" t="s">
        <v>330</v>
      </c>
      <c r="H51" t="s">
        <v>631</v>
      </c>
      <c r="I51" t="s">
        <v>632</v>
      </c>
      <c r="J51" t="s">
        <v>632</v>
      </c>
      <c r="K51" t="s">
        <v>633</v>
      </c>
      <c r="L51" t="s">
        <v>630</v>
      </c>
      <c r="M51" t="s">
        <v>634</v>
      </c>
      <c r="N51" t="s">
        <v>633</v>
      </c>
      <c r="O51" t="s">
        <v>633</v>
      </c>
      <c r="P51" t="s">
        <v>633</v>
      </c>
      <c r="Q51" t="s">
        <v>635</v>
      </c>
      <c r="R51" t="s">
        <v>321</v>
      </c>
      <c r="S51" t="s">
        <v>321</v>
      </c>
      <c r="T51" t="s">
        <v>321</v>
      </c>
      <c r="U51" t="s">
        <v>321</v>
      </c>
      <c r="V51" t="s">
        <v>321</v>
      </c>
      <c r="W51" t="s">
        <v>321</v>
      </c>
      <c r="X51" t="s">
        <v>321</v>
      </c>
      <c r="Y51" t="s">
        <v>321</v>
      </c>
      <c r="Z51" t="s">
        <v>631</v>
      </c>
      <c r="AA51" t="s">
        <v>321</v>
      </c>
      <c r="AB51" t="s">
        <v>321</v>
      </c>
      <c r="AC51" t="s">
        <v>634</v>
      </c>
      <c r="AD51" t="s">
        <v>321</v>
      </c>
      <c r="AE51" t="s">
        <v>321</v>
      </c>
      <c r="AF51" t="s">
        <v>321</v>
      </c>
      <c r="AG51" t="s">
        <v>321</v>
      </c>
      <c r="AH51" t="s">
        <v>321</v>
      </c>
      <c r="AI51" t="s">
        <v>321</v>
      </c>
      <c r="AJ51" t="s">
        <v>321</v>
      </c>
      <c r="AK51" t="s">
        <v>321</v>
      </c>
      <c r="AL51" t="s">
        <v>321</v>
      </c>
      <c r="AM51" t="s">
        <v>321</v>
      </c>
      <c r="AN51" t="s">
        <v>321</v>
      </c>
      <c r="AO51" t="s">
        <v>630</v>
      </c>
      <c r="AP51" t="s">
        <v>634</v>
      </c>
      <c r="AQ51" t="s">
        <v>634</v>
      </c>
      <c r="AR51" t="s">
        <v>634</v>
      </c>
      <c r="AS51" t="s">
        <v>634</v>
      </c>
      <c r="AT51" t="s">
        <v>631</v>
      </c>
      <c r="AU51" t="s">
        <v>321</v>
      </c>
      <c r="AV51" t="s">
        <v>321</v>
      </c>
      <c r="AW51" t="s">
        <v>321</v>
      </c>
      <c r="AX51" t="s">
        <v>321</v>
      </c>
      <c r="AY51" t="s">
        <v>321</v>
      </c>
      <c r="AZ51" t="s">
        <v>321</v>
      </c>
    </row>
    <row r="52">
      <c r="A52" s="456" t="str">
        <f t="array" ref="A52:AZ52">TRANSPOSE(indirect(Exploits!B54&amp;"!A:A"))</f>
        <v>Machine Interfacing</v>
      </c>
      <c r="B52" t="s">
        <v>630</v>
      </c>
      <c r="C52" t="s">
        <v>326</v>
      </c>
      <c r="D52" t="s">
        <v>326</v>
      </c>
      <c r="E52" t="s">
        <v>330</v>
      </c>
      <c r="F52" t="s">
        <v>330</v>
      </c>
      <c r="G52" t="s">
        <v>330</v>
      </c>
      <c r="H52" t="s">
        <v>631</v>
      </c>
      <c r="I52" t="s">
        <v>632</v>
      </c>
      <c r="J52" t="s">
        <v>632</v>
      </c>
      <c r="K52" t="s">
        <v>633</v>
      </c>
      <c r="L52" t="s">
        <v>630</v>
      </c>
      <c r="M52" t="s">
        <v>634</v>
      </c>
      <c r="N52" t="s">
        <v>633</v>
      </c>
      <c r="O52" t="s">
        <v>633</v>
      </c>
      <c r="P52" t="s">
        <v>633</v>
      </c>
      <c r="Q52" t="s">
        <v>635</v>
      </c>
      <c r="R52" t="s">
        <v>321</v>
      </c>
      <c r="S52" t="s">
        <v>321</v>
      </c>
      <c r="T52" t="s">
        <v>321</v>
      </c>
      <c r="U52" t="s">
        <v>321</v>
      </c>
      <c r="V52" t="s">
        <v>321</v>
      </c>
      <c r="W52" t="s">
        <v>321</v>
      </c>
      <c r="X52" t="s">
        <v>321</v>
      </c>
      <c r="Y52" t="s">
        <v>321</v>
      </c>
      <c r="Z52" t="s">
        <v>631</v>
      </c>
      <c r="AA52" t="s">
        <v>321</v>
      </c>
      <c r="AB52" t="s">
        <v>321</v>
      </c>
      <c r="AC52" t="s">
        <v>634</v>
      </c>
      <c r="AD52" t="s">
        <v>321</v>
      </c>
      <c r="AE52" t="s">
        <v>321</v>
      </c>
      <c r="AF52" t="s">
        <v>321</v>
      </c>
      <c r="AG52" t="s">
        <v>321</v>
      </c>
      <c r="AH52" t="s">
        <v>321</v>
      </c>
      <c r="AI52" t="s">
        <v>321</v>
      </c>
      <c r="AJ52" t="s">
        <v>321</v>
      </c>
      <c r="AK52" t="s">
        <v>321</v>
      </c>
      <c r="AL52" t="s">
        <v>321</v>
      </c>
      <c r="AM52" t="s">
        <v>321</v>
      </c>
      <c r="AN52" t="s">
        <v>321</v>
      </c>
      <c r="AO52" t="s">
        <v>630</v>
      </c>
      <c r="AP52" t="s">
        <v>634</v>
      </c>
      <c r="AQ52" t="s">
        <v>634</v>
      </c>
      <c r="AR52" t="s">
        <v>634</v>
      </c>
      <c r="AS52" t="s">
        <v>634</v>
      </c>
      <c r="AT52" t="s">
        <v>631</v>
      </c>
      <c r="AU52" t="s">
        <v>321</v>
      </c>
      <c r="AV52" t="s">
        <v>321</v>
      </c>
      <c r="AW52" t="s">
        <v>321</v>
      </c>
      <c r="AX52" t="s">
        <v>321</v>
      </c>
      <c r="AY52" t="s">
        <v>321</v>
      </c>
      <c r="AZ52" t="s">
        <v>321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""Combat!B3:B""),""SELECT * WHERE Col1 IS NOT NULL"",0)"),"Combat Improvision")</f>
        <v>Combat Improvision</v>
      </c>
      <c r="B1" s="457"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7"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7"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8">
        <f>IFERROR(__xludf.DUMMYFUNCTION("QUERY(IMPORTRANGE(""1koQqL7bV1rMPtlmhZblwVeK5weyiTfFQ3POD_grK7Rc"", ""Combat!C3:C""),""SELECT * WHERE Col1 IS NOT NULL"",0)"),12.0)</f>
        <v>12</v>
      </c>
      <c r="F1" s="457"/>
      <c r="G1" s="457"/>
      <c r="H1" s="457"/>
      <c r="I1" s="457"/>
      <c r="J1" s="457"/>
      <c r="K1" s="457"/>
      <c r="L1" s="457"/>
      <c r="M1" s="457"/>
      <c r="N1" s="457"/>
      <c r="O1" s="457"/>
      <c r="P1" s="457"/>
      <c r="Q1" s="457"/>
      <c r="R1" s="457"/>
      <c r="S1" s="457"/>
      <c r="T1" s="457"/>
      <c r="U1" s="457"/>
      <c r="V1" s="457"/>
    </row>
    <row r="2">
      <c r="A2" s="457" t="str">
        <f>IFERROR(__xludf.DUMMYFUNCTION("""COMPUTED_VALUE"""),"Way of the Fists")</f>
        <v>Way of the Fists</v>
      </c>
      <c r="B2" s="457"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7"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7"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9">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IFERROR(__xludf.DUMMYFUNCTION("""COMPUTED_VALUE"""),"Battle Momentum")</f>
        <v>Battle Momentum</v>
      </c>
      <c r="B3" s="457" t="str">
        <f>IFERROR(__xludf.DUMMYFUNCTION("""COMPUTED_VALUE"""),"[Any Melee Martial Arts Skill 6]
Successful melee attacks give you a free spontaneous 5 foot step.
")</f>
        <v>[Any Melee Martial Arts Skill 6]
Successful melee attacks give you a free spontaneous 5 foot step.
</v>
      </c>
      <c r="C3" s="457"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7"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8">
        <f>IFERROR(__xludf.DUMMYFUNCTION("""COMPUTED_VALUE"""),13.0)</f>
        <v>13</v>
      </c>
      <c r="F3" s="457"/>
      <c r="G3" s="457"/>
      <c r="H3" s="457"/>
      <c r="I3" s="457"/>
      <c r="J3" s="457"/>
      <c r="K3" s="457"/>
      <c r="L3" s="457"/>
      <c r="M3" s="457"/>
      <c r="N3" s="457"/>
      <c r="O3" s="457"/>
      <c r="P3" s="457"/>
      <c r="Q3" s="457"/>
      <c r="R3" s="457"/>
      <c r="S3" s="457"/>
      <c r="T3" s="457"/>
      <c r="U3" s="457"/>
      <c r="V3" s="457"/>
    </row>
    <row r="4">
      <c r="A4" s="457" t="str">
        <f>IFERROR(__xludf.DUMMYFUNCTION("""COMPUTED_VALUE"""),"Battle Proficiency")</f>
        <v>Battle Proficiency</v>
      </c>
      <c r="B4" s="457" t="str">
        <f>IFERROR(__xludf.DUMMYFUNCTION("""COMPUTED_VALUE"""),"[Any Martial Arts Skill 6]
+1 Mod to all Martial Arts Skills")</f>
        <v>[Any Martial Arts Skill 6]
+1 Mod to all Martial Arts Skills</v>
      </c>
      <c r="C4" s="457"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7"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8">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IFERROR(__xludf.DUMMYFUNCTION("""COMPUTED_VALUE"""),"Brawler")</f>
        <v>Brawler</v>
      </c>
      <c r="B5" s="457" t="str">
        <f>IFERROR(__xludf.DUMMYFUNCTION("""COMPUTED_VALUE"""),"[Unarmed 4]
Unarmed Mod +2
")</f>
        <v>[Unarmed 4]
Unarmed Mod +2
</v>
      </c>
      <c r="C5" s="457" t="str">
        <f>IFERROR(__xludf.DUMMYFUNCTION("""COMPUTED_VALUE"""),"[Unarmed 9]
Unarmed Mod +4
")</f>
        <v>[Unarmed 9]
Unarmed Mod +4
</v>
      </c>
      <c r="D5" s="457"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8">
        <f>IFERROR(__xludf.DUMMYFUNCTION("""COMPUTED_VALUE"""),10.0)</f>
        <v>10</v>
      </c>
      <c r="F5" s="457"/>
      <c r="G5" s="457"/>
      <c r="H5" s="457"/>
      <c r="I5" s="457"/>
      <c r="J5" s="457"/>
      <c r="K5" s="457"/>
      <c r="L5" s="457"/>
      <c r="M5" s="457"/>
      <c r="N5" s="457"/>
      <c r="O5" s="457"/>
      <c r="P5" s="457"/>
      <c r="Q5" s="457"/>
      <c r="R5" s="457"/>
      <c r="S5" s="457"/>
      <c r="T5" s="457"/>
      <c r="U5" s="457"/>
      <c r="V5" s="457"/>
    </row>
    <row r="6">
      <c r="A6" s="457" t="str">
        <f>IFERROR(__xludf.DUMMYFUNCTION("""COMPUTED_VALUE"""),"Combat Endurance")</f>
        <v>Combat Endurance</v>
      </c>
      <c r="B6" s="457" t="str">
        <f>IFERROR(__xludf.DUMMYFUNCTION("""COMPUTED_VALUE"""),"[Combined Athletics 10]
+2 to Virility Mod.
")</f>
        <v>[Combined Athletics 10]
+2 to Virility Mod.
</v>
      </c>
      <c r="C6" s="457" t="str">
        <f>IFERROR(__xludf.DUMMYFUNCTION("""COMPUTED_VALUE"""),"[CON 4]
+2 to Virility Mod; +5 to Base Endurance
")</f>
        <v>[CON 4]
+2 to Virility Mod; +5 to Base Endurance
</v>
      </c>
      <c r="D6" s="457" t="str">
        <f>IFERROR(__xludf.DUMMYFUNCTION("""COMPUTED_VALUE"""),"[Survival 12]
+3 to Virility Mod; +5 to Base Endurance; +1 to Base Resist.")</f>
        <v>[Survival 12]
+3 to Virility Mod; +5 to Base Endurance; +1 to Base Resist.</v>
      </c>
      <c r="E6" s="458">
        <f>IFERROR(__xludf.DUMMYFUNCTION("""COMPUTED_VALUE"""),11.0)</f>
        <v>11</v>
      </c>
      <c r="F6" s="457"/>
      <c r="G6" s="457"/>
      <c r="H6" s="457"/>
      <c r="I6" s="457"/>
      <c r="J6" s="457"/>
      <c r="K6" s="457"/>
      <c r="L6" s="457"/>
      <c r="M6" s="457"/>
      <c r="N6" s="457"/>
      <c r="O6" s="457"/>
      <c r="P6" s="457"/>
      <c r="Q6" s="457"/>
      <c r="R6" s="457"/>
      <c r="S6" s="457"/>
      <c r="T6" s="457"/>
      <c r="U6" s="457"/>
      <c r="V6" s="457"/>
    </row>
    <row r="7">
      <c r="A7" s="457" t="str">
        <f>IFERROR(__xludf.DUMMYFUNCTION("""COMPUTED_VALUE"""),"Combat Prowess")</f>
        <v>Combat Prowess</v>
      </c>
      <c r="B7" s="457" t="str">
        <f>IFERROR(__xludf.DUMMYFUNCTION("""COMPUTED_VALUE"""),"[Fought in a battle; Any Martial Arts Skill 4]
+1 APT
")</f>
        <v>[Fought in a battle; Any Martial Arts Skill 4]
+1 APT
</v>
      </c>
      <c r="C7" s="457" t="str">
        <f>IFERROR(__xludf.DUMMYFUNCTION("""COMPUTED_VALUE"""),"[Any Martial Arts Skill 8]
+1 APT; +2 to Nimbleness Mod.
")</f>
        <v>[Any Martial Arts Skill 8]
+1 APT; +2 to Nimbleness Mod.
</v>
      </c>
      <c r="D7" s="457"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8">
        <f>IFERROR(__xludf.DUMMYFUNCTION("""COMPUTED_VALUE"""),9.0)</f>
        <v>9</v>
      </c>
      <c r="F7" s="457"/>
      <c r="G7" s="457"/>
      <c r="H7" s="457"/>
      <c r="I7" s="457"/>
      <c r="J7" s="457"/>
      <c r="K7" s="457"/>
      <c r="L7" s="457"/>
      <c r="M7" s="457"/>
      <c r="N7" s="457"/>
      <c r="O7" s="457"/>
      <c r="P7" s="457"/>
      <c r="Q7" s="457"/>
      <c r="R7" s="457"/>
      <c r="S7" s="457"/>
      <c r="T7" s="457"/>
      <c r="U7" s="457"/>
      <c r="V7" s="457"/>
    </row>
    <row r="8">
      <c r="A8" s="457" t="str">
        <f>IFERROR(__xludf.DUMMYFUNCTION("""COMPUTED_VALUE"""),"Combat Tactics")</f>
        <v>Combat Tactics</v>
      </c>
      <c r="B8" s="457"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7"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7"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8">
        <f>IFERROR(__xludf.DUMMYFUNCTION("""COMPUTED_VALUE"""),11.0)</f>
        <v>11</v>
      </c>
      <c r="F8" s="457"/>
      <c r="G8" s="457"/>
      <c r="H8" s="457"/>
      <c r="I8" s="457"/>
      <c r="J8" s="457"/>
      <c r="K8" s="457"/>
      <c r="L8" s="457"/>
      <c r="M8" s="457"/>
      <c r="N8" s="457"/>
      <c r="O8" s="457"/>
      <c r="P8" s="457"/>
      <c r="Q8" s="457"/>
      <c r="R8" s="457"/>
      <c r="S8" s="457"/>
      <c r="T8" s="457"/>
      <c r="U8" s="457"/>
      <c r="V8" s="457"/>
    </row>
    <row r="9">
      <c r="A9" s="457" t="str">
        <f>IFERROR(__xludf.DUMMYFUNCTION("""COMPUTED_VALUE"""),"Counter Combatives")</f>
        <v>Counter Combatives</v>
      </c>
      <c r="B9" s="457"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7"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7"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8">
        <f>IFERROR(__xludf.DUMMYFUNCTION("""COMPUTED_VALUE"""),13.0)</f>
        <v>13</v>
      </c>
      <c r="F9" s="457"/>
      <c r="G9" s="457"/>
      <c r="H9" s="457"/>
      <c r="I9" s="457"/>
      <c r="J9" s="457"/>
      <c r="K9" s="457"/>
      <c r="L9" s="457"/>
      <c r="M9" s="457"/>
      <c r="N9" s="457"/>
      <c r="O9" s="457"/>
      <c r="P9" s="457"/>
      <c r="Q9" s="457"/>
      <c r="R9" s="457"/>
      <c r="S9" s="457"/>
      <c r="T9" s="457"/>
      <c r="U9" s="457"/>
      <c r="V9" s="457"/>
    </row>
    <row r="10">
      <c r="A10" s="457" t="str">
        <f>IFERROR(__xludf.DUMMYFUNCTION("""COMPUTED_VALUE"""),"Destroy Guard")</f>
        <v>Destroy Guard</v>
      </c>
      <c r="B10" s="457" t="str">
        <f>IFERROR(__xludf.DUMMYFUNCTION("""COMPUTED_VALUE"""),"[Unarmed 10]
A successful unarmed attack removes a Defensive action from the creature attacked.
")</f>
        <v>[Unarmed 10]
A successful unarmed attack removes a Defensive action from the creature attacked.
</v>
      </c>
      <c r="C10" s="457" t="str">
        <f>IFERROR(__xludf.DUMMYFUNCTION("""COMPUTED_VALUE"""),"-[]")</f>
        <v>-[]</v>
      </c>
      <c r="D10" s="457" t="str">
        <f>IFERROR(__xludf.DUMMYFUNCTION("""COMPUTED_VALUE"""),"-[]")</f>
        <v>-[]</v>
      </c>
      <c r="E10" s="458">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IFERROR(__xludf.DUMMYFUNCTION("""COMPUTED_VALUE"""),"Die Hard")</f>
        <v>Die Hard</v>
      </c>
      <c r="B11" s="457" t="str">
        <f>IFERROR(__xludf.DUMMYFUNCTION("""COMPUTED_VALUE"""),"[Must have fallen unconcious during a battle; CON 4]
+2 Conviction Mod")</f>
        <v>[Must have fallen unconcious during a battle; CON 4]
+2 Conviction Mod</v>
      </c>
      <c r="C11" s="457" t="str">
        <f>IFERROR(__xludf.DUMMYFUNCTION("""COMPUTED_VALUE"""),"[CHA 4]
+2 Conviction Mod; +2 Virility Mod. ")</f>
        <v>[CHA 4]
+2 Conviction Mod; +2 Virility Mod. </v>
      </c>
      <c r="D11" s="457" t="str">
        <f>IFERROR(__xludf.DUMMYFUNCTION("""COMPUTED_VALUE"""),"[Defied Death]
+2 Conviction Mod; +2 Virility Mod.; +1 mod to fate roll for defying death.")</f>
        <v>[Defied Death]
+2 Conviction Mod; +2 Virility Mod.; +1 mod to fate roll for defying death.</v>
      </c>
      <c r="E11" s="458">
        <f>IFERROR(__xludf.DUMMYFUNCTION("""COMPUTED_VALUE"""),9.0)</f>
        <v>9</v>
      </c>
      <c r="F11" s="457"/>
      <c r="G11" s="457"/>
      <c r="H11" s="457"/>
      <c r="I11" s="457"/>
      <c r="J11" s="457"/>
      <c r="K11" s="457"/>
      <c r="L11" s="457"/>
      <c r="M11" s="457"/>
      <c r="N11" s="457"/>
      <c r="O11" s="457"/>
      <c r="P11" s="457"/>
      <c r="Q11" s="457"/>
      <c r="R11" s="457"/>
      <c r="S11" s="457"/>
      <c r="T11" s="457"/>
      <c r="U11" s="457"/>
      <c r="V11" s="457"/>
    </row>
    <row r="12">
      <c r="A12" s="457" t="str">
        <f>IFERROR(__xludf.DUMMYFUNCTION("""COMPUTED_VALUE"""),"Dirty Fighter")</f>
        <v>Dirty Fighter</v>
      </c>
      <c r="B12" s="457"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7"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7"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8">
        <f>IFERROR(__xludf.DUMMYFUNCTION("""COMPUTED_VALUE"""),13.0)</f>
        <v>13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IFERROR(__xludf.DUMMYFUNCTION("""COMPUTED_VALUE"""),"Disarm")</f>
        <v>Disarm</v>
      </c>
      <c r="B13" s="457"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7"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7"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8">
        <f>IFERROR(__xludf.DUMMYFUNCTION("""COMPUTED_VALUE"""),9.0)</f>
        <v>9</v>
      </c>
      <c r="F13" s="457"/>
      <c r="G13" s="457"/>
      <c r="H13" s="457"/>
      <c r="I13" s="457"/>
      <c r="J13" s="457"/>
      <c r="K13" s="457"/>
      <c r="L13" s="457"/>
      <c r="M13" s="457"/>
      <c r="N13" s="457"/>
      <c r="O13" s="457"/>
      <c r="P13" s="457"/>
      <c r="Q13" s="457"/>
      <c r="R13" s="457"/>
      <c r="S13" s="457"/>
      <c r="T13" s="457"/>
      <c r="U13" s="457"/>
      <c r="V13" s="457"/>
    </row>
    <row r="14">
      <c r="A14" s="457" t="str">
        <f>IFERROR(__xludf.DUMMYFUNCTION("""COMPUTED_VALUE"""),"Double Tap... No, Triple Tap... Just Keep Shooting!")</f>
        <v>Double Tap... No, Triple Tap... Just Keep Shooting!</v>
      </c>
      <c r="B14" s="457"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7"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7"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IFERROR(__xludf.DUMMYFUNCTION("""COMPUTED_VALUE"""),"Dual Wield")</f>
        <v>Dual Wield</v>
      </c>
      <c r="B15" s="457"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7"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7"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8">
        <f>IFERROR(__xludf.DUMMYFUNCTION("""COMPUTED_VALUE"""),9.0)</f>
        <v>9</v>
      </c>
      <c r="F15" s="457"/>
      <c r="G15" s="457"/>
      <c r="H15" s="457"/>
      <c r="I15" s="457"/>
      <c r="J15" s="457"/>
      <c r="K15" s="457"/>
      <c r="L15" s="457"/>
      <c r="M15" s="457"/>
      <c r="N15" s="457"/>
      <c r="O15" s="457"/>
      <c r="P15" s="457"/>
      <c r="Q15" s="457"/>
      <c r="R15" s="457"/>
      <c r="S15" s="457"/>
      <c r="T15" s="457"/>
      <c r="U15" s="457"/>
      <c r="V15" s="457"/>
    </row>
    <row r="16">
      <c r="A16" s="457" t="str">
        <f>IFERROR(__xludf.DUMMYFUNCTION("""COMPUTED_VALUE"""),"Envigorating Rally")</f>
        <v>Envigorating Rally</v>
      </c>
      <c r="B16" s="457"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7"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7"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8">
        <f>IFERROR(__xludf.DUMMYFUNCTION("""COMPUTED_VALUE"""),8.0)</f>
        <v>8</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IFERROR(__xludf.DUMMYFUNCTION("""COMPUTED_VALUE"""),"Fighting Flow")</f>
        <v>Fighting Flow</v>
      </c>
      <c r="B17" s="457" t="str">
        <f>IFERROR(__xludf.DUMMYFUNCTION("""COMPUTED_VALUE"""),"[DEX 5]
Once per day during combat you may increase your ATP by 2.")</f>
        <v>[DEX 5]
Once per day during combat you may increase your ATP by 2.</v>
      </c>
      <c r="C17" s="457" t="str">
        <f>IFERROR(__xludf.DUMMYFUNCTION("""COMPUTED_VALUE"""),"[Nimbleness 12]
Once per day during combat you may increase your ATP by 3.")</f>
        <v>[Nimbleness 12]
Once per day during combat you may increase your ATP by 3.</v>
      </c>
      <c r="D17" s="457" t="str">
        <f>IFERROR(__xludf.DUMMYFUNCTION("""COMPUTED_VALUE"""),"[Combined Athletics 50]
Once per combat you may increase your ATP by 3.")</f>
        <v>[Combined Athletics 50]
Once per combat you may increase your ATP by 3.</v>
      </c>
      <c r="E17" s="458">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IFERROR(__xludf.DUMMYFUNCTION("""COMPUTED_VALUE"""),"I Am Your Shield!")</f>
        <v>I Am Your Shield!</v>
      </c>
      <c r="B18" s="457"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7"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7"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8">
        <f>IFERROR(__xludf.DUMMYFUNCTION("""COMPUTED_VALUE"""),9.0)</f>
        <v>9</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 Only Make Headshots")</f>
        <v>I Only Make Headshots</v>
      </c>
      <c r="B19" s="457" t="str">
        <f>IFERROR(__xludf.DUMMYFUNCTION("""COMPUTED_VALUE"""),"[Firearms or Archery 10; Manual Dexterity 8]
Ranged attacks do not impose a +2 DR when calling a shot.")</f>
        <v>[Firearms or Archery 10; Manual Dexterity 8]
Ranged attacks do not impose a +2 DR when calling a shot.</v>
      </c>
      <c r="C19" s="457" t="str">
        <f>IFERROR(__xludf.DUMMYFUNCTION("""COMPUTED_VALUE"""),"-[]")</f>
        <v>-[]</v>
      </c>
      <c r="D19" s="457" t="str">
        <f>IFERROR(__xludf.DUMMYFUNCTION("""COMPUTED_VALUE"""),"-[]
")</f>
        <v>-[]
</v>
      </c>
      <c r="E19" s="458">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IFERROR(__xludf.DUMMYFUNCTION("""COMPUTED_VALUE"""),"Lay It All On The Line")</f>
        <v>Lay It All On The Line</v>
      </c>
      <c r="B20" s="457" t="str">
        <f>IFERROR(__xludf.DUMMYFUNCTION("""COMPUTED_VALUE"""),"[CHA 4]
Once, at the beginging of a combat round, you may pay 20 Fortitude for +1 APT that round.")</f>
        <v>[CHA 4]
Once, at the beginging of a combat round, you may pay 20 Fortitude for +1 APT that round.</v>
      </c>
      <c r="C20" s="457" t="str">
        <f>IFERROR(__xludf.DUMMYFUNCTION("""COMPUTED_VALUE"""),"[CHA 5]
Once, at the beginging of a combat round, you may pay 15 Fortitude for +1 APT that round.")</f>
        <v>[CHA 5]
Once, at the beginging of a combat round, you may pay 15 Fortitude for +1 APT that round.</v>
      </c>
      <c r="D20" s="457" t="str">
        <f>IFERROR(__xludf.DUMMYFUNCTION("""COMPUTED_VALUE"""),"[CHA 6; DEX 5]
As many times as you like, you may pay 15 Fortitude for +1 APT that round.")</f>
        <v>[CHA 6; DEX 5]
As many times as you like, you may pay 15 Fortitude for +1 APT that round.</v>
      </c>
      <c r="E20" s="458">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IFERROR(__xludf.DUMMYFUNCTION("""COMPUTED_VALUE"""),"Lend Me A Hand")</f>
        <v>Lend Me A Hand</v>
      </c>
      <c r="B21" s="457"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7"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7"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8">
        <f>IFERROR(__xludf.DUMMYFUNCTION("""COMPUTED_VALUE"""),11.0)</f>
        <v>11</v>
      </c>
      <c r="F21" s="457"/>
      <c r="G21" s="457"/>
      <c r="H21" s="457"/>
      <c r="I21" s="457"/>
      <c r="J21" s="457"/>
      <c r="K21" s="457"/>
      <c r="L21" s="457"/>
      <c r="M21" s="457"/>
      <c r="N21" s="457"/>
      <c r="O21" s="457"/>
      <c r="P21" s="457"/>
      <c r="Q21" s="457"/>
      <c r="R21" s="457"/>
      <c r="S21" s="457"/>
      <c r="T21" s="457"/>
      <c r="U21" s="457"/>
      <c r="V21" s="457"/>
    </row>
    <row r="22">
      <c r="A22" s="457" t="str">
        <f>IFERROR(__xludf.DUMMYFUNCTION("""COMPUTED_VALUE"""),"Look, No Hands!")</f>
        <v>Look, No Hands!</v>
      </c>
      <c r="B22" s="457" t="str">
        <f>IFERROR(__xludf.DUMMYFUNCTION("""COMPUTED_VALUE"""),"[Unarmed 8]
Defensive tokens still prevent death from critical attacks when you are grappling a creature.")</f>
        <v>[Unarmed 8]
Defensive tokens still prevent death from critical attacks when you are grappling a creature.</v>
      </c>
      <c r="C22" s="457"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7"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8">
        <f>IFERROR(__xludf.DUMMYFUNCTION("""COMPUTED_VALUE"""),8.0)</f>
        <v>8</v>
      </c>
      <c r="F22" s="457"/>
      <c r="G22" s="457"/>
      <c r="H22" s="457"/>
      <c r="I22" s="457"/>
      <c r="J22" s="457"/>
      <c r="K22" s="457"/>
      <c r="L22" s="457"/>
      <c r="M22" s="457"/>
      <c r="N22" s="457"/>
      <c r="O22" s="457"/>
      <c r="P22" s="457"/>
      <c r="Q22" s="457"/>
      <c r="R22" s="457"/>
      <c r="S22" s="457"/>
      <c r="T22" s="457"/>
      <c r="U22" s="457"/>
      <c r="V22" s="457"/>
    </row>
    <row r="23">
      <c r="A23" s="457" t="str">
        <f>IFERROR(__xludf.DUMMYFUNCTION("""COMPUTED_VALUE"""),"Master Grappler")</f>
        <v>Master Grappler</v>
      </c>
      <c r="B23" s="457" t="str">
        <f>IFERROR(__xludf.DUMMYFUNCTION("""COMPUTED_VALUE"""),"[Successfuly Grappled 5 Creatues]
You can grapple creatures 2 sizes larger than you instead of 1.
")</f>
        <v>[Successfuly Grappled 5 Creatues]
You can grapple creatures 2 sizes larger than you instead of 1.
</v>
      </c>
      <c r="C23" s="457"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7"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8">
        <f>IFERROR(__xludf.DUMMYFUNCTION("""COMPUTED_VALUE"""),10.0)</f>
        <v>10</v>
      </c>
      <c r="F23" s="457"/>
      <c r="G23" s="457"/>
      <c r="H23" s="457"/>
      <c r="I23" s="457"/>
      <c r="J23" s="457"/>
      <c r="K23" s="457"/>
      <c r="L23" s="457"/>
      <c r="M23" s="457"/>
      <c r="N23" s="457"/>
      <c r="O23" s="457"/>
      <c r="P23" s="457"/>
      <c r="Q23" s="457"/>
      <c r="R23" s="457"/>
      <c r="S23" s="457"/>
      <c r="T23" s="457"/>
      <c r="U23" s="457"/>
      <c r="V23" s="457"/>
    </row>
    <row r="24">
      <c r="A24" s="457" t="str">
        <f>IFERROR(__xludf.DUMMYFUNCTION("""COMPUTED_VALUE"""),"Missile Command")</f>
        <v>Missile Command</v>
      </c>
      <c r="B24" s="457"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7"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7"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8">
        <f>IFERROR(__xludf.DUMMYFUNCTION("""COMPUTED_VALUE"""),11.0)</f>
        <v>11</v>
      </c>
      <c r="F24" s="457"/>
      <c r="G24" s="457"/>
      <c r="H24" s="457"/>
      <c r="I24" s="457"/>
      <c r="J24" s="457"/>
      <c r="K24" s="457"/>
      <c r="L24" s="457"/>
      <c r="M24" s="457"/>
      <c r="N24" s="457"/>
      <c r="O24" s="457"/>
      <c r="P24" s="457"/>
      <c r="Q24" s="457"/>
      <c r="R24" s="457"/>
      <c r="S24" s="457"/>
      <c r="T24" s="457"/>
      <c r="U24" s="457"/>
      <c r="V24" s="457"/>
    </row>
    <row r="25">
      <c r="A25" s="457" t="str">
        <f>IFERROR(__xludf.DUMMYFUNCTION("""COMPUTED_VALUE"""),"Move Like a Butterfly")</f>
        <v>Move Like a Butterfly</v>
      </c>
      <c r="B25" s="457"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7"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7"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8">
        <f>IFERROR(__xludf.DUMMYFUNCTION("""COMPUTED_VALUE"""),7.0)</f>
        <v>7</v>
      </c>
      <c r="F25" s="457"/>
      <c r="G25" s="457"/>
      <c r="H25" s="457"/>
      <c r="I25" s="457"/>
      <c r="J25" s="457"/>
      <c r="K25" s="457"/>
      <c r="L25" s="457"/>
      <c r="M25" s="457"/>
      <c r="N25" s="457"/>
      <c r="O25" s="457"/>
      <c r="P25" s="457"/>
      <c r="Q25" s="457"/>
      <c r="R25" s="457"/>
      <c r="S25" s="457"/>
      <c r="T25" s="457"/>
      <c r="U25" s="457"/>
      <c r="V25" s="457"/>
    </row>
    <row r="26">
      <c r="A26" s="457" t="str">
        <f>IFERROR(__xludf.DUMMYFUNCTION("""COMPUTED_VALUE"""),"Murder-Stroke")</f>
        <v>Murder-Stroke</v>
      </c>
      <c r="B26" s="457" t="str">
        <f>IFERROR(__xludf.DUMMYFUNCTION("""COMPUTED_VALUE"""),"[Blades 3]
Damage is equal to the weapon's slashing attack damage -12 but as bashing.
")</f>
        <v>[Blades 3]
Damage is equal to the weapon's slashing attack damage -12 but as bashing.
</v>
      </c>
      <c r="C26" s="457" t="str">
        <f>IFERROR(__xludf.DUMMYFUNCTION("""COMPUTED_VALUE"""),"[Blades 6]
Damage is equal to the weapon's slashing attack damage - 8 but as bashing.
")</f>
        <v>[Blades 6]
Damage is equal to the weapon's slashing attack damage - 8 but as bashing.
</v>
      </c>
      <c r="D26" s="457"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8">
        <f>IFERROR(__xludf.DUMMYFUNCTION("""COMPUTED_VALUE"""),5.0)</f>
        <v>5</v>
      </c>
      <c r="F26" s="457"/>
      <c r="G26" s="457"/>
      <c r="H26" s="457"/>
      <c r="I26" s="457"/>
      <c r="J26" s="457"/>
      <c r="K26" s="457"/>
      <c r="L26" s="457"/>
      <c r="M26" s="457"/>
      <c r="N26" s="457"/>
      <c r="O26" s="457"/>
      <c r="P26" s="457"/>
      <c r="Q26" s="457"/>
      <c r="R26" s="457"/>
      <c r="S26" s="457"/>
      <c r="T26" s="457"/>
      <c r="U26" s="457"/>
      <c r="V26" s="457"/>
    </row>
    <row r="27">
      <c r="A27" s="457" t="str">
        <f>IFERROR(__xludf.DUMMYFUNCTION("""COMPUTED_VALUE"""),"Parry")</f>
        <v>Parry</v>
      </c>
      <c r="B27" s="457"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7" t="str">
        <f>IFERROR(__xludf.DUMMYFUNCTION("""COMPUTED_VALUE"""),"-[]")</f>
        <v>-[]</v>
      </c>
      <c r="D27" s="457" t="str">
        <f>IFERROR(__xludf.DUMMYFUNCTION("""COMPUTED_VALUE"""),"-[]")</f>
        <v>-[]</v>
      </c>
      <c r="E27" s="458">
        <f>IFERROR(__xludf.DUMMYFUNCTION("""COMPUTED_VALUE"""),5.0)</f>
        <v>5</v>
      </c>
      <c r="F27" s="457"/>
      <c r="G27" s="457"/>
      <c r="H27" s="457"/>
      <c r="I27" s="457"/>
      <c r="J27" s="457"/>
      <c r="K27" s="457"/>
      <c r="L27" s="457"/>
      <c r="M27" s="457"/>
      <c r="N27" s="457"/>
      <c r="O27" s="457"/>
      <c r="P27" s="457"/>
      <c r="Q27" s="457"/>
      <c r="R27" s="457"/>
      <c r="S27" s="457"/>
      <c r="T27" s="457"/>
      <c r="U27" s="457"/>
      <c r="V27" s="457"/>
    </row>
    <row r="28">
      <c r="A28" s="457" t="str">
        <f>IFERROR(__xludf.DUMMYFUNCTION("""COMPUTED_VALUE"""),"Patience, Grasshopper!")</f>
        <v>Patience, Grasshopper!</v>
      </c>
      <c r="B28" s="457"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7"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7"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8">
        <f>IFERROR(__xludf.DUMMYFUNCTION("""COMPUTED_VALUE"""),10.0)</f>
        <v>10</v>
      </c>
      <c r="F28" s="457"/>
      <c r="G28" s="457"/>
      <c r="H28" s="457"/>
      <c r="I28" s="457"/>
      <c r="J28" s="457"/>
      <c r="K28" s="457"/>
      <c r="L28" s="457"/>
      <c r="M28" s="457"/>
      <c r="N28" s="457"/>
      <c r="O28" s="457"/>
      <c r="P28" s="457"/>
      <c r="Q28" s="457"/>
      <c r="R28" s="457"/>
      <c r="S28" s="457"/>
      <c r="T28" s="457"/>
      <c r="U28" s="457"/>
      <c r="V28" s="457"/>
    </row>
    <row r="29">
      <c r="A29" s="457" t="str">
        <f>IFERROR(__xludf.DUMMYFUNCTION("""COMPUTED_VALUE"""),"Put A Tourniquet On That!")</f>
        <v>Put A Tourniquet On That!</v>
      </c>
      <c r="B29" s="457"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7"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7"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8">
        <f>IFERROR(__xludf.DUMMYFUNCTION("""COMPUTED_VALUE"""),6.0)</f>
        <v>6</v>
      </c>
      <c r="F29" s="457"/>
      <c r="G29" s="457"/>
      <c r="H29" s="457"/>
      <c r="I29" s="457"/>
      <c r="J29" s="457"/>
      <c r="K29" s="457"/>
      <c r="L29" s="457"/>
      <c r="M29" s="457"/>
      <c r="N29" s="457"/>
      <c r="O29" s="457"/>
      <c r="P29" s="457"/>
      <c r="Q29" s="457"/>
      <c r="R29" s="457"/>
      <c r="S29" s="457"/>
      <c r="T29" s="457"/>
      <c r="U29" s="457"/>
      <c r="V29" s="457"/>
    </row>
    <row r="30">
      <c r="A30" s="457" t="str">
        <f>IFERROR(__xludf.DUMMYFUNCTION("""COMPUTED_VALUE"""),"Quick Loading")</f>
        <v>Quick Loading</v>
      </c>
      <c r="B30" s="457" t="str">
        <f>IFERROR(__xludf.DUMMYFUNCTION("""COMPUTED_VALUE"""),"[Manual Dexterity 7]
You may reload a weapon using 1 less action than it normally takes.")</f>
        <v>[Manual Dexterity 7]
You may reload a weapon using 1 less action than it normally takes.</v>
      </c>
      <c r="C30" s="457" t="str">
        <f>IFERROR(__xludf.DUMMYFUNCTION("""COMPUTED_VALUE"""),"[Manual Dexterity 14]
You may reload a weapon using 2 less actions than it normally takes.")</f>
        <v>[Manual Dexterity 14]
You may reload a weapon using 2 less actions than it normally takes.</v>
      </c>
      <c r="D30" s="457" t="str">
        <f>IFERROR(__xludf.DUMMYFUNCTION("""COMPUTED_VALUE"""),"-[]")</f>
        <v>-[]</v>
      </c>
      <c r="E30" s="458">
        <f>IFERROR(__xludf.DUMMYFUNCTION("""COMPUTED_VALUE"""),6.0)</f>
        <v>6</v>
      </c>
      <c r="F30" s="457"/>
      <c r="G30" s="457"/>
      <c r="H30" s="457"/>
      <c r="I30" s="457"/>
      <c r="J30" s="457"/>
      <c r="K30" s="457"/>
      <c r="L30" s="457"/>
      <c r="M30" s="457"/>
      <c r="N30" s="457"/>
      <c r="O30" s="457"/>
      <c r="P30" s="457"/>
      <c r="Q30" s="457"/>
      <c r="R30" s="457"/>
      <c r="S30" s="457"/>
      <c r="T30" s="457"/>
      <c r="U30" s="457"/>
      <c r="V30" s="457"/>
    </row>
    <row r="31">
      <c r="A31" s="457" t="str">
        <f>IFERROR(__xludf.DUMMYFUNCTION("""COMPUTED_VALUE"""),"Rapid Fists")</f>
        <v>Rapid Fists</v>
      </c>
      <c r="B31" s="457"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7"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7"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8">
        <f>IFERROR(__xludf.DUMMYFUNCTION("""COMPUTED_VALUE"""),13.0)</f>
        <v>13</v>
      </c>
      <c r="F31" s="457"/>
      <c r="G31" s="457"/>
      <c r="H31" s="457"/>
      <c r="I31" s="457"/>
      <c r="J31" s="457"/>
      <c r="K31" s="457"/>
      <c r="L31" s="457"/>
      <c r="M31" s="457"/>
      <c r="N31" s="457"/>
      <c r="O31" s="457"/>
      <c r="P31" s="457"/>
      <c r="Q31" s="457"/>
      <c r="R31" s="457"/>
      <c r="S31" s="457"/>
      <c r="T31" s="457"/>
      <c r="U31" s="457"/>
      <c r="V31" s="457"/>
    </row>
    <row r="32">
      <c r="A32" s="457" t="str">
        <f>IFERROR(__xludf.DUMMYFUNCTION("""COMPUTED_VALUE"""),"Rhythmic Cadence")</f>
        <v>Rhythmic Cadence</v>
      </c>
      <c r="B32" s="457"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7"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7"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8">
        <f>IFERROR(__xludf.DUMMYFUNCTION("""COMPUTED_VALUE"""),19.0)</f>
        <v>19</v>
      </c>
      <c r="F32" s="457"/>
      <c r="G32" s="457"/>
      <c r="H32" s="457"/>
      <c r="I32" s="457"/>
      <c r="J32" s="457"/>
      <c r="K32" s="457"/>
      <c r="L32" s="457"/>
      <c r="M32" s="457"/>
      <c r="N32" s="457"/>
      <c r="O32" s="457"/>
      <c r="P32" s="457"/>
      <c r="Q32" s="457"/>
      <c r="R32" s="457"/>
      <c r="S32" s="457"/>
      <c r="T32" s="457"/>
      <c r="U32" s="457"/>
      <c r="V32" s="457"/>
    </row>
    <row r="33">
      <c r="A33" s="457" t="str">
        <f>IFERROR(__xludf.DUMMYFUNCTION("""COMPUTED_VALUE"""),"Riposte")</f>
        <v>Riposte</v>
      </c>
      <c r="B33" s="457" t="str">
        <f>IFERROR(__xludf.DUMMYFUNCTION("""COMPUTED_VALUE"""),"[Level 1 Parry]
After a successful Parry you get a free Spontaneous Basic action.")</f>
        <v>[Level 1 Parry]
After a successful Parry you get a free Spontaneous Basic action.</v>
      </c>
      <c r="C33" s="457" t="str">
        <f>IFERROR(__xludf.DUMMYFUNCTION("""COMPUTED_VALUE"""),"-[]")</f>
        <v>-[]</v>
      </c>
      <c r="D33" s="457" t="str">
        <f>IFERROR(__xludf.DUMMYFUNCTION("""COMPUTED_VALUE"""),"-[]")</f>
        <v>-[]</v>
      </c>
      <c r="E33" s="458">
        <f>IFERROR(__xludf.DUMMYFUNCTION("""COMPUTED_VALUE"""),5.0)</f>
        <v>5</v>
      </c>
      <c r="F33" s="457"/>
      <c r="G33" s="457"/>
      <c r="H33" s="457"/>
      <c r="I33" s="457"/>
      <c r="J33" s="457"/>
      <c r="K33" s="457"/>
      <c r="L33" s="457"/>
      <c r="M33" s="457"/>
      <c r="N33" s="457"/>
      <c r="O33" s="457"/>
      <c r="P33" s="457"/>
      <c r="Q33" s="457"/>
      <c r="R33" s="457"/>
      <c r="S33" s="457"/>
      <c r="T33" s="457"/>
      <c r="U33" s="457"/>
      <c r="V33" s="457"/>
    </row>
    <row r="34">
      <c r="A34" s="457" t="str">
        <f>IFERROR(__xludf.DUMMYFUNCTION("""COMPUTED_VALUE"""),"Running Start")</f>
        <v>Running Start</v>
      </c>
      <c r="B34" s="457" t="str">
        <f>IFERROR(__xludf.DUMMYFUNCTION("""COMPUTED_VALUE"""),"[Nothing]
You can move 5 feet as a free joint spontanious action before an Basic action. 
")</f>
        <v>[Nothing]
You can move 5 feet as a free joint spontanious action before an Basic action. 
</v>
      </c>
      <c r="C34" s="457"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7"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8">
        <f>IFERROR(__xludf.DUMMYFUNCTION("""COMPUTED_VALUE"""),9.0)</f>
        <v>9</v>
      </c>
      <c r="F34" s="457"/>
      <c r="G34" s="457"/>
      <c r="H34" s="457"/>
      <c r="I34" s="457"/>
      <c r="J34" s="457"/>
      <c r="K34" s="457"/>
      <c r="L34" s="457"/>
      <c r="M34" s="457"/>
      <c r="N34" s="457"/>
      <c r="O34" s="457"/>
      <c r="P34" s="457"/>
      <c r="Q34" s="457"/>
      <c r="R34" s="457"/>
      <c r="S34" s="457"/>
      <c r="T34" s="457"/>
      <c r="U34" s="457"/>
      <c r="V34" s="457"/>
    </row>
    <row r="35">
      <c r="A35" s="457" t="str">
        <f>IFERROR(__xludf.DUMMYFUNCTION("""COMPUTED_VALUE"""),"Shank Blitz")</f>
        <v>Shank Blitz</v>
      </c>
      <c r="B35" s="457"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7"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7" t="str">
        <f>IFERROR(__xludf.DUMMYFUNCTION("""COMPUTED_VALUE"""),"[Knives 17]
Can't Dual Wield: 
You can strike one target up to 5 times with a single Basic Action using a knife. 
")</f>
        <v>[Knives 17]
Can't Dual Wield: 
You can strike one target up to 5 times with a single Basic Action using a knife. 
</v>
      </c>
      <c r="E35" s="458">
        <f>IFERROR(__xludf.DUMMYFUNCTION("""COMPUTED_VALUE"""),14.0)</f>
        <v>14</v>
      </c>
      <c r="F35" s="457"/>
      <c r="G35" s="457"/>
      <c r="H35" s="457"/>
      <c r="I35" s="457"/>
      <c r="J35" s="457"/>
      <c r="K35" s="457"/>
      <c r="L35" s="457"/>
      <c r="M35" s="457"/>
      <c r="N35" s="457"/>
      <c r="O35" s="457"/>
      <c r="P35" s="457"/>
      <c r="Q35" s="457"/>
      <c r="R35" s="457"/>
      <c r="S35" s="457"/>
      <c r="T35" s="457"/>
      <c r="U35" s="457"/>
      <c r="V35" s="457"/>
    </row>
    <row r="36">
      <c r="A36" s="457" t="str">
        <f>IFERROR(__xludf.DUMMYFUNCTION("""COMPUTED_VALUE"""),"Shield Bash")</f>
        <v>Shield Bash</v>
      </c>
      <c r="B36" s="457"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7" t="str">
        <f>IFERROR(__xludf.DUMMYFUNCTION("""COMPUTED_VALUE"""),"-[]")</f>
        <v>-[]</v>
      </c>
      <c r="D36" s="457" t="str">
        <f>IFERROR(__xludf.DUMMYFUNCTION("""COMPUTED_VALUE"""),"-[]")</f>
        <v>-[]</v>
      </c>
      <c r="E36" s="458">
        <f>IFERROR(__xludf.DUMMYFUNCTION("""COMPUTED_VALUE"""),20.0)</f>
        <v>20</v>
      </c>
      <c r="F36" s="457"/>
      <c r="G36" s="457"/>
      <c r="H36" s="457"/>
      <c r="I36" s="457"/>
      <c r="J36" s="457"/>
      <c r="K36" s="457"/>
      <c r="L36" s="457"/>
      <c r="M36" s="457"/>
      <c r="N36" s="457"/>
      <c r="O36" s="457"/>
      <c r="P36" s="457"/>
      <c r="Q36" s="457"/>
      <c r="R36" s="457"/>
      <c r="S36" s="457"/>
      <c r="T36" s="457"/>
      <c r="U36" s="457"/>
      <c r="V36" s="457"/>
    </row>
    <row r="37">
      <c r="A37" s="457" t="str">
        <f>IFERROR(__xludf.DUMMYFUNCTION("""COMPUTED_VALUE"""),"Shield Proficiency")</f>
        <v>Shield Proficiency</v>
      </c>
      <c r="B37" s="457" t="str">
        <f>IFERROR(__xludf.DUMMYFUNCTION("""COMPUTED_VALUE"""),"[DEX 4]
The damage of attacks you block are reduced by your choice of 5 Bashing, Piercing or Slashing.")</f>
        <v>[DEX 4]
The damage of attacks you block are reduced by your choice of 5 Bashing, Piercing or Slashing.</v>
      </c>
      <c r="C37" s="457"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7"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8">
        <f>IFERROR(__xludf.DUMMYFUNCTION("""COMPUTED_VALUE"""),15.0)</f>
        <v>15</v>
      </c>
      <c r="F37" s="457"/>
      <c r="G37" s="457"/>
      <c r="H37" s="457"/>
      <c r="I37" s="457"/>
      <c r="J37" s="457"/>
      <c r="K37" s="457"/>
      <c r="L37" s="457"/>
      <c r="M37" s="457"/>
      <c r="N37" s="457"/>
      <c r="O37" s="457"/>
      <c r="P37" s="457"/>
      <c r="Q37" s="457"/>
      <c r="R37" s="457"/>
      <c r="S37" s="457"/>
      <c r="T37" s="457"/>
      <c r="U37" s="457"/>
      <c r="V37" s="457"/>
    </row>
    <row r="38">
      <c r="A38" s="457" t="str">
        <f>IFERROR(__xludf.DUMMYFUNCTION("""COMPUTED_VALUE"""),"Shield Up!")</f>
        <v>Shield Up!</v>
      </c>
      <c r="B38" s="457" t="str">
        <f>IFERROR(__xludf.DUMMYFUNCTION("""COMPUTED_VALUE"""),"[Shield Proficiency Level 3]
You may block attacks that pass or happen within 5 feet of you.
")</f>
        <v>[Shield Proficiency Level 3]
You may block attacks that pass or happen within 5 feet of you.
</v>
      </c>
      <c r="C38" s="457" t="str">
        <f>IFERROR(__xludf.DUMMYFUNCTION("""COMPUTED_VALUE"""),"-[]")</f>
        <v>-[]</v>
      </c>
      <c r="D38" s="457" t="str">
        <f>IFERROR(__xludf.DUMMYFUNCTION("""COMPUTED_VALUE"""),"-[]")</f>
        <v>-[]</v>
      </c>
      <c r="E38" s="458">
        <f>IFERROR(__xludf.DUMMYFUNCTION("""COMPUTED_VALUE"""),12.0)</f>
        <v>12</v>
      </c>
      <c r="F38" s="457"/>
      <c r="G38" s="457"/>
      <c r="H38" s="457"/>
      <c r="I38" s="457"/>
      <c r="J38" s="457"/>
      <c r="K38" s="457"/>
      <c r="L38" s="457"/>
      <c r="M38" s="457"/>
      <c r="N38" s="457"/>
      <c r="O38" s="457"/>
      <c r="P38" s="457"/>
      <c r="Q38" s="457"/>
      <c r="R38" s="457"/>
      <c r="S38" s="457"/>
      <c r="T38" s="457"/>
      <c r="U38" s="457"/>
      <c r="V38" s="457"/>
    </row>
    <row r="39">
      <c r="A39" s="457" t="str">
        <f>IFERROR(__xludf.DUMMYFUNCTION("""COMPUTED_VALUE"""),"Sniper")</f>
        <v>Sniper</v>
      </c>
      <c r="B39" s="457" t="str">
        <f>IFERROR(__xludf.DUMMYFUNCTION("""COMPUTED_VALUE"""),"[Manual Dexterity 15]
Effective range for all ranged weapons is doubled.")</f>
        <v>[Manual Dexterity 15]
Effective range for all ranged weapons is doubled.</v>
      </c>
      <c r="C39" s="457" t="str">
        <f>IFERROR(__xludf.DUMMYFUNCTION("""COMPUTED_VALUE"""),"-[]")</f>
        <v>-[]</v>
      </c>
      <c r="D39" s="457" t="str">
        <f>IFERROR(__xludf.DUMMYFUNCTION("""COMPUTED_VALUE"""),"-[]
")</f>
        <v>-[]
</v>
      </c>
      <c r="E39" s="458">
        <f>IFERROR(__xludf.DUMMYFUNCTION("""COMPUTED_VALUE"""),10.0)</f>
        <v>10</v>
      </c>
      <c r="F39" s="457"/>
      <c r="G39" s="457"/>
      <c r="H39" s="457"/>
      <c r="I39" s="457"/>
      <c r="J39" s="457"/>
      <c r="K39" s="457"/>
      <c r="L39" s="457"/>
      <c r="M39" s="457"/>
      <c r="N39" s="457"/>
      <c r="O39" s="457"/>
      <c r="P39" s="457"/>
      <c r="Q39" s="457"/>
      <c r="R39" s="457"/>
      <c r="S39" s="457"/>
      <c r="T39" s="457"/>
      <c r="U39" s="457"/>
      <c r="V39" s="457"/>
    </row>
    <row r="40">
      <c r="A40" s="457" t="str">
        <f>IFERROR(__xludf.DUMMYFUNCTION("""COMPUTED_VALUE"""),"Split the Arrow")</f>
        <v>Split the Arrow</v>
      </c>
      <c r="B40" s="457"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7"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7"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8">
        <f>IFERROR(__xludf.DUMMYFUNCTION("""COMPUTED_VALUE"""),7.0)</f>
        <v>7</v>
      </c>
      <c r="F40" s="457"/>
      <c r="G40" s="457"/>
      <c r="H40" s="457"/>
      <c r="I40" s="457"/>
      <c r="J40" s="457"/>
      <c r="K40" s="457"/>
      <c r="L40" s="457"/>
      <c r="M40" s="457"/>
      <c r="N40" s="457"/>
      <c r="O40" s="457"/>
      <c r="P40" s="457"/>
      <c r="Q40" s="457"/>
      <c r="R40" s="457"/>
      <c r="S40" s="457"/>
      <c r="T40" s="457"/>
      <c r="U40" s="457"/>
      <c r="V40" s="457"/>
    </row>
    <row r="41">
      <c r="A41" s="457" t="str">
        <f>IFERROR(__xludf.DUMMYFUNCTION("""COMPUTED_VALUE"""),"Sting Like a Bee")</f>
        <v>Sting Like a Bee</v>
      </c>
      <c r="B41" s="457" t="str">
        <f>IFERROR(__xludf.DUMMYFUNCTION("""COMPUTED_VALUE"""),"[Brawler Level 1]
You may apply your DEX to your unarmed mod.
")</f>
        <v>[Brawler Level 1]
You may apply your DEX to your unarmed mod.
</v>
      </c>
      <c r="C41" s="457" t="str">
        <f>IFERROR(__xludf.DUMMYFUNCTION("""COMPUTED_VALUE"""),"-[]")</f>
        <v>-[]</v>
      </c>
      <c r="D41" s="457" t="str">
        <f>IFERROR(__xludf.DUMMYFUNCTION("""COMPUTED_VALUE"""),"-[]")</f>
        <v>-[]</v>
      </c>
      <c r="E41" s="458">
        <f>IFERROR(__xludf.DUMMYFUNCTION("""COMPUTED_VALUE"""),7.0)</f>
        <v>7</v>
      </c>
      <c r="F41" s="457"/>
      <c r="G41" s="457"/>
      <c r="H41" s="457"/>
      <c r="I41" s="457"/>
      <c r="J41" s="457"/>
      <c r="K41" s="457"/>
      <c r="L41" s="457"/>
      <c r="M41" s="457"/>
      <c r="N41" s="457"/>
      <c r="O41" s="457"/>
      <c r="P41" s="457"/>
      <c r="Q41" s="457"/>
      <c r="R41" s="457"/>
      <c r="S41" s="457"/>
      <c r="T41" s="457"/>
      <c r="U41" s="457"/>
      <c r="V41" s="457"/>
    </row>
    <row r="42">
      <c r="A42" s="457" t="str">
        <f>IFERROR(__xludf.DUMMYFUNCTION("""COMPUTED_VALUE"""),"Weaver's Bane")</f>
        <v>Weaver's Bane</v>
      </c>
      <c r="B42" s="457" t="str">
        <f>IFERROR(__xludf.DUMMYFUNCTION("""COMPUTED_VALUE"""),"[Arcane Knowledge 8]
Recieve a Free Spontaneous Basic Action if someone casts a spell within 5 feet of you.")</f>
        <v>[Arcane Knowledge 8]
Recieve a Free Spontaneous Basic Action if someone casts a spell within 5 feet of you.</v>
      </c>
      <c r="C42" s="457"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7"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8">
        <f>IFERROR(__xludf.DUMMYFUNCTION("""COMPUTED_VALUE"""),15.0)</f>
        <v>15</v>
      </c>
      <c r="F42" s="457"/>
      <c r="G42" s="457"/>
      <c r="H42" s="457"/>
      <c r="I42" s="457"/>
      <c r="J42" s="457"/>
      <c r="K42" s="457"/>
      <c r="L42" s="457"/>
      <c r="M42" s="457"/>
      <c r="N42" s="457"/>
      <c r="O42" s="457"/>
      <c r="P42" s="457"/>
      <c r="Q42" s="457"/>
      <c r="R42" s="457"/>
      <c r="S42" s="457"/>
      <c r="T42" s="457"/>
      <c r="U42" s="457"/>
      <c r="V42" s="457"/>
    </row>
    <row r="43">
      <c r="A43" s="457" t="str">
        <f>IFERROR(__xludf.DUMMYFUNCTION("""COMPUTED_VALUE"""),"Taunt")</f>
        <v>Taunt</v>
      </c>
      <c r="B43" s="457"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7"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7"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8">
        <f>IFERROR(__xludf.DUMMYFUNCTION("""COMPUTED_VALUE"""),8.0)</f>
        <v>8</v>
      </c>
      <c r="F43" s="457"/>
      <c r="G43" s="457"/>
      <c r="H43" s="457"/>
      <c r="I43" s="457"/>
      <c r="J43" s="457"/>
      <c r="K43" s="457"/>
      <c r="L43" s="457"/>
      <c r="M43" s="457"/>
      <c r="N43" s="457"/>
      <c r="O43" s="457"/>
      <c r="P43" s="457"/>
      <c r="Q43" s="457"/>
      <c r="R43" s="457"/>
      <c r="S43" s="457"/>
      <c r="T43" s="457"/>
      <c r="U43" s="457"/>
      <c r="V43" s="457"/>
    </row>
    <row r="44">
      <c r="A44" s="457" t="str">
        <f>IFERROR(__xludf.DUMMYFUNCTION("""COMPUTED_VALUE"""),"Tactical Footing")</f>
        <v>Tactical Footing</v>
      </c>
      <c r="B44" s="457" t="str">
        <f>IFERROR(__xludf.DUMMYFUNCTION("""COMPUTED_VALUE"""),"[Nimbleness 5]
You may take a free 5 foot step before using a Basic Action.")</f>
        <v>[Nimbleness 5]
You may take a free 5 foot step before using a Basic Action.</v>
      </c>
      <c r="C44" s="457"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7"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8">
        <f>IFERROR(__xludf.DUMMYFUNCTION("""COMPUTED_VALUE"""),10.0)</f>
        <v>10</v>
      </c>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""Utility!B3:B""),""SELECT * WHERE Col1 IS NOT NULL"",0)"),"Field Repair")</f>
        <v>Field Repair</v>
      </c>
      <c r="B1" s="457"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7"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7"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8">
        <f>IFERROR(__xludf.DUMMYFUNCTION("QUERY(IMPORTRANGE(""1koQqL7bV1rMPtlmhZblwVeK5weyiTfFQ3POD_grK7Rc"", ""Utility!C3:C""),""SELECT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IFERROR(__xludf.DUMMYFUNCTION("""COMPUTED_VALUE"""),"*Hello Darkness, My Old Friend")</f>
        <v>*Hello Darkness, My Old Friend</v>
      </c>
      <c r="B2" s="460" t="str">
        <f>IFERROR(__xludf.DUMMYFUNCTION("""COMPUTED_VALUE"""),"-[Any Performing Arts Skill 4]")</f>
        <v>-[Any Performing Arts Skill 4]</v>
      </c>
      <c r="C2" s="460" t="str">
        <f>IFERROR(__xludf.DUMMYFUNCTION("""COMPUTED_VALUE"""),"-[]")</f>
        <v>-[]</v>
      </c>
      <c r="D2" s="460" t="str">
        <f>IFERROR(__xludf.DUMMYFUNCTION("""COMPUTED_VALUE"""),"-[]")</f>
        <v>-[]</v>
      </c>
      <c r="E2" s="458">
        <f>IFERROR(__xludf.DUMMYFUNCTION("""COMPUTED_VALUE"""),13.0)</f>
        <v>13</v>
      </c>
      <c r="F2" s="457"/>
      <c r="G2" s="457"/>
      <c r="H2" s="457"/>
      <c r="I2" s="457"/>
      <c r="J2" s="457"/>
      <c r="K2" s="457"/>
      <c r="L2" s="457"/>
      <c r="M2" s="457"/>
      <c r="N2" s="457"/>
      <c r="O2" s="457"/>
      <c r="P2" s="457"/>
      <c r="Q2" s="457"/>
      <c r="R2" s="457"/>
      <c r="S2" s="457"/>
      <c r="T2" s="457"/>
      <c r="U2" s="457"/>
      <c r="V2" s="457"/>
    </row>
    <row r="3">
      <c r="A3" s="457" t="str">
        <f>IFERROR(__xludf.DUMMYFUNCTION("""COMPUTED_VALUE"""),"*Inspirational Performer")</f>
        <v>*Inspirational Performer</v>
      </c>
      <c r="B3" s="457"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7"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7"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8">
        <f>IFERROR(__xludf.DUMMYFUNCTION("""COMPUTED_VALUE"""),9.0)</f>
        <v>9</v>
      </c>
      <c r="F3" s="457"/>
      <c r="G3" s="457"/>
      <c r="H3" s="457"/>
      <c r="I3" s="457"/>
      <c r="J3" s="457"/>
      <c r="K3" s="457"/>
      <c r="L3" s="457"/>
      <c r="M3" s="457"/>
      <c r="N3" s="457"/>
      <c r="O3" s="457"/>
      <c r="P3" s="457"/>
      <c r="Q3" s="457"/>
      <c r="R3" s="457"/>
      <c r="S3" s="457"/>
      <c r="T3" s="457"/>
      <c r="U3" s="457"/>
      <c r="V3" s="457"/>
    </row>
    <row r="4">
      <c r="A4" s="457" t="str">
        <f>IFERROR(__xludf.DUMMYFUNCTION("""COMPUTED_VALUE"""),"*Marked for Death")</f>
        <v>*Marked for Death</v>
      </c>
      <c r="B4" s="457" t="str">
        <f>IFERROR(__xludf.DUMMYFUNCTION("""COMPUTED_VALUE"""),"-[Sneak 6]
")</f>
        <v>-[Sneak 6]
</v>
      </c>
      <c r="C4" s="457"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7"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8">
        <f>IFERROR(__xludf.DUMMYFUNCTION("""COMPUTED_VALUE"""),13.0)</f>
        <v>13</v>
      </c>
      <c r="F4" s="457"/>
      <c r="G4" s="457"/>
      <c r="H4" s="457"/>
      <c r="I4" s="457"/>
      <c r="J4" s="457"/>
      <c r="K4" s="457"/>
      <c r="L4" s="457"/>
      <c r="M4" s="457"/>
      <c r="N4" s="457"/>
      <c r="O4" s="457"/>
      <c r="P4" s="457"/>
      <c r="Q4" s="457"/>
      <c r="R4" s="457"/>
      <c r="S4" s="457"/>
      <c r="T4" s="457"/>
      <c r="U4" s="457"/>
      <c r="V4" s="457"/>
    </row>
    <row r="5">
      <c r="A5" s="457" t="str">
        <f>IFERROR(__xludf.DUMMYFUNCTION("""COMPUTED_VALUE"""),"Death Becomes Me")</f>
        <v>Death Becomes Me</v>
      </c>
      <c r="B5" s="457" t="str">
        <f>IFERROR(__xludf.DUMMYFUNCTION("""COMPUTED_VALUE"""),"[Defied Death twice]
Whenever you Defy Death gain 7 Karma.")</f>
        <v>[Defied Death twice]
Whenever you Defy Death gain 7 Karma.</v>
      </c>
      <c r="C5" s="457" t="str">
        <f>IFERROR(__xludf.DUMMYFUNCTION("""COMPUTED_VALUE"""),"[Defied Death thrice]
You are immune to Monkey Paws from Defying Death. Whenever you Defy Death gain 7 Karma.")</f>
        <v>[Defied Death thrice]
You are immune to Monkey Paws from Defying Death. Whenever you Defy Death gain 7 Karma.</v>
      </c>
      <c r="D5" s="457"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8">
        <f>IFERROR(__xludf.DUMMYFUNCTION("""COMPUTED_VALUE"""),13.0)</f>
        <v>13</v>
      </c>
      <c r="F5" s="457"/>
      <c r="G5" s="457"/>
      <c r="H5" s="457"/>
      <c r="I5" s="457"/>
      <c r="J5" s="457"/>
      <c r="K5" s="457"/>
      <c r="L5" s="457"/>
      <c r="M5" s="457"/>
      <c r="N5" s="457"/>
      <c r="O5" s="457"/>
      <c r="P5" s="457"/>
      <c r="Q5" s="457"/>
      <c r="R5" s="457"/>
      <c r="S5" s="457"/>
      <c r="T5" s="457"/>
      <c r="U5" s="457"/>
      <c r="V5" s="457"/>
    </row>
    <row r="6">
      <c r="A6" s="457" t="str">
        <f>IFERROR(__xludf.DUMMYFUNCTION("""COMPUTED_VALUE"""),"Fleet Footed")</f>
        <v>Fleet Footed</v>
      </c>
      <c r="B6" s="457" t="str">
        <f>IFERROR(__xludf.DUMMYFUNCTION("""COMPUTED_VALUE"""),"[Combined Athletics 30; Dex 6]
Speed Mod +2")</f>
        <v>[Combined Athletics 30; Dex 6]
Speed Mod +2</v>
      </c>
      <c r="C6" s="457" t="str">
        <f>IFERROR(__xludf.DUMMYFUNCTION("""COMPUTED_VALUE"""),"-[]")</f>
        <v>-[]</v>
      </c>
      <c r="D6" s="457" t="str">
        <f>IFERROR(__xludf.DUMMYFUNCTION("""COMPUTED_VALUE"""),"-[]
")</f>
        <v>-[]
</v>
      </c>
      <c r="E6" s="458">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IFERROR(__xludf.DUMMYFUNCTION("""COMPUTED_VALUE"""),"Fortify Your Mind!")</f>
        <v>Fortify Your Mind!</v>
      </c>
      <c r="B7" s="457" t="str">
        <f>IFERROR(__xludf.DUMMYFUNCTION("""COMPUTED_VALUE"""),"[WIS 3]
You know when someone is reading your mind.")</f>
        <v>[WIS 3]
You know when someone is reading your mind.</v>
      </c>
      <c r="C7" s="457"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7"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8">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IFERROR(__xludf.DUMMYFUNCTION("""COMPUTED_VALUE"""),"Head on a Swivel")</f>
        <v>Head on a Swivel</v>
      </c>
      <c r="B8" s="457" t="str">
        <f>IFERROR(__xludf.DUMMYFUNCTION("""COMPUTED_VALUE"""),"[Environmental Awareness 12]
You are considered to have an active Defensive Action outside of combat.")</f>
        <v>[Environmental Awareness 12]
You are considered to have an active Defensive Action outside of combat.</v>
      </c>
      <c r="C8" s="457" t="str">
        <f>IFERROR(__xludf.DUMMYFUNCTION("""COMPUTED_VALUE"""),"-[]")</f>
        <v>-[]</v>
      </c>
      <c r="D8" s="457" t="str">
        <f>IFERROR(__xludf.DUMMYFUNCTION("""COMPUTED_VALUE"""),"-[]
")</f>
        <v>-[]
</v>
      </c>
      <c r="E8" s="458">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IFERROR(__xludf.DUMMYFUNCTION("""COMPUTED_VALUE"""),"Hey! Listen!")</f>
        <v>Hey! Listen!</v>
      </c>
      <c r="B9" s="457"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7" t="str">
        <f>IFERROR(__xludf.DUMMYFUNCTION("""COMPUTED_VALUE"""),"-[]")</f>
        <v>-[]</v>
      </c>
      <c r="D9" s="457" t="str">
        <f>IFERROR(__xludf.DUMMYFUNCTION("""COMPUTED_VALUE"""),"-[]")</f>
        <v>-[]</v>
      </c>
      <c r="E9" s="458">
        <f>IFERROR(__xludf.DUMMYFUNCTION("""COMPUTED_VALUE"""),7.0)</f>
        <v>7</v>
      </c>
      <c r="F9" s="457"/>
      <c r="G9" s="457"/>
      <c r="H9" s="457"/>
      <c r="I9" s="457"/>
      <c r="J9" s="457"/>
      <c r="K9" s="457"/>
      <c r="L9" s="457"/>
      <c r="M9" s="457"/>
      <c r="N9" s="457"/>
      <c r="O9" s="457"/>
      <c r="P9" s="457"/>
      <c r="Q9" s="457"/>
      <c r="R9" s="457"/>
      <c r="S9" s="457"/>
      <c r="T9" s="457"/>
      <c r="U9" s="457"/>
      <c r="V9" s="457"/>
    </row>
    <row r="10">
      <c r="A10" s="457" t="str">
        <f>IFERROR(__xludf.DUMMYFUNCTION("""COMPUTED_VALUE"""),"Know Thy Mark")</f>
        <v>Know Thy Mark</v>
      </c>
      <c r="B10" s="457"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7"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7"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8">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IFERROR(__xludf.DUMMYFUNCTION("""COMPUTED_VALUE"""),"Pinnacle of Health")</f>
        <v>Pinnacle of Health</v>
      </c>
      <c r="B11" s="457" t="str">
        <f>IFERROR(__xludf.DUMMYFUNCTION("""COMPUTED_VALUE"""),"[CON 6; Life Span &lt; Epic]
Increase your lifespan one tier")</f>
        <v>[CON 6; Life Span &lt; Epic]
Increase your lifespan one tier</v>
      </c>
      <c r="C11" s="457" t="str">
        <f>IFERROR(__xludf.DUMMYFUNCTION("""COMPUTED_VALUE"""),"-[]")</f>
        <v>-[]</v>
      </c>
      <c r="D11" s="457" t="str">
        <f>IFERROR(__xludf.DUMMYFUNCTION("""COMPUTED_VALUE"""),"-[]")</f>
        <v>-[]</v>
      </c>
      <c r="E11" s="458">
        <f>IFERROR(__xludf.DUMMYFUNCTION("""COMPUTED_VALUE"""),14.0)</f>
        <v>14</v>
      </c>
      <c r="F11" s="457"/>
      <c r="G11" s="457"/>
      <c r="H11" s="457"/>
      <c r="I11" s="457"/>
      <c r="J11" s="457"/>
      <c r="K11" s="457"/>
      <c r="L11" s="457"/>
      <c r="M11" s="457"/>
      <c r="N11" s="457"/>
      <c r="O11" s="457"/>
      <c r="P11" s="457"/>
      <c r="Q11" s="457"/>
      <c r="R11" s="457"/>
      <c r="S11" s="457"/>
      <c r="T11" s="457"/>
      <c r="U11" s="457"/>
      <c r="V11" s="457"/>
    </row>
    <row r="12">
      <c r="A12" s="457" t="str">
        <f>IFERROR(__xludf.DUMMYFUNCTION("""COMPUTED_VALUE"""),"Recon Expert")</f>
        <v>Recon Expert</v>
      </c>
      <c r="B12" s="457"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7"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7"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8">
        <f>IFERROR(__xludf.DUMMYFUNCTION("""COMPUTED_VALUE"""),7.0)</f>
        <v>7</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IFERROR(__xludf.DUMMYFUNCTION("""COMPUTED_VALUE"""),"Resolute")</f>
        <v>Resolute</v>
      </c>
      <c r="B13" s="457" t="str">
        <f>IFERROR(__xludf.DUMMYFUNCTION("""COMPUTED_VALUE"""),"[None]
+1 Mod to all Saves.")</f>
        <v>[None]
+1 Mod to all Saves.</v>
      </c>
      <c r="C13" s="457" t="str">
        <f>IFERROR(__xludf.DUMMYFUNCTION("""COMPUTED_VALUE"""),"-[]")</f>
        <v>-[]</v>
      </c>
      <c r="D13" s="457" t="str">
        <f>IFERROR(__xludf.DUMMYFUNCTION("""COMPUTED_VALUE"""),"-[]
")</f>
        <v>-[]
</v>
      </c>
      <c r="E13" s="458">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IFERROR(__xludf.DUMMYFUNCTION("""COMPUTED_VALUE"""),"Sharp Memory")</f>
        <v>Sharp Memory</v>
      </c>
      <c r="B14" s="457" t="str">
        <f>IFERROR(__xludf.DUMMYFUNCTION("""COMPUTED_VALUE"""),"[INT 5]
You always know what direction you are traveling.")</f>
        <v>[INT 5]
You always know what direction you are traveling.</v>
      </c>
      <c r="C14" s="457"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7"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IFERROR(__xludf.DUMMYFUNCTION("""COMPUTED_VALUE"""),"There's No Such Thing as Luck")</f>
        <v>There's No Such Thing as Luck</v>
      </c>
      <c r="B15" s="457"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7" t="str">
        <f>IFERROR(__xludf.DUMMYFUNCTION("""COMPUTED_VALUE"""),"-[]")</f>
        <v>-[]</v>
      </c>
      <c r="D15" s="457" t="str">
        <f>IFERROR(__xludf.DUMMYFUNCTION("""COMPUTED_VALUE"""),"-[]")</f>
        <v>-[]</v>
      </c>
      <c r="E15" s="458">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IFERROR(__xludf.DUMMYFUNCTION("""COMPUTED_VALUE"""),"With Imagination, Anything is possible")</f>
        <v>With Imagination, Anything is possible</v>
      </c>
      <c r="B16" s="457" t="str">
        <f>IFERROR(__xludf.DUMMYFUNCTION("""COMPUTED_VALUE"""),"[WIS 3]
On completion of an invention you recieve a normal version of the item instead of a prototype.")</f>
        <v>[WIS 3]
On completion of an invention you recieve a normal version of the item instead of a prototype.</v>
      </c>
      <c r="C16" s="457"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7"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8">
        <f>IFERROR(__xludf.DUMMYFUNCTION("""COMPUTED_VALUE"""),12.0)</f>
        <v>12</v>
      </c>
      <c r="F16" s="457"/>
      <c r="G16" s="457"/>
      <c r="H16" s="457"/>
      <c r="I16" s="457"/>
      <c r="J16" s="457"/>
      <c r="K16" s="457"/>
      <c r="L16" s="457"/>
      <c r="M16" s="457"/>
      <c r="N16" s="457"/>
      <c r="O16" s="457"/>
      <c r="P16" s="457"/>
      <c r="Q16" s="457"/>
      <c r="R16" s="457"/>
      <c r="S16" s="457"/>
      <c r="T16" s="457"/>
      <c r="U16" s="457"/>
      <c r="V16" s="457"/>
    </row>
    <row r="17">
      <c r="A17" s="457" t="str">
        <f>IFERROR(__xludf.DUMMYFUNCTION("""COMPUTED_VALUE"""),"Resolute Mind")</f>
        <v>Resolute Mind</v>
      </c>
      <c r="B17" s="457" t="str">
        <f>IFERROR(__xludf.DUMMYFUNCTION("""COMPUTED_VALUE"""),"[Environmental Awareness 10]
Conviction +2 ")</f>
        <v>[Environmental Awareness 10]
Conviction +2 </v>
      </c>
      <c r="C17" s="457" t="str">
        <f>IFERROR(__xludf.DUMMYFUNCTION("""COMPUTED_VALUE"""),"[WIS 5]
Conviction +4")</f>
        <v>[WIS 5]
Conviction +4</v>
      </c>
      <c r="D17" s="457"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8">
        <f>IFERROR(__xludf.DUMMYFUNCTION("""COMPUTED_VALUE"""),18.0)</f>
        <v>18</v>
      </c>
      <c r="F17" s="457"/>
      <c r="G17" s="457"/>
      <c r="H17" s="457"/>
      <c r="I17" s="457"/>
      <c r="J17" s="457"/>
      <c r="K17" s="457"/>
      <c r="L17" s="457"/>
      <c r="M17" s="457"/>
      <c r="N17" s="457"/>
      <c r="O17" s="457"/>
      <c r="P17" s="457"/>
      <c r="Q17" s="457"/>
      <c r="R17" s="457"/>
      <c r="S17" s="457"/>
      <c r="T17" s="457"/>
      <c r="U17" s="457"/>
      <c r="V17" s="457"/>
    </row>
    <row r="18">
      <c r="A18" s="457" t="str">
        <f>IFERROR(__xludf.DUMMYFUNCTION("""COMPUTED_VALUE"""),"Master of Disguise")</f>
        <v>Master of Disguise</v>
      </c>
      <c r="B18" s="457"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7" t="str">
        <f>IFERROR(__xludf.DUMMYFUNCTION("""COMPUTED_VALUE"""),"-[]
")</f>
        <v>-[]
</v>
      </c>
      <c r="D18" s="457" t="str">
        <f>IFERROR(__xludf.DUMMYFUNCTION("""COMPUTED_VALUE"""),"-[]
")</f>
        <v>-[]
</v>
      </c>
      <c r="E18" s="458">
        <f>IFERROR(__xludf.DUMMYFUNCTION("""COMPUTED_VALUE"""),15.0)</f>
        <v>15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IFERROR(__xludf.DUMMYFUNCTION("""COMPUTED_VALUE"""),"Meditation")</f>
        <v>Meditation</v>
      </c>
      <c r="B19" s="457" t="str">
        <f>IFERROR(__xludf.DUMMYFUNCTION("""COMPUTED_VALUE"""),"[]
Double recovery for all short rest Frequency spent")</f>
        <v>[]
Double recovery for all short rest Frequency spent</v>
      </c>
      <c r="C19" s="457" t="str">
        <f>IFERROR(__xludf.DUMMYFUNCTION("""COMPUTED_VALUE"""),"-[]
")</f>
        <v>-[]
</v>
      </c>
      <c r="D19" s="457" t="str">
        <f>IFERROR(__xludf.DUMMYFUNCTION("""COMPUTED_VALUE"""),"-[]
")</f>
        <v>-[]
</v>
      </c>
      <c r="E19" s="458">
        <f>IFERROR(__xludf.DUMMYFUNCTION("""COMPUTED_VALUE"""),5.0)</f>
        <v>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IFERROR(__xludf.DUMMYFUNCTION("""COMPUTED_VALUE"""),"Easy to Find Work")</f>
        <v>Easy to Find Work</v>
      </c>
      <c r="B20" s="457" t="str">
        <f>IFERROR(__xludf.DUMMYFUNCTION("""COMPUTED_VALUE"""),"[]
You have no issues integrating into the local populace and making connections via oddjobs.")</f>
        <v>[]
You have no issues integrating into the local populace and making connections via oddjobs.</v>
      </c>
      <c r="C20" s="457" t="str">
        <f>IFERROR(__xludf.DUMMYFUNCTION("""COMPUTED_VALUE"""),"-[]
")</f>
        <v>-[]
</v>
      </c>
      <c r="D20" s="457" t="str">
        <f>IFERROR(__xludf.DUMMYFUNCTION("""COMPUTED_VALUE"""),"-[]
")</f>
        <v>-[]
</v>
      </c>
      <c r="E20" s="458">
        <f>IFERROR(__xludf.DUMMYFUNCTION("""COMPUTED_VALUE"""),5.0)</f>
        <v>5</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IFERROR(__xludf.DUMMYFUNCTION("""COMPUTED_VALUE"""),"Natural Sportsman")</f>
        <v>Natural Sportsman</v>
      </c>
      <c r="B21" s="457" t="str">
        <f>IFERROR(__xludf.DUMMYFUNCTION("""COMPUTED_VALUE"""),"[]
Any attribute points spent during the course of a sport is doubled.")</f>
        <v>[]
Any attribute points spent during the course of a sport is doubled.</v>
      </c>
      <c r="C21" s="457" t="str">
        <f>IFERROR(__xludf.DUMMYFUNCTION("""COMPUTED_VALUE"""),"-[]
")</f>
        <v>-[]
</v>
      </c>
      <c r="D21" s="457" t="str">
        <f>IFERROR(__xludf.DUMMYFUNCTION("""COMPUTED_VALUE"""),"-[]
")</f>
        <v>-[]
</v>
      </c>
      <c r="E21" s="458">
        <f>IFERROR(__xludf.DUMMYFUNCTION("""COMPUTED_VALUE"""),5.0)</f>
        <v>5</v>
      </c>
      <c r="F21" s="457"/>
      <c r="G21" s="457"/>
      <c r="H21" s="457"/>
      <c r="I21" s="457"/>
      <c r="J21" s="457"/>
      <c r="K21" s="457"/>
      <c r="L21" s="457"/>
      <c r="M21" s="457"/>
      <c r="N21" s="457"/>
      <c r="O21" s="457"/>
      <c r="P21" s="457"/>
      <c r="Q21" s="457"/>
      <c r="R21" s="457"/>
      <c r="S21" s="457"/>
      <c r="T21" s="457"/>
      <c r="U21" s="457"/>
      <c r="V21" s="457"/>
    </row>
    <row r="22">
      <c r="A22" s="457" t="str">
        <f>IFERROR(__xludf.DUMMYFUNCTION("""COMPUTED_VALUE"""),"University Contacts")</f>
        <v>University Contacts</v>
      </c>
      <c r="B22" s="457"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7" t="str">
        <f>IFERROR(__xludf.DUMMYFUNCTION("""COMPUTED_VALUE"""),"-[]
")</f>
        <v>-[]
</v>
      </c>
      <c r="D22" s="457" t="str">
        <f>IFERROR(__xludf.DUMMYFUNCTION("""COMPUTED_VALUE"""),"-[]
")</f>
        <v>-[]
</v>
      </c>
      <c r="E22" s="458">
        <f>IFERROR(__xludf.DUMMYFUNCTION("""COMPUTED_VALUE"""),5.0)</f>
        <v>5</v>
      </c>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""Learning!B3:B""),""SELECT * WHERE Col1 IS NOT NULL"",0)"),"Fast Learner")</f>
        <v>Fast Learner</v>
      </c>
      <c r="B1" s="457"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7"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7"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8">
        <f>IFERROR(__xludf.DUMMYFUNCTION("QUERY(IMPORTRANGE(""1koQqL7bV1rMPtlmhZblwVeK5weyiTfFQ3POD_grK7Rc"", ""Learning!C3:C""),""SELECT * WHERE Col1 IS NOT NULL"",0)"),9.0)</f>
        <v>9</v>
      </c>
      <c r="F1" s="457"/>
      <c r="G1" s="457"/>
      <c r="H1" s="457"/>
      <c r="I1" s="457"/>
      <c r="J1" s="457"/>
      <c r="K1" s="457"/>
      <c r="L1" s="457"/>
      <c r="M1" s="457"/>
      <c r="N1" s="457"/>
      <c r="O1" s="457"/>
      <c r="P1" s="457"/>
      <c r="Q1" s="457"/>
      <c r="R1" s="457"/>
      <c r="S1" s="457"/>
      <c r="T1" s="457"/>
      <c r="U1" s="457"/>
      <c r="V1" s="457"/>
    </row>
    <row r="2">
      <c r="A2" s="460" t="str">
        <f>IFERROR(__xludf.DUMMYFUNCTION("""COMPUTED_VALUE"""),"Gifted")</f>
        <v>Gifted</v>
      </c>
      <c r="B2" s="460" t="str">
        <f>IFERROR(__xludf.DUMMYFUNCTION("""COMPUTED_VALUE"""),"[CHA 4]
When a skill is increased from level 0 to 1, gain 2 extra levels.")</f>
        <v>[CHA 4]
When a skill is increased from level 0 to 1, gain 2 extra levels.</v>
      </c>
      <c r="C2" s="460" t="str">
        <f>IFERROR(__xludf.DUMMYFUNCTION("""COMPUTED_VALUE"""),"-[]")</f>
        <v>-[]</v>
      </c>
      <c r="D2" s="460" t="str">
        <f>IFERROR(__xludf.DUMMYFUNCTION("""COMPUTED_VALUE"""),"-[]")</f>
        <v>-[]</v>
      </c>
      <c r="E2" s="458">
        <f>IFERROR(__xludf.DUMMYFUNCTION("""COMPUTED_VALUE"""),10.0)</f>
        <v>10</v>
      </c>
      <c r="F2" s="457"/>
      <c r="G2" s="457"/>
      <c r="H2" s="457"/>
      <c r="I2" s="457"/>
      <c r="J2" s="457"/>
      <c r="K2" s="457"/>
      <c r="L2" s="457"/>
      <c r="M2" s="457"/>
      <c r="N2" s="457"/>
      <c r="O2" s="457"/>
      <c r="P2" s="457"/>
      <c r="Q2" s="457"/>
      <c r="R2" s="457"/>
      <c r="S2" s="457"/>
      <c r="T2" s="457"/>
      <c r="U2" s="457"/>
      <c r="V2" s="457"/>
    </row>
    <row r="3">
      <c r="A3" s="457" t="str">
        <f>IFERROR(__xludf.DUMMYFUNCTION("""COMPUTED_VALUE"""),"Hive Mind")</f>
        <v>Hive Mind</v>
      </c>
      <c r="B3" s="457"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7"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7"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8">
        <f>IFERROR(__xludf.DUMMYFUNCTION("""COMPUTED_VALUE"""),15.0)</f>
        <v>15</v>
      </c>
      <c r="F3" s="457"/>
      <c r="G3" s="457"/>
      <c r="H3" s="457"/>
      <c r="I3" s="457"/>
      <c r="J3" s="457"/>
      <c r="K3" s="457"/>
      <c r="L3" s="457"/>
      <c r="M3" s="457"/>
      <c r="N3" s="457"/>
      <c r="O3" s="457"/>
      <c r="P3" s="457"/>
      <c r="Q3" s="457"/>
      <c r="R3" s="457"/>
      <c r="S3" s="457"/>
      <c r="T3" s="457"/>
      <c r="U3" s="457"/>
      <c r="V3" s="457"/>
    </row>
    <row r="4">
      <c r="A4" s="457" t="str">
        <f>IFERROR(__xludf.DUMMYFUNCTION("""COMPUTED_VALUE"""),"Jack of All Trades")</f>
        <v>Jack of All Trades</v>
      </c>
      <c r="B4" s="457"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7" t="str">
        <f>IFERROR(__xludf.DUMMYFUNCTION("""COMPUTED_VALUE"""),"-[]")</f>
        <v>-[]</v>
      </c>
      <c r="D4" s="457" t="str">
        <f>IFERROR(__xludf.DUMMYFUNCTION("""COMPUTED_VALUE"""),"-[]")</f>
        <v>-[]</v>
      </c>
      <c r="E4" s="458">
        <f>IFERROR(__xludf.DUMMYFUNCTION("""COMPUTED_VALUE"""),6.0)</f>
        <v>6</v>
      </c>
      <c r="F4" s="457"/>
      <c r="G4" s="457"/>
      <c r="H4" s="457"/>
      <c r="I4" s="457"/>
      <c r="J4" s="457"/>
      <c r="K4" s="457"/>
      <c r="L4" s="457"/>
      <c r="M4" s="457"/>
      <c r="N4" s="457"/>
      <c r="O4" s="457"/>
      <c r="P4" s="457"/>
      <c r="Q4" s="457"/>
      <c r="R4" s="457"/>
      <c r="S4" s="457"/>
      <c r="T4" s="457"/>
      <c r="U4" s="457"/>
      <c r="V4" s="457"/>
    </row>
    <row r="5">
      <c r="A5" s="457" t="str">
        <f>IFERROR(__xludf.DUMMYFUNCTION("""COMPUTED_VALUE"""),"Knowledge is Power")</f>
        <v>Knowledge is Power</v>
      </c>
      <c r="B5" s="457" t="str">
        <f>IFERROR(__xludf.DUMMYFUNCTION("""COMPUTED_VALUE"""),"[INT 3]
If you roll a 10 on a skill training check then you gain an extra level on that skill.")</f>
        <v>[INT 3]
If you roll a 10 on a skill training check then you gain an extra level on that skill.</v>
      </c>
      <c r="C5" s="457"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7"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8">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IFERROR(__xludf.DUMMYFUNCTION("""COMPUTED_VALUE"""),"Muscle Memory")</f>
        <v>Muscle Memory</v>
      </c>
      <c r="B6" s="457"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7" t="str">
        <f>IFERROR(__xludf.DUMMYFUNCTION("""COMPUTED_VALUE"""),"-[]")</f>
        <v>-[]</v>
      </c>
      <c r="D6" s="457" t="str">
        <f>IFERROR(__xludf.DUMMYFUNCTION("""COMPUTED_VALUE"""),"-[]")</f>
        <v>-[]</v>
      </c>
      <c r="E6" s="458">
        <f>IFERROR(__xludf.DUMMYFUNCTION("""COMPUTED_VALUE"""),17.0)</f>
        <v>17</v>
      </c>
      <c r="F6" s="457"/>
      <c r="G6" s="457"/>
      <c r="H6" s="457"/>
      <c r="I6" s="457"/>
      <c r="J6" s="457"/>
      <c r="K6" s="457"/>
      <c r="L6" s="457"/>
      <c r="M6" s="457"/>
      <c r="N6" s="457"/>
      <c r="O6" s="457"/>
      <c r="P6" s="457"/>
      <c r="Q6" s="457"/>
      <c r="R6" s="457"/>
      <c r="S6" s="457"/>
      <c r="T6" s="457"/>
      <c r="U6" s="457"/>
      <c r="V6" s="457"/>
    </row>
    <row r="7">
      <c r="A7" s="457" t="str">
        <f>IFERROR(__xludf.DUMMYFUNCTION("""COMPUTED_VALUE"""),"Scatterbrained")</f>
        <v>Scatterbrained</v>
      </c>
      <c r="B7" s="457" t="str">
        <f>IFERROR(__xludf.DUMMYFUNCTION("""COMPUTED_VALUE"""),"[INT 4]
At the end of a session you may change one trainable skill to another of the same skill class.")</f>
        <v>[INT 4]
At the end of a session you may change one trainable skill to another of the same skill class.</v>
      </c>
      <c r="C7" s="457" t="str">
        <f>IFERROR(__xludf.DUMMYFUNCTION("""COMPUTED_VALUE"""),"-[]")</f>
        <v>-[]</v>
      </c>
      <c r="D7" s="457" t="str">
        <f>IFERROR(__xludf.DUMMYFUNCTION("""COMPUTED_VALUE"""),"-[]")</f>
        <v>-[]</v>
      </c>
      <c r="E7" s="458">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IFERROR(__xludf.DUMMYFUNCTION("""COMPUTED_VALUE"""),"Self Teacher")</f>
        <v>Self Teacher</v>
      </c>
      <c r="B8" s="457"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7" t="str">
        <f>IFERROR(__xludf.DUMMYFUNCTION("""COMPUTED_VALUE"""),"-[]")</f>
        <v>-[]</v>
      </c>
      <c r="D8" s="457" t="str">
        <f>IFERROR(__xludf.DUMMYFUNCTION("""COMPUTED_VALUE"""),"-[]")</f>
        <v>-[]</v>
      </c>
      <c r="E8" s="458">
        <f>IFERROR(__xludf.DUMMYFUNCTION("""COMPUTED_VALUE"""),5.0)</f>
        <v>5</v>
      </c>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""Social!B3:B""),""SELECT * WHERE Col1 IS NOT NULL"",0)"),"Alluring Spark")</f>
        <v>Alluring Spark</v>
      </c>
      <c r="B1" s="457"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7"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7"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8">
        <f>IFERROR(__xludf.DUMMYFUNCTION("QUERY(IMPORTRANGE(""1koQqL7bV1rMPtlmhZblwVeK5weyiTfFQ3POD_grK7Rc"", ""Social!C3:C""),""SELECT * WHERE Col1 IS NOT NULL"",0)"),7.0)</f>
        <v>7</v>
      </c>
      <c r="F1" s="457"/>
      <c r="G1" s="457"/>
      <c r="H1" s="457"/>
      <c r="I1" s="457"/>
      <c r="J1" s="457"/>
      <c r="K1" s="457"/>
      <c r="L1" s="457"/>
      <c r="M1" s="457"/>
      <c r="N1" s="457"/>
      <c r="O1" s="457"/>
      <c r="P1" s="457"/>
      <c r="Q1" s="457"/>
      <c r="R1" s="457"/>
      <c r="S1" s="457"/>
      <c r="T1" s="457"/>
      <c r="U1" s="457"/>
      <c r="V1" s="457"/>
    </row>
    <row r="2">
      <c r="A2" s="460" t="str">
        <f>IFERROR(__xludf.DUMMYFUNCTION("""COMPUTED_VALUE"""),"Diplomatic Immunity in (X)")</f>
        <v>Diplomatic Immunity in (X)</v>
      </c>
      <c r="B2" s="460"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0" t="str">
        <f>IFERROR(__xludf.DUMMYFUNCTION("""COMPUTED_VALUE"""),"[Law 14]
  Even if murder is involved the law can only detain and extradite you.")</f>
        <v>[Law 14]
  Even if murder is involved the law can only detain and extradite you.</v>
      </c>
      <c r="D2" s="460" t="str">
        <f>IFERROR(__xludf.DUMMYFUNCTION("""COMPUTED_VALUE"""),"[Law 16]
The law can't touch you.")</f>
        <v>[Law 16]
The law can't touch you.</v>
      </c>
      <c r="E2" s="458">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IFERROR(__xludf.DUMMYFUNCTION("""COMPUTED_VALUE"""),"Heavenly Beauty")</f>
        <v>Heavenly Beauty</v>
      </c>
      <c r="B3" s="457"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7"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7"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8">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IFERROR(__xludf.DUMMYFUNCTION("""COMPUTED_VALUE"""),"Letting Off Steam")</f>
        <v>Letting Off Steam</v>
      </c>
      <c r="B4" s="457" t="str">
        <f>IFERROR(__xludf.DUMMYFUNCTION("""COMPUTED_VALUE"""),"[None]
Successful intimidation skill checks reduce your strain by the score of the skill check -2.")</f>
        <v>[None]
Successful intimidation skill checks reduce your strain by the score of the skill check -2.</v>
      </c>
      <c r="C4" s="457"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7"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8">
        <f>IFERROR(__xludf.DUMMYFUNCTION("""COMPUTED_VALUE"""),10.0)</f>
        <v>10</v>
      </c>
      <c r="F4" s="457"/>
      <c r="G4" s="457"/>
      <c r="H4" s="457"/>
      <c r="I4" s="457"/>
      <c r="J4" s="457"/>
      <c r="K4" s="457"/>
      <c r="L4" s="457"/>
      <c r="M4" s="457"/>
      <c r="N4" s="457"/>
      <c r="O4" s="457"/>
      <c r="P4" s="457"/>
      <c r="Q4" s="457"/>
      <c r="R4" s="457"/>
      <c r="S4" s="457"/>
      <c r="T4" s="457"/>
      <c r="U4" s="457"/>
      <c r="V4" s="457"/>
    </row>
    <row r="5">
      <c r="A5" s="457" t="str">
        <f>IFERROR(__xludf.DUMMYFUNCTION("""COMPUTED_VALUE"""),"You Have No Power Over Me!")</f>
        <v>You Have No Power Over Me!</v>
      </c>
      <c r="B5" s="457" t="str">
        <f>IFERROR(__xludf.DUMMYFUNCTION("""COMPUTED_VALUE"""),"[WIS 4]
Others may not apply their beauty modifier to checks against you.")</f>
        <v>[WIS 4]
Others may not apply their beauty modifier to checks against you.</v>
      </c>
      <c r="C5" s="457"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7"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8">
        <f>IFERROR(__xludf.DUMMYFUNCTION("""COMPUTED_VALUE"""),15.0)</f>
        <v>15</v>
      </c>
      <c r="F5" s="457"/>
      <c r="G5" s="457"/>
      <c r="H5" s="457"/>
      <c r="I5" s="457"/>
      <c r="J5" s="457"/>
      <c r="K5" s="457"/>
      <c r="L5" s="457"/>
      <c r="M5" s="457"/>
      <c r="N5" s="457"/>
      <c r="O5" s="457"/>
      <c r="P5" s="457"/>
      <c r="Q5" s="457"/>
      <c r="R5" s="457"/>
      <c r="S5" s="457"/>
      <c r="T5" s="457"/>
      <c r="U5" s="457"/>
      <c r="V5" s="457"/>
    </row>
    <row r="6">
      <c r="A6" s="457"/>
      <c r="B6" s="457"/>
      <c r="C6" s="457"/>
      <c r="D6" s="457"/>
      <c r="E6" s="458"/>
      <c r="F6" s="457"/>
      <c r="G6" s="457"/>
      <c r="H6" s="457"/>
      <c r="I6" s="457"/>
      <c r="J6" s="457"/>
      <c r="K6" s="457"/>
      <c r="L6" s="457"/>
      <c r="M6" s="457"/>
      <c r="N6" s="457"/>
      <c r="O6" s="457"/>
      <c r="P6" s="457"/>
      <c r="Q6" s="457"/>
      <c r="R6" s="457"/>
      <c r="S6" s="457"/>
      <c r="T6" s="457"/>
      <c r="U6" s="457"/>
      <c r="V6" s="457"/>
    </row>
    <row r="7">
      <c r="A7" s="457"/>
      <c r="B7" s="457"/>
      <c r="C7" s="457"/>
      <c r="D7" s="457"/>
      <c r="E7" s="458"/>
      <c r="F7" s="457"/>
      <c r="G7" s="457"/>
      <c r="H7" s="457"/>
      <c r="I7" s="457"/>
      <c r="J7" s="457"/>
      <c r="K7" s="457"/>
      <c r="L7" s="457"/>
      <c r="M7" s="457"/>
      <c r="N7" s="457"/>
      <c r="O7" s="457"/>
      <c r="P7" s="457"/>
      <c r="Q7" s="457"/>
      <c r="R7" s="457"/>
      <c r="S7" s="457"/>
      <c r="T7" s="457"/>
      <c r="U7" s="457"/>
      <c r="V7" s="457"/>
    </row>
    <row r="8">
      <c r="A8" s="457"/>
      <c r="B8" s="457"/>
      <c r="C8" s="457"/>
      <c r="D8" s="457"/>
      <c r="E8" s="458"/>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""Magic!B3:B""),""SELECT * WHERE Col1 IS NOT NULL"",0)"),"Chaotic Spark")</f>
        <v>Chaotic Spark</v>
      </c>
      <c r="B1" s="457"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7" t="str">
        <f>IFERROR(__xludf.DUMMYFUNCTION("QUERY(IMPORTRANGE(""1koQqL7bV1rMPtlmhZblwVeK5weyiTfFQ3POD_grK7Rc"",""Magic!$E$3:$E""),""select Col1 where Col1 is not null AND Col1 contains '['"",0)"),"-[]")</f>
        <v>-[]</v>
      </c>
      <c r="D1" s="457" t="str">
        <f>IFERROR(__xludf.DUMMYFUNCTION("QUERY(IMPORTRANGE(""1koQqL7bV1rMPtlmhZblwVeK5weyiTfFQ3POD_grK7Rc"",""Magic!$F$3:$F""),""select Col1 where Col1 is not null AND Col1 contains '['"",0)"),"-[]")</f>
        <v>-[]</v>
      </c>
      <c r="E1" s="457">
        <f>IFERROR(__xludf.DUMMYFUNCTION("QUERY(IMPORTRANGE(""1koQqL7bV1rMPtlmhZblwVeK5weyiTfFQ3POD_grK7Rc"", ""Magic!C3:C""),""SELECT * WHERE Col1 IS NOT NULL"",0)"),13.0)</f>
        <v>13</v>
      </c>
      <c r="F1" s="457"/>
      <c r="G1" s="457"/>
      <c r="H1" s="457"/>
      <c r="I1" s="457"/>
      <c r="J1" s="457"/>
      <c r="K1" s="457"/>
      <c r="L1" s="457"/>
      <c r="M1" s="457"/>
      <c r="N1" s="457"/>
      <c r="O1" s="457"/>
      <c r="P1" s="457"/>
      <c r="Q1" s="457"/>
      <c r="R1" s="457"/>
      <c r="S1" s="457"/>
      <c r="T1" s="457"/>
      <c r="U1" s="457"/>
      <c r="V1" s="457"/>
    </row>
    <row r="2">
      <c r="A2" s="460" t="str">
        <f>IFERROR(__xludf.DUMMYFUNCTION("""COMPUTED_VALUE"""),"Enchanted Performer")</f>
        <v>Enchanted Performer</v>
      </c>
      <c r="B2" s="460"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0" t="str">
        <f>IFERROR(__xludf.DUMMYFUNCTION("""COMPUTED_VALUE"""),"-[]")</f>
        <v>-[]</v>
      </c>
      <c r="D2" s="460" t="str">
        <f>IFERROR(__xludf.DUMMYFUNCTION("""COMPUTED_VALUE"""),"-[]")</f>
        <v>-[]</v>
      </c>
      <c r="E2" s="457">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IFERROR(__xludf.DUMMYFUNCTION("""COMPUTED_VALUE"""),"Ritualist")</f>
        <v>Ritualist</v>
      </c>
      <c r="B3" s="457"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7" t="str">
        <f>IFERROR(__xludf.DUMMYFUNCTION("""COMPUTED_VALUE"""),"-[]")</f>
        <v>-[]</v>
      </c>
      <c r="D3" s="457" t="str">
        <f>IFERROR(__xludf.DUMMYFUNCTION("""COMPUTED_VALUE"""),"-[]")</f>
        <v>-[]</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IFERROR(__xludf.DUMMYFUNCTION("""COMPUTED_VALUE"""),"Altruistic Spark")</f>
        <v>Altruistic Spark</v>
      </c>
      <c r="B4" s="457" t="str">
        <f>IFERROR(__xludf.DUMMYFUNCTION("""COMPUTED_VALUE"""),"[Positive or Neutral Attunement]
Monkey Paws from raw casting can only be directed at you. ")</f>
        <v>[Positive or Neutral Attunement]
Monkey Paws from raw casting can only be directed at you. </v>
      </c>
      <c r="C4" s="457" t="str">
        <f>IFERROR(__xludf.DUMMYFUNCTION("""COMPUTED_VALUE"""),"-[]")</f>
        <v>-[]</v>
      </c>
      <c r="D4" s="457" t="str">
        <f>IFERROR(__xludf.DUMMYFUNCTION("""COMPUTED_VALUE"""),"-[]")</f>
        <v>-[]</v>
      </c>
      <c r="E4" s="457">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IFERROR(__xludf.DUMMYFUNCTION("""COMPUTED_VALUE"""),"Attunement (X)")</f>
        <v>Attunement (X)</v>
      </c>
      <c r="B5" s="457"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7" t="str">
        <f>IFERROR(__xludf.DUMMYFUNCTION("""COMPUTED_VALUE"""),"-[]")</f>
        <v>-[]</v>
      </c>
      <c r="D5" s="457" t="str">
        <f>IFERROR(__xludf.DUMMYFUNCTION("""COMPUTED_VALUE"""),"-[]")</f>
        <v>-[]</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IFERROR(__xludf.DUMMYFUNCTION("""COMPUTED_VALUE"""),"Battery Body")</f>
        <v>Battery Body</v>
      </c>
      <c r="B6" s="457" t="str">
        <f>IFERROR(__xludf.DUMMYFUNCTION("""COMPUTED_VALUE"""),"[Any Domains of Magic Skill 4; Arcane Knowledge 5]
You can store 5 mana within your body.")</f>
        <v>[Any Domains of Magic Skill 4; Arcane Knowledge 5]
You can store 5 mana within your body.</v>
      </c>
      <c r="C6" s="457" t="str">
        <f>IFERROR(__xludf.DUMMYFUNCTION("""COMPUTED_VALUE"""),"[Any Domains of Magic Skill 6; Arcane Knowledge 10]
You can store 10 mana within your body.")</f>
        <v>[Any Domains of Magic Skill 6; Arcane Knowledge 10]
You can store 10 mana within your body.</v>
      </c>
      <c r="D6" s="457" t="str">
        <f>IFERROR(__xludf.DUMMYFUNCTION("""COMPUTED_VALUE"""),"[Any Domains of Magic Skill 8; Arcane Knowledge 15]
You can store 15 mana within your body.")</f>
        <v>[Any Domains of Magic Skill 8; Arcane Knowledge 15]
You can store 15 mana within your body.</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IFERROR(__xludf.DUMMYFUNCTION("""COMPUTED_VALUE"""),"Blessed Arcana")</f>
        <v>Blessed Arcana</v>
      </c>
      <c r="B7" s="457"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7"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7"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7">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IFERROR(__xludf.DUMMYFUNCTION("""COMPUTED_VALUE"""),"Demonic Arts")</f>
        <v>Demonic Arts</v>
      </c>
      <c r="B8" s="457"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7"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7"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7">
        <f>IFERROR(__xludf.DUMMYFUNCTION("""COMPUTED_VALUE"""),7.0)</f>
        <v>7</v>
      </c>
      <c r="F8" s="457"/>
      <c r="G8" s="457"/>
      <c r="H8" s="457"/>
      <c r="I8" s="457"/>
      <c r="J8" s="457"/>
      <c r="K8" s="457"/>
      <c r="L8" s="457"/>
      <c r="M8" s="457"/>
      <c r="N8" s="457"/>
      <c r="O8" s="457"/>
      <c r="P8" s="457"/>
      <c r="Q8" s="457"/>
      <c r="R8" s="457"/>
      <c r="S8" s="457"/>
      <c r="T8" s="457"/>
      <c r="U8" s="457"/>
      <c r="V8" s="457"/>
    </row>
    <row r="9">
      <c r="A9" s="457" t="str">
        <f>IFERROR(__xludf.DUMMYFUNCTION("""COMPUTED_VALUE"""),"Esther Conduit")</f>
        <v>Esther Conduit</v>
      </c>
      <c r="B9" s="457"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7"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7"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IFERROR(__xludf.DUMMYFUNCTION("""COMPUTED_VALUE"""),"Feel the Esther")</f>
        <v>Feel the Esther</v>
      </c>
      <c r="B10" s="457"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7" t="str">
        <f>IFERROR(__xludf.DUMMYFUNCTION("""COMPUTED_VALUE"""),"-[]")</f>
        <v>-[]</v>
      </c>
      <c r="D10" s="457" t="str">
        <f>IFERROR(__xludf.DUMMYFUNCTION("""COMPUTED_VALUE"""),"-[]")</f>
        <v>-[]</v>
      </c>
      <c r="E10" s="457">
        <f>IFERROR(__xludf.DUMMYFUNCTION("""COMPUTED_VALUE"""),5.0)</f>
        <v>5</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IFERROR(__xludf.DUMMYFUNCTION("""COMPUTED_VALUE"""),"Parsley, Sage, Rosemary, and Thyme")</f>
        <v>Parsley, Sage, Rosemary, and Thyme</v>
      </c>
      <c r="B11" s="457"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7"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7"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7">
        <f>IFERROR(__xludf.DUMMYFUNCTION("""COMPUTED_VALUE"""),12.0)</f>
        <v>12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IFERROR(__xludf.DUMMYFUNCTION("""COMPUTED_VALUE"""),"Sacred Exchange")</f>
        <v>Sacred Exchange</v>
      </c>
      <c r="B12" s="457" t="str">
        <f>IFERROR(__xludf.DUMMYFUNCTION("""COMPUTED_VALUE"""),"[The Hunger or Arcane Knowledge 8]
You may freely consume 1 available Mana to instantly regain 1 Fortitude.")</f>
        <v>[The Hunger or Arcane Knowledge 8]
You may freely consume 1 available Mana to instantly regain 1 Fortitude.</v>
      </c>
      <c r="C12" s="457" t="str">
        <f>IFERROR(__xludf.DUMMYFUNCTION("""COMPUTED_VALUE"""),"-[]")</f>
        <v>-[]</v>
      </c>
      <c r="D12" s="457" t="str">
        <f>IFERROR(__xludf.DUMMYFUNCTION("""COMPUTED_VALUE"""),"-[]")</f>
        <v>-[]</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IFERROR(__xludf.DUMMYFUNCTION("""COMPUTED_VALUE"""),"Selfish Spark")</f>
        <v>Selfish Spark</v>
      </c>
      <c r="B13" s="457"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7" t="str">
        <f>IFERROR(__xludf.DUMMYFUNCTION("""COMPUTED_VALUE"""),"-[]")</f>
        <v>-[]</v>
      </c>
      <c r="D13" s="457" t="str">
        <f>IFERROR(__xludf.DUMMYFUNCTION("""COMPUTED_VALUE"""),"-[]")</f>
        <v>-[]</v>
      </c>
      <c r="E13" s="457">
        <f>IFERROR(__xludf.DUMMYFUNCTION("""COMPUTED_VALUE"""),10.0)</f>
        <v>10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IFERROR(__xludf.DUMMYFUNCTION("""COMPUTED_VALUE"""),"Karmic Power")</f>
        <v>Karmic Power</v>
      </c>
      <c r="B14" s="457" t="str">
        <f>IFERROR(__xludf.DUMMYFUNCTION("""COMPUTED_VALUE"""),"[None]
You may use Karma as if it was Mana stored in your body.")</f>
        <v>[None]
You may use Karma as if it was Mana stored in your body.</v>
      </c>
      <c r="C14" s="457" t="str">
        <f>IFERROR(__xludf.DUMMYFUNCTION("""COMPUTED_VALUE"""),"-[]")</f>
        <v>-[]</v>
      </c>
      <c r="D14" s="457" t="str">
        <f>IFERROR(__xludf.DUMMYFUNCTION("""COMPUTED_VALUE"""),"-[]")</f>
        <v>-[]</v>
      </c>
      <c r="E14" s="457">
        <f>IFERROR(__xludf.DUMMYFUNCTION("""COMPUTED_VALUE"""),20.0)</f>
        <v>20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IFERROR(__xludf.DUMMYFUNCTION("""COMPUTED_VALUE"""),"Don't Break My Concentration")</f>
        <v>Don't Break My Concentration</v>
      </c>
      <c r="B15" s="457"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7"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7"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7">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IFERROR(__xludf.DUMMYFUNCTION("""COMPUTED_VALUE"""),"Attunement Unlocked")</f>
        <v>Attunement Unlocked</v>
      </c>
      <c r="B16" s="457"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7"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7"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7">
        <f>IFERROR(__xludf.DUMMYFUNCTION("""COMPUTED_VALUE"""),25.0)</f>
        <v>25</v>
      </c>
      <c r="F16" s="457"/>
      <c r="G16" s="457"/>
      <c r="H16" s="457"/>
      <c r="I16" s="457"/>
      <c r="J16" s="457"/>
      <c r="K16" s="457"/>
      <c r="L16" s="457"/>
      <c r="M16" s="457"/>
      <c r="N16" s="457"/>
      <c r="O16" s="457"/>
      <c r="P16" s="457"/>
      <c r="Q16" s="457"/>
      <c r="R16" s="457"/>
      <c r="S16" s="457"/>
      <c r="T16" s="457"/>
      <c r="U16" s="457"/>
      <c r="V16" s="457"/>
    </row>
    <row r="17">
      <c r="A17" s="457"/>
      <c r="B17" s="457"/>
      <c r="C17" s="457"/>
      <c r="D17" s="457"/>
      <c r="E17" s="457"/>
      <c r="F17" s="457"/>
      <c r="G17" s="457"/>
      <c r="H17" s="457"/>
      <c r="I17" s="457"/>
      <c r="J17" s="457"/>
      <c r="K17" s="457"/>
      <c r="L17" s="457"/>
      <c r="M17" s="457"/>
      <c r="N17" s="457"/>
      <c r="O17" s="457"/>
      <c r="P17" s="457"/>
      <c r="Q17" s="457"/>
      <c r="R17" s="457"/>
      <c r="S17" s="457"/>
      <c r="T17" s="457"/>
      <c r="U17" s="457"/>
      <c r="V17" s="457"/>
    </row>
    <row r="18">
      <c r="A18" s="457"/>
      <c r="B18" s="457"/>
      <c r="C18" s="457"/>
      <c r="D18" s="457"/>
      <c r="E18" s="457"/>
      <c r="F18" s="457"/>
      <c r="G18" s="457"/>
      <c r="H18" s="457"/>
      <c r="I18" s="457"/>
      <c r="J18" s="457"/>
      <c r="K18" s="457"/>
      <c r="L18" s="457"/>
      <c r="M18" s="457"/>
      <c r="N18" s="457"/>
      <c r="O18" s="457"/>
      <c r="P18" s="457"/>
      <c r="Q18" s="457"/>
      <c r="R18" s="457"/>
      <c r="S18" s="457"/>
      <c r="T18" s="457"/>
      <c r="U18" s="457"/>
      <c r="V18" s="457"/>
    </row>
    <row r="19">
      <c r="A19" s="457"/>
      <c r="B19" s="457"/>
      <c r="C19" s="457"/>
      <c r="D19" s="457"/>
      <c r="E19" s="457"/>
      <c r="F19" s="457"/>
      <c r="G19" s="457"/>
      <c r="H19" s="457"/>
      <c r="I19" s="457"/>
      <c r="J19" s="457"/>
      <c r="K19" s="457"/>
      <c r="L19" s="457"/>
      <c r="M19" s="457"/>
      <c r="N19" s="457"/>
      <c r="O19" s="457"/>
      <c r="P19" s="457"/>
      <c r="Q19" s="457"/>
      <c r="R19" s="457"/>
      <c r="S19" s="457"/>
      <c r="T19" s="457"/>
      <c r="U19" s="457"/>
      <c r="V19" s="457"/>
    </row>
    <row r="20">
      <c r="A20" s="457"/>
      <c r="B20" s="457"/>
      <c r="C20" s="457"/>
      <c r="D20" s="457"/>
      <c r="E20" s="457"/>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""Supernatural!B3:B""),""SELECT * WHERE Col1 IS NOT NULL"",0)"),"Ancient Soul")</f>
        <v>Ancient Soul</v>
      </c>
      <c r="B1" s="457"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7" t="str">
        <f>IFERROR(__xludf.DUMMYFUNCTION("QUERY(IMPORTRANGE(""1koQqL7bV1rMPtlmhZblwVeK5weyiTfFQ3POD_grK7Rc"",""Supernatural!$E$3:$E""),""select Col1 where Col1 is not null AND Col1 contains '['"",0)"),"-[]")</f>
        <v>-[]</v>
      </c>
      <c r="D1" s="457" t="str">
        <f>IFERROR(__xludf.DUMMYFUNCTION("QUERY(IMPORTRANGE(""1koQqL7bV1rMPtlmhZblwVeK5weyiTfFQ3POD_grK7Rc"",""Supernatural!$F$3:$F""),""select Col1 where Col1 is not null AND Col1 contains '['"",0)"),"-[]")</f>
        <v>-[]</v>
      </c>
      <c r="E1" s="457">
        <f>IFERROR(__xludf.DUMMYFUNCTION("QUERY(IMPORTRANGE(""1koQqL7bV1rMPtlmhZblwVeK5weyiTfFQ3POD_grK7Rc"", ""Supernatural!C3:C""),""SELECT * WHERE Col1 IS NOT NULL"",0)"),20.0)</f>
        <v>20</v>
      </c>
      <c r="F1" s="457"/>
      <c r="G1" s="457"/>
      <c r="H1" s="457"/>
      <c r="I1" s="457"/>
      <c r="J1" s="457"/>
      <c r="K1" s="457"/>
      <c r="L1" s="457"/>
      <c r="M1" s="457"/>
      <c r="N1" s="457"/>
      <c r="O1" s="457"/>
      <c r="P1" s="457"/>
      <c r="Q1" s="457"/>
      <c r="R1" s="457"/>
      <c r="S1" s="457"/>
      <c r="T1" s="457"/>
      <c r="U1" s="457"/>
      <c r="V1" s="457"/>
    </row>
    <row r="2">
      <c r="A2" s="460" t="str">
        <f>IFERROR(__xludf.DUMMYFUNCTION("""COMPUTED_VALUE"""),"Born Evolved")</f>
        <v>Born Evolved</v>
      </c>
      <c r="B2" s="460" t="str">
        <f>IFERROR(__xludf.DUMMYFUNCTION("""COMPUTED_VALUE"""),"[None]
All attributes +1")</f>
        <v>[None]
All attributes +1</v>
      </c>
      <c r="C2" s="460" t="str">
        <f>IFERROR(__xludf.DUMMYFUNCTION("""COMPUTED_VALUE"""),"-[]")</f>
        <v>-[]</v>
      </c>
      <c r="D2" s="460" t="str">
        <f>IFERROR(__xludf.DUMMYFUNCTION("""COMPUTED_VALUE"""),"-[]")</f>
        <v>-[]</v>
      </c>
      <c r="E2" s="457">
        <f>IFERROR(__xludf.DUMMYFUNCTION("""COMPUTED_VALUE"""),36.0)</f>
        <v>36</v>
      </c>
      <c r="F2" s="457"/>
      <c r="G2" s="457"/>
      <c r="H2" s="457"/>
      <c r="I2" s="457"/>
      <c r="J2" s="457"/>
      <c r="K2" s="457"/>
      <c r="L2" s="457"/>
      <c r="M2" s="457"/>
      <c r="N2" s="457"/>
      <c r="O2" s="457"/>
      <c r="P2" s="457"/>
      <c r="Q2" s="457"/>
      <c r="R2" s="457"/>
      <c r="S2" s="457"/>
      <c r="T2" s="457"/>
      <c r="U2" s="457"/>
      <c r="V2" s="457"/>
    </row>
    <row r="3">
      <c r="A3" s="457" t="str">
        <f>IFERROR(__xludf.DUMMYFUNCTION("""COMPUTED_VALUE"""),"Death's Hand")</f>
        <v>Death's Hand</v>
      </c>
      <c r="B3" s="457"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7" t="str">
        <f>IFERROR(__xludf.DUMMYFUNCTION("""COMPUTED_VALUE"""),"-[]")</f>
        <v>-[]</v>
      </c>
      <c r="D3" s="457" t="str">
        <f>IFERROR(__xludf.DUMMYFUNCTION("""COMPUTED_VALUE"""),"-[]")</f>
        <v>-[]</v>
      </c>
      <c r="E3" s="457">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IFERROR(__xludf.DUMMYFUNCTION("""COMPUTED_VALUE"""),"Eidetic Memory")</f>
        <v>Eidetic Memory</v>
      </c>
      <c r="B4" s="457"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IFERROR(__xludf.DUMMYFUNCTION("""COMPUTED_VALUE"""),"Enthralling Aura")</f>
        <v>Enthralling Aura</v>
      </c>
      <c r="B5" s="457"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7"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7"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IFERROR(__xludf.DUMMYFUNCTION("""COMPUTED_VALUE"""),"Flight")</f>
        <v>Flight</v>
      </c>
      <c r="B6" s="457" t="str">
        <f>IFERROR(__xludf.DUMMYFUNCTION("""COMPUTED_VALUE"""),"[None]
You have the natural ability of flight. You can fly in any direction at your movement speed.")</f>
        <v>[None]
You have the natural ability of flight. You can fly in any direction at your movement speed.</v>
      </c>
      <c r="C6" s="457" t="str">
        <f>IFERROR(__xludf.DUMMYFUNCTION("""COMPUTED_VALUE"""),"-[]")</f>
        <v>-[]</v>
      </c>
      <c r="D6" s="457" t="str">
        <f>IFERROR(__xludf.DUMMYFUNCTION("""COMPUTED_VALUE"""),"-[]")</f>
        <v>-[]</v>
      </c>
      <c r="E6" s="457">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IFERROR(__xludf.DUMMYFUNCTION("""COMPUTED_VALUE"""),"Healing Factor")</f>
        <v>Healing Factor</v>
      </c>
      <c r="B7" s="457" t="str">
        <f>IFERROR(__xludf.DUMMYFUNCTION("""COMPUTED_VALUE"""),"[None]
Worn body parts automaticaly heal in 6 seconds or one combat round.")</f>
        <v>[None]
Worn body parts automaticaly heal in 6 seconds or one combat round.</v>
      </c>
      <c r="C7" s="457" t="str">
        <f>IFERROR(__xludf.DUMMYFUNCTION("""COMPUTED_VALUE"""),"[CON +4]
Worn and broken body parts heal one condition in 6 seconds or one combat round.")</f>
        <v>[CON +4]
Worn and broken body parts heal one condition in 6 seconds or one combat round.</v>
      </c>
      <c r="D7" s="457"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7">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IFERROR(__xludf.DUMMYFUNCTION("""COMPUTED_VALUE"""),"Magic Negator (X)")</f>
        <v>Magic Negator (X)</v>
      </c>
      <c r="B8" s="457"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7" t="str">
        <f>IFERROR(__xludf.DUMMYFUNCTION("""COMPUTED_VALUE"""),"-[]")</f>
        <v>-[]</v>
      </c>
      <c r="D8" s="457" t="str">
        <f>IFERROR(__xludf.DUMMYFUNCTION("""COMPUTED_VALUE"""),"-[]")</f>
        <v>-[]</v>
      </c>
      <c r="E8" s="457">
        <f>IFERROR(__xludf.DUMMYFUNCTION("""COMPUTED_VALUE"""),17.0)</f>
        <v>17</v>
      </c>
      <c r="F8" s="457"/>
      <c r="G8" s="457"/>
      <c r="H8" s="457"/>
      <c r="I8" s="457"/>
      <c r="J8" s="457"/>
      <c r="K8" s="457"/>
      <c r="L8" s="457"/>
      <c r="M8" s="457"/>
      <c r="N8" s="457"/>
      <c r="O8" s="457"/>
      <c r="P8" s="457"/>
      <c r="Q8" s="457"/>
      <c r="R8" s="457"/>
      <c r="S8" s="457"/>
      <c r="T8" s="457"/>
      <c r="U8" s="457"/>
      <c r="V8" s="457"/>
    </row>
    <row r="9">
      <c r="A9" s="457" t="str">
        <f>IFERROR(__xludf.DUMMYFUNCTION("""COMPUTED_VALUE"""),"Precognition")</f>
        <v>Precognition</v>
      </c>
      <c r="B9" s="457"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7" t="str">
        <f>IFERROR(__xludf.DUMMYFUNCTION("""COMPUTED_VALUE"""),"-[]")</f>
        <v>-[]</v>
      </c>
      <c r="D9" s="457" t="str">
        <f>IFERROR(__xludf.DUMMYFUNCTION("""COMPUTED_VALUE"""),"-[]")</f>
        <v>-[]</v>
      </c>
      <c r="E9" s="457">
        <f>IFERROR(__xludf.DUMMYFUNCTION("""COMPUTED_VALUE"""),23.0)</f>
        <v>23</v>
      </c>
      <c r="F9" s="457"/>
      <c r="G9" s="457"/>
      <c r="H9" s="457"/>
      <c r="I9" s="457"/>
      <c r="J9" s="457"/>
      <c r="K9" s="457"/>
      <c r="L9" s="457"/>
      <c r="M9" s="457"/>
      <c r="N9" s="457"/>
      <c r="O9" s="457"/>
      <c r="P9" s="457"/>
      <c r="Q9" s="457"/>
      <c r="R9" s="457"/>
      <c r="S9" s="457"/>
      <c r="T9" s="457"/>
      <c r="U9" s="457"/>
      <c r="V9" s="457"/>
    </row>
    <row r="10">
      <c r="A10" s="457" t="str">
        <f>IFERROR(__xludf.DUMMYFUNCTION("""COMPUTED_VALUE"""),"Proof (X)")</f>
        <v>Proof (X)</v>
      </c>
      <c r="B10" s="457" t="str">
        <f>IFERROR(__xludf.DUMMYFUNCTION("""COMPUTED_VALUE"""),"[None]
Your body is naturally immune to cold, fire, electricity, or acid")</f>
        <v>[None]
Your body is naturally immune to cold, fire, electricity, or acid</v>
      </c>
      <c r="C10" s="457" t="str">
        <f>IFERROR(__xludf.DUMMYFUNCTION("""COMPUTED_VALUE"""),"-[]")</f>
        <v>-[]</v>
      </c>
      <c r="D10" s="457" t="str">
        <f>IFERROR(__xludf.DUMMYFUNCTION("""COMPUTED_VALUE"""),"-[]")</f>
        <v>-[]</v>
      </c>
      <c r="E10" s="457">
        <f>IFERROR(__xludf.DUMMYFUNCTION("""COMPUTED_VALUE"""),18.0)</f>
        <v>18</v>
      </c>
      <c r="F10" s="457"/>
      <c r="G10" s="457"/>
      <c r="H10" s="457"/>
      <c r="I10" s="457"/>
      <c r="J10" s="457"/>
      <c r="K10" s="457"/>
      <c r="L10" s="457"/>
      <c r="M10" s="457"/>
      <c r="N10" s="457"/>
      <c r="O10" s="457"/>
      <c r="P10" s="457"/>
      <c r="Q10" s="457"/>
      <c r="R10" s="457"/>
      <c r="S10" s="457"/>
      <c r="T10" s="457"/>
      <c r="U10" s="457"/>
      <c r="V10" s="457"/>
    </row>
    <row r="11">
      <c r="A11" s="457" t="str">
        <f>IFERROR(__xludf.DUMMYFUNCTION("""COMPUTED_VALUE"""),"Shapeshifter")</f>
        <v>Shapeshifter</v>
      </c>
      <c r="B11" s="457"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7" t="str">
        <f>IFERROR(__xludf.DUMMYFUNCTION("""COMPUTED_VALUE"""),"-[]")</f>
        <v>-[]</v>
      </c>
      <c r="D11" s="457" t="str">
        <f>IFERROR(__xludf.DUMMYFUNCTION("""COMPUTED_VALUE"""),"-[]")</f>
        <v>-[]</v>
      </c>
      <c r="E11" s="457">
        <f>IFERROR(__xludf.DUMMYFUNCTION("""COMPUTED_VALUE"""),15.0)</f>
        <v>15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IFERROR(__xludf.DUMMYFUNCTION("""COMPUTED_VALUE"""),"The Hunger")</f>
        <v>The Hunger</v>
      </c>
      <c r="B12" s="457"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7"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7"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7">
        <f>IFERROR(__xludf.DUMMYFUNCTION("""COMPUTED_VALUE"""),14.0)</f>
        <v>14</v>
      </c>
      <c r="F12" s="457"/>
      <c r="G12" s="457"/>
      <c r="H12" s="457"/>
      <c r="I12" s="457"/>
      <c r="J12" s="457"/>
      <c r="K12" s="457"/>
      <c r="L12" s="457"/>
      <c r="M12" s="457"/>
      <c r="N12" s="457"/>
      <c r="O12" s="457"/>
      <c r="P12" s="457"/>
      <c r="Q12" s="457"/>
      <c r="R12" s="457"/>
      <c r="S12" s="457"/>
      <c r="T12" s="457"/>
      <c r="U12" s="457"/>
      <c r="V12" s="457"/>
    </row>
    <row r="13">
      <c r="A13" s="457" t="str">
        <f>IFERROR(__xludf.DUMMYFUNCTION("""COMPUTED_VALUE"""),"The Need for Speed")</f>
        <v>The Need for Speed</v>
      </c>
      <c r="B13" s="457" t="str">
        <f>IFERROR(__xludf.DUMMYFUNCTION("""COMPUTED_VALUE"""),"1.209 Gigawatts: [None]
+2 to APT; + 6 Speed Mod")</f>
        <v>1.209 Gigawatts: [None]
+2 to APT; + 6 Speed Mod</v>
      </c>
      <c r="C13" s="457" t="str">
        <f>IFERROR(__xludf.DUMMYFUNCTION("""COMPUTED_VALUE"""),"Give Me Fuel, Give Me Fire: [Subsequent Earning]
+2 to APT; +6 Speed Mod; +8 Healing Mod;")</f>
        <v>Give Me Fuel, Give Me Fire: [Subsequent Earning]
+2 to APT; +6 Speed Mod; +8 Healing Mod;</v>
      </c>
      <c r="D13" s="457"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7">
        <f>IFERROR(__xludf.DUMMYFUNCTION("""COMPUTED_VALUE"""),14.0)</f>
        <v>14</v>
      </c>
      <c r="F13" s="457"/>
      <c r="G13" s="457"/>
      <c r="H13" s="457"/>
      <c r="I13" s="457"/>
      <c r="J13" s="457"/>
      <c r="K13" s="457"/>
      <c r="L13" s="457"/>
      <c r="M13" s="457"/>
      <c r="N13" s="457"/>
      <c r="O13" s="457"/>
      <c r="P13" s="457"/>
      <c r="Q13" s="457"/>
      <c r="R13" s="457"/>
      <c r="S13" s="457"/>
      <c r="T13" s="457"/>
      <c r="U13" s="457"/>
      <c r="V13" s="457"/>
    </row>
    <row r="14">
      <c r="A14" s="457" t="str">
        <f>IFERROR(__xludf.DUMMYFUNCTION("""COMPUTED_VALUE"""),"They're All Going to Laugh at You!")</f>
        <v>They're All Going to Laugh at You!</v>
      </c>
      <c r="B14" s="457"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7" t="str">
        <f>IFERROR(__xludf.DUMMYFUNCTION("""COMPUTED_VALUE"""),"-[]")</f>
        <v>-[]</v>
      </c>
      <c r="D14" s="457" t="str">
        <f>IFERROR(__xludf.DUMMYFUNCTION("""COMPUTED_VALUE"""),"-[]")</f>
        <v>-[]</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IFERROR(__xludf.DUMMYFUNCTION("""COMPUTED_VALUE"""),"Undead")</f>
        <v>Undead</v>
      </c>
      <c r="B15" s="457"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7" t="str">
        <f>IFERROR(__xludf.DUMMYFUNCTION("""COMPUTED_VALUE"""),"-[]")</f>
        <v>-[]</v>
      </c>
      <c r="D15" s="457" t="str">
        <f>IFERROR(__xludf.DUMMYFUNCTION("""COMPUTED_VALUE"""),"-[]")</f>
        <v>-[]</v>
      </c>
      <c r="E15" s="457">
        <f>IFERROR(__xludf.DUMMYFUNCTION("""COMPUTED_VALUE"""),13.0)</f>
        <v>13</v>
      </c>
      <c r="F15" s="457"/>
      <c r="G15" s="457"/>
      <c r="H15" s="457"/>
      <c r="I15" s="457"/>
      <c r="J15" s="457"/>
      <c r="K15" s="457"/>
      <c r="L15" s="457"/>
      <c r="M15" s="457"/>
      <c r="N15" s="457"/>
      <c r="O15" s="457"/>
      <c r="P15" s="457"/>
      <c r="Q15" s="457"/>
      <c r="R15" s="457"/>
      <c r="S15" s="457"/>
      <c r="T15" s="457"/>
      <c r="U15" s="457"/>
      <c r="V15" s="457"/>
    </row>
    <row r="16">
      <c r="A16" s="457" t="str">
        <f>IFERROR(__xludf.DUMMYFUNCTION("""COMPUTED_VALUE"""),"Unnatural Existence")</f>
        <v>Unnatural Existence</v>
      </c>
      <c r="B16" s="457" t="str">
        <f>IFERROR(__xludf.DUMMYFUNCTION("""COMPUTED_VALUE"""),"[None]
You do not need to eat, drink, or sleep. You don't lose Fortitude from a lack of any of these things.")</f>
        <v>[None]
You do not need to eat, drink, or sleep. You don't lose Fortitude from a lack of any of these things.</v>
      </c>
      <c r="C16" s="457"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7"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7">
        <f>IFERROR(__xludf.DUMMYFUNCTION("""COMPUTED_VALUE"""),24.0)</f>
        <v>24</v>
      </c>
      <c r="F16" s="457"/>
      <c r="G16" s="457"/>
      <c r="H16" s="457"/>
      <c r="I16" s="457"/>
      <c r="J16" s="457"/>
      <c r="K16" s="457"/>
      <c r="L16" s="457"/>
      <c r="M16" s="457"/>
      <c r="N16" s="457"/>
      <c r="O16" s="457"/>
      <c r="P16" s="457"/>
      <c r="Q16" s="457"/>
      <c r="R16" s="457"/>
      <c r="S16" s="457"/>
      <c r="T16" s="457"/>
      <c r="U16" s="457"/>
      <c r="V16" s="457"/>
    </row>
    <row r="17">
      <c r="A17" s="457" t="str">
        <f>IFERROR(__xludf.DUMMYFUNCTION("""COMPUTED_VALUE"""),"Voice of the Esther")</f>
        <v>Voice of the Esther</v>
      </c>
      <c r="B17" s="457"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7" t="str">
        <f>IFERROR(__xludf.DUMMYFUNCTION("""COMPUTED_VALUE"""),"-[]")</f>
        <v>-[]</v>
      </c>
      <c r="D17" s="457" t="str">
        <f>IFERROR(__xludf.DUMMYFUNCTION("""COMPUTED_VALUE"""),"-[]")</f>
        <v>-[]</v>
      </c>
      <c r="E17" s="457">
        <f>IFERROR(__xludf.DUMMYFUNCTION("""COMPUTED_VALUE"""),20.0)</f>
        <v>20</v>
      </c>
      <c r="F17" s="457"/>
      <c r="G17" s="457"/>
      <c r="H17" s="457"/>
      <c r="I17" s="457"/>
      <c r="J17" s="457"/>
      <c r="K17" s="457"/>
      <c r="L17" s="457"/>
      <c r="M17" s="457"/>
      <c r="N17" s="457"/>
      <c r="O17" s="457"/>
      <c r="P17" s="457"/>
      <c r="Q17" s="457"/>
      <c r="R17" s="457"/>
      <c r="S17" s="457"/>
      <c r="T17" s="457"/>
      <c r="U17" s="457"/>
      <c r="V17" s="457"/>
    </row>
    <row r="18">
      <c r="A18" s="457" t="str">
        <f>IFERROR(__xludf.DUMMYFUNCTION("""COMPUTED_VALUE"""),"Leyline of Ascalia")</f>
        <v>Leyline of Ascalia</v>
      </c>
      <c r="B18" s="457"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7" t="str">
        <f>IFERROR(__xludf.DUMMYFUNCTION("""COMPUTED_VALUE"""),"-[]")</f>
        <v>-[]</v>
      </c>
      <c r="D18" s="457" t="str">
        <f>IFERROR(__xludf.DUMMYFUNCTION("""COMPUTED_VALUE"""),"-[]")</f>
        <v>-[]</v>
      </c>
      <c r="E18" s="457">
        <f>IFERROR(__xludf.DUMMYFUNCTION("""COMPUTED_VALUE"""),30.0)</f>
        <v>30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IFERROR(__xludf.DUMMYFUNCTION("""COMPUTED_VALUE"""),"Iron Mind")</f>
        <v>Iron Mind</v>
      </c>
      <c r="B19" s="457"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7" t="str">
        <f>IFERROR(__xludf.DUMMYFUNCTION("""COMPUTED_VALUE"""),"-[]")</f>
        <v>-[]</v>
      </c>
      <c r="D19" s="457" t="str">
        <f>IFERROR(__xludf.DUMMYFUNCTION("""COMPUTED_VALUE"""),"-[]")</f>
        <v>-[]</v>
      </c>
      <c r="E19" s="457">
        <f>IFERROR(__xludf.DUMMYFUNCTION("""COMPUTED_VALUE"""),10.0)</f>
        <v>10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IFERROR(__xludf.DUMMYFUNCTION("""COMPUTED_VALUE"""),"Impossible Luck")</f>
        <v>Impossible Luck</v>
      </c>
      <c r="B20" s="457" t="str">
        <f>IFERROR(__xludf.DUMMYFUNCTION("""COMPUTED_VALUE"""),"[None]
+1 Mod to all Basic Skills")</f>
        <v>[None]
+1 Mod to all Basic Skills</v>
      </c>
      <c r="C20" s="457" t="str">
        <f>IFERROR(__xludf.DUMMYFUNCTION("""COMPUTED_VALUE"""),"-[]")</f>
        <v>-[]</v>
      </c>
      <c r="D20" s="457" t="str">
        <f>IFERROR(__xludf.DUMMYFUNCTION("""COMPUTED_VALUE"""),"-[]")</f>
        <v>-[]</v>
      </c>
      <c r="E20" s="457">
        <f>IFERROR(__xludf.DUMMYFUNCTION("""COMPUTED_VALUE"""),30.0)</f>
        <v>30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IFERROR(__xludf.DUMMYFUNCTION("""COMPUTED_VALUE"""),"Esther Locked")</f>
        <v>Esther Locked</v>
      </c>
      <c r="B21" s="457" t="str">
        <f>IFERROR(__xludf.DUMMYFUNCTION("""COMPUTED_VALUE"""),"[None]
Magic that targets you automatically fails")</f>
        <v>[None]
Magic that targets you automatically fails</v>
      </c>
      <c r="C21" s="457" t="str">
        <f>IFERROR(__xludf.DUMMYFUNCTION("""COMPUTED_VALUE"""),"-[]")</f>
        <v>-[]</v>
      </c>
      <c r="D21" s="457" t="str">
        <f>IFERROR(__xludf.DUMMYFUNCTION("""COMPUTED_VALUE"""),"-[]")</f>
        <v>-[]</v>
      </c>
      <c r="E21" s="457">
        <f>IFERROR(__xludf.DUMMYFUNCTION("""COMPUTED_VALUE"""),40.0)</f>
        <v>40</v>
      </c>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7" t="str">
        <f>IFERROR(__xludf.DUMMYFUNCTION("QUERY(IMPORTRANGE(""1koQqL7bV1rMPtlmhZblwVeK5weyiTfFQ3POD_grK7Rc"", ""SuperTech!B3:B""),""SELECT * WHERE Col1 IS NOT NULL"",0)"),"Machine Interfacing")</f>
        <v>Machine Interfacing</v>
      </c>
      <c r="B1" s="461"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7" t="str">
        <f>IFERROR(__xludf.DUMMYFUNCTION("QUERY(IMPORTRANGE(""1koQqL7bV1rMPtlmhZblwVeK5weyiTfFQ3POD_grK7Rc"",""SuperTech!$E$3:$E""),""select Col1 where Col1 is not null AND Col1 contains '['"",0)"),"-[]")</f>
        <v>-[]</v>
      </c>
      <c r="D1" s="457" t="str">
        <f>IFERROR(__xludf.DUMMYFUNCTION("QUERY(IMPORTRANGE(""1koQqL7bV1rMPtlmhZblwVeK5weyiTfFQ3POD_grK7Rc"",""SuperTech!$F$3:$F""),""select Col1 where Col1 is not null AND Col1 contains '['"",0)"),"-[]")</f>
        <v>-[]</v>
      </c>
      <c r="E1" s="457">
        <f>IFERROR(__xludf.DUMMYFUNCTION("QUERY(IMPORTRANGE(""1koQqL7bV1rMPtlmhZblwVeK5weyiTfFQ3POD_grK7Rc"", ""SuperTech!C3:C""),""SELECT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IFERROR(__xludf.DUMMYFUNCTION("""COMPUTED_VALUE"""),"Nano Sustenance (Remove)")</f>
        <v>Nano Sustenance (Remove)</v>
      </c>
      <c r="B2" s="460"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0" t="str">
        <f>IFERROR(__xludf.DUMMYFUNCTION("""COMPUTED_VALUE"""),"-[]")</f>
        <v>-[]</v>
      </c>
      <c r="D2" s="460" t="str">
        <f>IFERROR(__xludf.DUMMYFUNCTION("""COMPUTED_VALUE"""),"-[]")</f>
        <v>-[]</v>
      </c>
      <c r="E2" s="460">
        <f>IFERROR(__xludf.DUMMYFUNCTION("""COMPUTED_VALUE"""),20.0)</f>
        <v>20</v>
      </c>
      <c r="F2" s="457"/>
      <c r="G2" s="457"/>
      <c r="H2" s="457"/>
      <c r="I2" s="457"/>
      <c r="J2" s="457"/>
      <c r="K2" s="457"/>
      <c r="L2" s="457"/>
      <c r="M2" s="457"/>
      <c r="N2" s="457"/>
      <c r="O2" s="457"/>
      <c r="P2" s="457"/>
      <c r="Q2" s="457"/>
      <c r="R2" s="457"/>
      <c r="S2" s="457"/>
      <c r="T2" s="457"/>
      <c r="U2" s="457"/>
      <c r="V2" s="457"/>
    </row>
    <row r="3">
      <c r="A3" s="457" t="str">
        <f>IFERROR(__xludf.DUMMYFUNCTION("""COMPUTED_VALUE"""),"Perfect Machine (Interface Upgrade)")</f>
        <v>Perfect Machine (Interface Upgrade)</v>
      </c>
      <c r="B3" s="457"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7"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7"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IFERROR(__xludf.DUMMYFUNCTION("""COMPUTED_VALUE"""),"Scan &amp; Replicate (Interface Upgrade)")</f>
        <v>Scan &amp; Replicate (Interface Upgrade)</v>
      </c>
      <c r="B4" s="457"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7"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7"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7">
        <f>IFERROR(__xludf.DUMMYFUNCTION("""COMPUTED_VALUE"""),15.0)</f>
        <v>15</v>
      </c>
      <c r="F4" s="457"/>
      <c r="G4" s="457"/>
      <c r="H4" s="457"/>
      <c r="I4" s="457"/>
      <c r="J4" s="457"/>
      <c r="K4" s="457"/>
      <c r="L4" s="457"/>
      <c r="M4" s="457"/>
      <c r="N4" s="457"/>
      <c r="O4" s="457"/>
      <c r="P4" s="457"/>
      <c r="Q4" s="457"/>
      <c r="R4" s="457"/>
      <c r="S4" s="457"/>
      <c r="T4" s="457"/>
      <c r="U4" s="457"/>
      <c r="V4" s="457"/>
    </row>
    <row r="5">
      <c r="A5" s="457" t="str">
        <f>IFERROR(__xludf.DUMMYFUNCTION("""COMPUTED_VALUE"""),"Matter Manipulation (Interface Upgrade)")</f>
        <v>Matter Manipulation (Interface Upgrade)</v>
      </c>
      <c r="B5" s="457"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7"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7"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7">
        <f>IFERROR(__xludf.DUMMYFUNCTION("""COMPUTED_VALUE"""),20.0)</f>
        <v>20</v>
      </c>
      <c r="F5" s="457"/>
      <c r="G5" s="457"/>
      <c r="H5" s="457"/>
      <c r="I5" s="457"/>
      <c r="J5" s="457"/>
      <c r="K5" s="457"/>
      <c r="L5" s="457"/>
      <c r="M5" s="457"/>
      <c r="N5" s="457"/>
      <c r="O5" s="457"/>
      <c r="P5" s="457"/>
      <c r="Q5" s="457"/>
      <c r="R5" s="457"/>
      <c r="S5" s="457"/>
      <c r="T5" s="457"/>
      <c r="U5" s="457"/>
      <c r="V5" s="457"/>
    </row>
    <row r="6">
      <c r="A6" s="457" t="str">
        <f>IFERROR(__xludf.DUMMYFUNCTION("""COMPUTED_VALUE"""),"Babel Translation (Interface Upgrade)")</f>
        <v>Babel Translation (Interface Upgrade)</v>
      </c>
      <c r="B6" s="457" t="str">
        <f>IFERROR(__xludf.DUMMYFUNCTION("""COMPUTED_VALUE"""),"[Nano Interface MKI]
You can understand any spoken language.")</f>
        <v>[Nano Interface MKI]
You can understand any spoken language.</v>
      </c>
      <c r="C6" s="457" t="str">
        <f>IFERROR(__xludf.DUMMYFUNCTION("""COMPUTED_VALUE"""),"[Nano Interface MKII]
You can speak and understand any language.")</f>
        <v>[Nano Interface MKII]
You can speak and understand any language.</v>
      </c>
      <c r="D6" s="457" t="str">
        <f>IFERROR(__xludf.DUMMYFUNCTION("""COMPUTED_VALUE"""),"[Nano Interface Mk III]
You can speak, read, write, and understand any language.")</f>
        <v>[Nano Interface Mk III]
You can speak, read, write, and understand any language.</v>
      </c>
      <c r="E6" s="457">
        <f>IFERROR(__xludf.DUMMYFUNCTION("""COMPUTED_VALUE"""),10.0)</f>
        <v>10</v>
      </c>
      <c r="F6" s="457"/>
      <c r="G6" s="457"/>
      <c r="H6" s="457"/>
      <c r="I6" s="457"/>
      <c r="J6" s="457"/>
      <c r="K6" s="457"/>
      <c r="L6" s="457"/>
      <c r="M6" s="457"/>
      <c r="N6" s="457"/>
      <c r="O6" s="457"/>
      <c r="P6" s="457"/>
      <c r="Q6" s="457"/>
      <c r="R6" s="457"/>
      <c r="S6" s="457"/>
      <c r="T6" s="457"/>
      <c r="U6" s="457"/>
      <c r="V6" s="457"/>
    </row>
    <row r="7">
      <c r="A7" s="457" t="str">
        <f>IFERROR(__xludf.DUMMYFUNCTION("""COMPUTED_VALUE"""),"Nanokinesis (Interface Upgrade)")</f>
        <v>Nanokinesis (Interface Upgrade)</v>
      </c>
      <c r="B7" s="457"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7"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7"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7">
        <f>IFERROR(__xludf.DUMMYFUNCTION("""COMPUTED_VALUE"""),10.0)</f>
        <v>10</v>
      </c>
      <c r="F7" s="457"/>
      <c r="G7" s="457"/>
      <c r="H7" s="457"/>
      <c r="I7" s="457"/>
      <c r="J7" s="457"/>
      <c r="K7" s="457"/>
      <c r="L7" s="457"/>
      <c r="M7" s="457"/>
      <c r="N7" s="457"/>
      <c r="O7" s="457"/>
      <c r="P7" s="457"/>
      <c r="Q7" s="457"/>
      <c r="R7" s="457"/>
      <c r="S7" s="457"/>
      <c r="T7" s="457"/>
      <c r="U7" s="457"/>
      <c r="V7" s="457"/>
    </row>
    <row r="8">
      <c r="A8" s="457" t="str">
        <f>IFERROR(__xludf.DUMMYFUNCTION("""COMPUTED_VALUE"""),"Self-repairing (Interface Upgrade)")</f>
        <v>Self-repairing (Interface Upgrade)</v>
      </c>
      <c r="B8" s="457"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7"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7"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IFERROR(__xludf.DUMMYFUNCTION("""COMPUTED_VALUE"""),"If/Then (Interface Upgrade)")</f>
        <v>If/Then (Interface Upgrade)</v>
      </c>
      <c r="B9" s="457"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7"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7"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IFERROR(__xludf.DUMMYFUNCTION("""COMPUTED_VALUE"""),"Re-Spec the System (Interface Upgrade)")</f>
        <v>Re-Spec the System (Interface Upgrade)</v>
      </c>
      <c r="B10" s="457"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7"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7"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7">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IFERROR(__xludf.DUMMYFUNCTION("""COMPUTED_VALUE"""),"Absorb Light (Loop)")</f>
        <v>Absorb Light (Loop)</v>
      </c>
      <c r="B11" s="457"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7"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7"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7">
        <f>IFERROR(__xludf.DUMMYFUNCTION("""COMPUTED_VALUE"""),5.0)</f>
        <v>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IFERROR(__xludf.DUMMYFUNCTION("""COMPUTED_VALUE"""),"Adrenaline Spark (Single Run)")</f>
        <v>Adrenaline Spark (Single Run)</v>
      </c>
      <c r="B12" s="457"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7"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7"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IFERROR(__xludf.DUMMYFUNCTION("""COMPUTED_VALUE"""),"Firewall (Interface Upgrade)")</f>
        <v>Firewall (Interface Upgrade)</v>
      </c>
      <c r="B13" s="457"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7"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7"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7">
        <f>IFERROR(__xludf.DUMMYFUNCTION("""COMPUTED_VALUE"""),20.0)</f>
        <v>20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IFERROR(__xludf.DUMMYFUNCTION("""COMPUTED_VALUE"""),"P.R.A. Precise Reaction Analysis (Loop)")</f>
        <v>P.R.A. Precise Reaction Analysis (Loop)</v>
      </c>
      <c r="B14" s="457"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7"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7"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IFERROR(__xludf.DUMMYFUNCTION("""COMPUTED_VALUE"""),"Quantum Memory Resonance (Loop)
3 Memory")</f>
        <v>Quantum Memory Resonance (Loop)
3 Memory</v>
      </c>
      <c r="B15" s="457"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7"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7"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7">
        <f>IFERROR(__xludf.DUMMYFUNCTION("""COMPUTED_VALUE"""),5.0)</f>
        <v>5</v>
      </c>
      <c r="F15" s="457"/>
      <c r="G15" s="457"/>
      <c r="H15" s="457"/>
      <c r="I15" s="457"/>
      <c r="J15" s="457"/>
      <c r="K15" s="457"/>
      <c r="L15" s="457"/>
      <c r="M15" s="457"/>
      <c r="N15" s="457"/>
      <c r="O15" s="457"/>
      <c r="P15" s="457"/>
      <c r="Q15" s="457"/>
      <c r="R15" s="457"/>
      <c r="S15" s="457"/>
      <c r="T15" s="457"/>
      <c r="U15" s="457"/>
      <c r="V15" s="457"/>
    </row>
    <row r="16">
      <c r="A16" s="457" t="str">
        <f>IFERROR(__xludf.DUMMYFUNCTION("""COMPUTED_VALUE"""),"Diagnostic Scan (Loop)")</f>
        <v>Diagnostic Scan (Loop)</v>
      </c>
      <c r="B16" s="457"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7"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7"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7">
        <f>IFERROR(__xludf.DUMMYFUNCTION("""COMPUTED_VALUE"""),15.0)</f>
        <v>15</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IFERROR(__xludf.DUMMYFUNCTION("""COMPUTED_VALUE"""),"Flesh Reweave (Loop)
5 Memory")</f>
        <v>Flesh Reweave (Loop)
5 Memory</v>
      </c>
      <c r="B17" s="457"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7"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7"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IFERROR(__xludf.DUMMYFUNCTION("""COMPUTED_VALUE"""),"Photonic Leap (Single Run)")</f>
        <v>Photonic Leap (Single Run)</v>
      </c>
      <c r="B18" s="457"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7"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7"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7">
        <f>IFERROR(__xludf.DUMMYFUNCTION("""COMPUTED_VALUE"""),10.0)</f>
        <v>10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IFERROR(__xludf.DUMMYFUNCTION("""COMPUTED_VALUE"""),"Mechanical Mimic (Single Run)")</f>
        <v>Mechanical Mimic (Single Run)</v>
      </c>
      <c r="B19" s="457"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7"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7"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7">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IFERROR(__xludf.DUMMYFUNCTION("""COMPUTED_VALUE"""),"Memory Leak (Single Run)")</f>
        <v>Memory Leak (Single Run)</v>
      </c>
      <c r="B20" s="457"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7"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7"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IFERROR(__xludf.DUMMYFUNCTION("""COMPUTED_VALUE"""),"Nueral Installation Link (Single Run)")</f>
        <v>Nueral Installation Link (Single Run)</v>
      </c>
      <c r="B21" s="457"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7"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7"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7">
        <f>IFERROR(__xludf.DUMMYFUNCTION("""COMPUTED_VALUE"""),20.0)</f>
        <v>20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IFERROR(__xludf.DUMMYFUNCTION("""COMPUTED_VALUE"""),"Turbo Injection (Single Run)")</f>
        <v>Turbo Injection (Single Run)</v>
      </c>
      <c r="B22" s="457"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7"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7"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7">
        <f>IFERROR(__xludf.DUMMYFUNCTION("""COMPUTED_VALUE"""),25.0)</f>
        <v>25</v>
      </c>
      <c r="F22" s="457"/>
      <c r="G22" s="457"/>
      <c r="H22" s="457"/>
      <c r="I22" s="457"/>
      <c r="J22" s="457"/>
      <c r="K22" s="457"/>
      <c r="L22" s="457"/>
      <c r="M22" s="457"/>
      <c r="N22" s="457"/>
      <c r="O22" s="457"/>
      <c r="P22" s="457"/>
      <c r="Q22" s="457"/>
      <c r="R22" s="457"/>
      <c r="S22" s="457"/>
      <c r="T22" s="457"/>
      <c r="U22" s="457"/>
      <c r="V22" s="457"/>
    </row>
    <row r="23">
      <c r="A23" s="457" t="str">
        <f>IFERROR(__xludf.DUMMYFUNCTION("""COMPUTED_VALUE"""),"Down to the Nano (Single Run)")</f>
        <v>Down to the Nano (Single Run)</v>
      </c>
      <c r="B23" s="457"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7">
        <f>IFERROR(__xludf.DUMMYFUNCTION("""COMPUTED_VALUE"""),25.0)</f>
        <v>25</v>
      </c>
      <c r="F23" s="457"/>
      <c r="G23" s="457"/>
      <c r="H23" s="457"/>
      <c r="I23" s="457"/>
      <c r="J23" s="457"/>
      <c r="K23" s="457"/>
      <c r="L23" s="457"/>
      <c r="M23" s="457"/>
      <c r="N23" s="457"/>
      <c r="O23" s="457"/>
      <c r="P23" s="457"/>
      <c r="Q23" s="457"/>
      <c r="R23" s="457"/>
      <c r="S23" s="457"/>
      <c r="T23" s="457"/>
      <c r="U23" s="457"/>
      <c r="V23" s="457"/>
    </row>
    <row r="24">
      <c r="A24" s="457" t="str">
        <f>IFERROR(__xludf.DUMMYFUNCTION("""COMPUTED_VALUE"""),"Level Playing Field (Single Run)")</f>
        <v>Level Playing Field (Single Run)</v>
      </c>
      <c r="B24" s="457"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7" t="str">
        <f>IFERROR(__xludf.DUMMYFUNCTION("""COMPUTED_VALUE"""),"-[]")</f>
        <v>-[]</v>
      </c>
      <c r="D24" s="457" t="str">
        <f>IFERROR(__xludf.DUMMYFUNCTION("""COMPUTED_VALUE"""),"-[]")</f>
        <v>-[]</v>
      </c>
      <c r="E24" s="457">
        <f>IFERROR(__xludf.DUMMYFUNCTION("""COMPUTED_VALUE"""),30.0)</f>
        <v>30</v>
      </c>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""Negative!B3:B""),""SELECT * WHERE Col1 IS NOT NULL"",0)"),"Allergic to (X)")</f>
        <v>Allergic to (X)</v>
      </c>
      <c r="B1" s="457"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7"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7"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7">
        <f>IFERROR(__xludf.DUMMYFUNCTION("QUERY(IMPORTRANGE(""1koQqL7bV1rMPtlmhZblwVeK5weyiTfFQ3POD_grK7Rc"", ""Negative!C3:C""),""SELECT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IFERROR(__xludf.DUMMYFUNCTION("""COMPUTED_VALUE"""),"Bad Blood with (X)")</f>
        <v>Bad Blood with (X)</v>
      </c>
      <c r="B2" s="460" t="str">
        <f>IFERROR(__xludf.DUMMYFUNCTION("""COMPUTED_VALUE"""),"[None]
The person or group doesn't trust you. +2 DR to all checks involved with influencing that person or group.")</f>
        <v>[None]
The person or group doesn't trust you. +2 DR to all checks involved with influencing that person or group.</v>
      </c>
      <c r="C2" s="460"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0"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7">
        <f>IFERROR(__xludf.DUMMYFUNCTION("""COMPUTED_VALUE"""),-5.0)</f>
        <v>-5</v>
      </c>
      <c r="F2" s="457"/>
      <c r="G2" s="457"/>
      <c r="H2" s="457"/>
      <c r="I2" s="457"/>
      <c r="J2" s="457"/>
      <c r="K2" s="457"/>
      <c r="L2" s="457"/>
      <c r="M2" s="457"/>
      <c r="N2" s="457"/>
      <c r="O2" s="457"/>
      <c r="P2" s="457"/>
      <c r="Q2" s="457"/>
      <c r="R2" s="457"/>
      <c r="S2" s="457"/>
      <c r="T2" s="457"/>
      <c r="U2" s="457"/>
      <c r="V2" s="457"/>
    </row>
    <row r="3">
      <c r="A3" s="457" t="str">
        <f>IFERROR(__xludf.DUMMYFUNCTION("""COMPUTED_VALUE"""),"Bane (X)")</f>
        <v>Bane (X)</v>
      </c>
      <c r="B3" s="457"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7" t="str">
        <f>IFERROR(__xludf.DUMMYFUNCTION("""COMPUTED_VALUE"""),"-[]")</f>
        <v>-[]</v>
      </c>
      <c r="D3" s="457" t="str">
        <f>IFERROR(__xludf.DUMMYFUNCTION("""COMPUTED_VALUE"""),"-[]")</f>
        <v>-[]</v>
      </c>
      <c r="E3" s="457">
        <f>IFERROR(__xludf.DUMMYFUNCTION("""COMPUTED_VALUE"""),-12.0)</f>
        <v>-12</v>
      </c>
      <c r="F3" s="457"/>
      <c r="G3" s="457"/>
      <c r="H3" s="457"/>
      <c r="I3" s="457"/>
      <c r="J3" s="457"/>
      <c r="K3" s="457"/>
      <c r="L3" s="457"/>
      <c r="M3" s="457"/>
      <c r="N3" s="457"/>
      <c r="O3" s="457"/>
      <c r="P3" s="457"/>
      <c r="Q3" s="457"/>
      <c r="R3" s="457"/>
      <c r="S3" s="457"/>
      <c r="T3" s="457"/>
      <c r="U3" s="457"/>
      <c r="V3" s="457"/>
    </row>
    <row r="4">
      <c r="A4" s="457" t="str">
        <f>IFERROR(__xludf.DUMMYFUNCTION("""COMPUTED_VALUE"""),"Broken Heart")</f>
        <v>Broken Heart</v>
      </c>
      <c r="B4" s="457"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7" t="str">
        <f>IFERROR(__xludf.DUMMYFUNCTION("""COMPUTED_VALUE"""),"-[]")</f>
        <v>-[]</v>
      </c>
      <c r="D4" s="457" t="str">
        <f>IFERROR(__xludf.DUMMYFUNCTION("""COMPUTED_VALUE"""),"-[]")</f>
        <v>-[]</v>
      </c>
      <c r="E4" s="457">
        <f>IFERROR(__xludf.DUMMYFUNCTION("""COMPUTED_VALUE"""),-25.0)</f>
        <v>-25</v>
      </c>
      <c r="F4" s="457"/>
      <c r="G4" s="457"/>
      <c r="H4" s="457"/>
      <c r="I4" s="457"/>
      <c r="J4" s="457"/>
      <c r="K4" s="457"/>
      <c r="L4" s="457"/>
      <c r="M4" s="457"/>
      <c r="N4" s="457"/>
      <c r="O4" s="457"/>
      <c r="P4" s="457"/>
      <c r="Q4" s="457"/>
      <c r="R4" s="457"/>
      <c r="S4" s="457"/>
      <c r="T4" s="457"/>
      <c r="U4" s="457"/>
      <c r="V4" s="457"/>
    </row>
    <row r="5">
      <c r="A5" s="457" t="str">
        <f>IFERROR(__xludf.DUMMYFUNCTION("""COMPUTED_VALUE"""),"Emotional Baggage")</f>
        <v>Emotional Baggage</v>
      </c>
      <c r="B5" s="457" t="str">
        <f>IFERROR(__xludf.DUMMYFUNCTION("""COMPUTED_VALUE"""),"[None]
The horrors of your past are hard to let go. Strain reduction from sleep is halved rounded down.")</f>
        <v>[None]
The horrors of your past are hard to let go. Strain reduction from sleep is halved rounded down.</v>
      </c>
      <c r="C5" s="457" t="str">
        <f>IFERROR(__xludf.DUMMYFUNCTION("""COMPUTED_VALUE"""),"-[]")</f>
        <v>-[]</v>
      </c>
      <c r="D5" s="457" t="str">
        <f>IFERROR(__xludf.DUMMYFUNCTION("""COMPUTED_VALUE"""),"-[]")</f>
        <v>-[]</v>
      </c>
      <c r="E5" s="457">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IFERROR(__xludf.DUMMYFUNCTION("""COMPUTED_VALUE"""),"Emotional Scars")</f>
        <v>Emotional Scars</v>
      </c>
      <c r="B6" s="457"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7" t="str">
        <f>IFERROR(__xludf.DUMMYFUNCTION("""COMPUTED_VALUE"""),"-[]")</f>
        <v>-[]</v>
      </c>
      <c r="D6" s="457" t="str">
        <f>IFERROR(__xludf.DUMMYFUNCTION("""COMPUTED_VALUE"""),"-[]")</f>
        <v>-[]</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IFERROR(__xludf.DUMMYFUNCTION("""COMPUTED_VALUE"""),"Emotional Torment")</f>
        <v>Emotional Torment</v>
      </c>
      <c r="B7" s="457"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7" t="str">
        <f>IFERROR(__xludf.DUMMYFUNCTION("""COMPUTED_VALUE"""),"-[]")</f>
        <v>-[]</v>
      </c>
      <c r="D7" s="457" t="str">
        <f>IFERROR(__xludf.DUMMYFUNCTION("""COMPUTED_VALUE"""),"-[]")</f>
        <v>-[]</v>
      </c>
      <c r="E7" s="457">
        <f>IFERROR(__xludf.DUMMYFUNCTION("""COMPUTED_VALUE"""),-21.0)</f>
        <v>-21</v>
      </c>
      <c r="F7" s="457"/>
      <c r="G7" s="457"/>
      <c r="H7" s="457"/>
      <c r="I7" s="457"/>
      <c r="J7" s="457"/>
      <c r="K7" s="457"/>
      <c r="L7" s="457"/>
      <c r="M7" s="457"/>
      <c r="N7" s="457"/>
      <c r="O7" s="457"/>
      <c r="P7" s="457"/>
      <c r="Q7" s="457"/>
      <c r="R7" s="457"/>
      <c r="S7" s="457"/>
      <c r="T7" s="457"/>
      <c r="U7" s="457"/>
      <c r="V7" s="457"/>
    </row>
    <row r="8">
      <c r="A8" s="457" t="str">
        <f>IFERROR(__xludf.DUMMYFUNCTION("""COMPUTED_VALUE"""),"Heart is Taken by (X)")</f>
        <v>Heart is Taken by (X)</v>
      </c>
      <c r="B8" s="457"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7" t="str">
        <f>IFERROR(__xludf.DUMMYFUNCTION("""COMPUTED_VALUE"""),"-[]")</f>
        <v>-[]</v>
      </c>
      <c r="D8" s="457" t="str">
        <f>IFERROR(__xludf.DUMMYFUNCTION("""COMPUTED_VALUE"""),"-[]")</f>
        <v>-[]</v>
      </c>
      <c r="E8" s="457">
        <f>IFERROR(__xludf.DUMMYFUNCTION("""COMPUTED_VALUE"""),-20.0)</f>
        <v>-20</v>
      </c>
      <c r="F8" s="457"/>
      <c r="G8" s="457"/>
      <c r="H8" s="457"/>
      <c r="I8" s="457"/>
      <c r="J8" s="457"/>
      <c r="K8" s="457"/>
      <c r="L8" s="457"/>
      <c r="M8" s="457"/>
      <c r="N8" s="457"/>
      <c r="O8" s="457"/>
      <c r="P8" s="457"/>
      <c r="Q8" s="457"/>
      <c r="R8" s="457"/>
      <c r="S8" s="457"/>
      <c r="T8" s="457"/>
      <c r="U8" s="457"/>
      <c r="V8" s="457"/>
    </row>
    <row r="9">
      <c r="A9" s="457" t="str">
        <f>IFERROR(__xludf.DUMMYFUNCTION("""COMPUTED_VALUE"""),"I'm Awkward")</f>
        <v>I'm Awkward</v>
      </c>
      <c r="B9" s="457"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7" t="str">
        <f>IFERROR(__xludf.DUMMYFUNCTION("""COMPUTED_VALUE"""),"-[]")</f>
        <v>-[]</v>
      </c>
      <c r="D9" s="457" t="str">
        <f>IFERROR(__xludf.DUMMYFUNCTION("""COMPUTED_VALUE"""),"-[]")</f>
        <v>-[]</v>
      </c>
      <c r="E9" s="457">
        <f>IFERROR(__xludf.DUMMYFUNCTION("""COMPUTED_VALUE"""),-14.0)</f>
        <v>-14</v>
      </c>
      <c r="F9" s="457"/>
      <c r="G9" s="457"/>
      <c r="H9" s="457"/>
      <c r="I9" s="457"/>
      <c r="J9" s="457"/>
      <c r="K9" s="457"/>
      <c r="L9" s="457"/>
      <c r="M9" s="457"/>
      <c r="N9" s="457"/>
      <c r="O9" s="457"/>
      <c r="P9" s="457"/>
      <c r="Q9" s="457"/>
      <c r="R9" s="457"/>
      <c r="S9" s="457"/>
      <c r="T9" s="457"/>
      <c r="U9" s="457"/>
      <c r="V9" s="457"/>
    </row>
    <row r="10">
      <c r="A10" s="457" t="str">
        <f>IFERROR(__xludf.DUMMYFUNCTION("""COMPUTED_VALUE"""),"Impaired Taste")</f>
        <v>Impaired Taste</v>
      </c>
      <c r="B10" s="457" t="str">
        <f>IFERROR(__xludf.DUMMYFUNCTION("""COMPUTED_VALUE"""),"[None]
Eating doesn't restore Fortitude")</f>
        <v>[None]
Eating doesn't restore Fortitude</v>
      </c>
      <c r="C10" s="457" t="str">
        <f>IFERROR(__xludf.DUMMYFUNCTION("""COMPUTED_VALUE"""),"-[]")</f>
        <v>-[]</v>
      </c>
      <c r="D10" s="457" t="str">
        <f>IFERROR(__xludf.DUMMYFUNCTION("""COMPUTED_VALUE"""),"-[]")</f>
        <v>-[]</v>
      </c>
      <c r="E10" s="457">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IFERROR(__xludf.DUMMYFUNCTION("""COMPUTED_VALUE"""),"Karma is a Bitch")</f>
        <v>Karma is a Bitch</v>
      </c>
      <c r="B11" s="457"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7" t="str">
        <f>IFERROR(__xludf.DUMMYFUNCTION("""COMPUTED_VALUE"""),"-[]")</f>
        <v>-[]</v>
      </c>
      <c r="D11" s="457" t="str">
        <f>IFERROR(__xludf.DUMMYFUNCTION("""COMPUTED_VALUE"""),"-[]")</f>
        <v>-[]</v>
      </c>
      <c r="E11" s="457">
        <f>IFERROR(__xludf.DUMMYFUNCTION("""COMPUTED_VALUE"""),-25.0)</f>
        <v>-25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IFERROR(__xludf.DUMMYFUNCTION("""COMPUTED_VALUE"""),"Over-Thinker")</f>
        <v>Over-Thinker</v>
      </c>
      <c r="B12" s="457" t="str">
        <f>IFERROR(__xludf.DUMMYFUNCTION("""COMPUTED_VALUE"""),"[None]
Exerting INT governed skill checks results in double the Strain.")</f>
        <v>[None]
Exerting INT governed skill checks results in double the Strain.</v>
      </c>
      <c r="C12" s="457" t="str">
        <f>IFERROR(__xludf.DUMMYFUNCTION("""COMPUTED_VALUE"""),"-[]")</f>
        <v>-[]</v>
      </c>
      <c r="D12" s="457" t="str">
        <f>IFERROR(__xludf.DUMMYFUNCTION("""COMPUTED_VALUE"""),"-[]")</f>
        <v>-[]</v>
      </c>
      <c r="E12" s="457">
        <f>IFERROR(__xludf.DUMMYFUNCTION("""COMPUTED_VALUE"""),-8.0)</f>
        <v>-8</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IFERROR(__xludf.DUMMYFUNCTION("""COMPUTED_VALUE"""),"Silver Spoon")</f>
        <v>Silver Spoon</v>
      </c>
      <c r="B13" s="457"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7" t="str">
        <f>IFERROR(__xludf.DUMMYFUNCTION("""COMPUTED_VALUE"""),"-[]")</f>
        <v>-[]</v>
      </c>
      <c r="D13" s="457" t="str">
        <f>IFERROR(__xludf.DUMMYFUNCTION("""COMPUTED_VALUE"""),"-[]")</f>
        <v>-[]</v>
      </c>
      <c r="E13" s="457">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IFERROR(__xludf.DUMMYFUNCTION("""COMPUTED_VALUE"""),"Stagnant Vitality")</f>
        <v>Stagnant Vitality</v>
      </c>
      <c r="B14" s="457" t="str">
        <f>IFERROR(__xludf.DUMMYFUNCTION("""COMPUTED_VALUE"""),"[None]
Your Heal Rate is always effectively 0. You don't recover Fortitude from Sleeping.")</f>
        <v>[None]
Your Heal Rate is always effectively 0. You don't recover Fortitude from Sleeping.</v>
      </c>
      <c r="C14" s="457" t="str">
        <f>IFERROR(__xludf.DUMMYFUNCTION("""COMPUTED_VALUE"""),"-[]")</f>
        <v>-[]</v>
      </c>
      <c r="D14" s="457" t="str">
        <f>IFERROR(__xludf.DUMMYFUNCTION("""COMPUTED_VALUE"""),"-[]")</f>
        <v>-[]</v>
      </c>
      <c r="E14" s="457">
        <f>IFERROR(__xludf.DUMMYFUNCTION("""COMPUTED_VALUE"""),-25.0)</f>
        <v>-25</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IFERROR(__xludf.DUMMYFUNCTION("""COMPUTED_VALUE"""),"Static")</f>
        <v>Static</v>
      </c>
      <c r="B15" s="457" t="str">
        <f>IFERROR(__xludf.DUMMYFUNCTION("""COMPUTED_VALUE"""),"[None]
All attributes are set to 2 and can't be changed by Roots, Branches, Blossoms, or Thorns")</f>
        <v>[None]
All attributes are set to 2 and can't be changed by Roots, Branches, Blossoms, or Thorns</v>
      </c>
      <c r="C15" s="457" t="str">
        <f>IFERROR(__xludf.DUMMYFUNCTION("""COMPUTED_VALUE"""),"-[]")</f>
        <v>-[]</v>
      </c>
      <c r="D15" s="457" t="str">
        <f>IFERROR(__xludf.DUMMYFUNCTION("""COMPUTED_VALUE"""),"-[]")</f>
        <v>-[]</v>
      </c>
      <c r="E15" s="457">
        <f>IFERROR(__xludf.DUMMYFUNCTION("""COMPUTED_VALUE"""),-30.0)</f>
        <v>-30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IFERROR(__xludf.DUMMYFUNCTION("""COMPUTED_VALUE"""),"Strange Vibrations")</f>
        <v>Strange Vibrations</v>
      </c>
      <c r="B16" s="457" t="str">
        <f>IFERROR(__xludf.DUMMYFUNCTION("""COMPUTED_VALUE"""),"[None]
You can't use, resist, or gain any positive benefits from magic.")</f>
        <v>[None]
You can't use, resist, or gain any positive benefits from magic.</v>
      </c>
      <c r="C16" s="457" t="str">
        <f>IFERROR(__xludf.DUMMYFUNCTION("""COMPUTED_VALUE"""),"-[]")</f>
        <v>-[]</v>
      </c>
      <c r="D16" s="457" t="str">
        <f>IFERROR(__xludf.DUMMYFUNCTION("""COMPUTED_VALUE"""),"-[]")</f>
        <v>-[]</v>
      </c>
      <c r="E16" s="457">
        <f>IFERROR(__xludf.DUMMYFUNCTION("""COMPUTED_VALUE"""),-30.0)</f>
        <v>-30</v>
      </c>
      <c r="F16" s="457"/>
      <c r="G16" s="457"/>
      <c r="H16" s="457"/>
      <c r="I16" s="457"/>
      <c r="J16" s="457"/>
      <c r="K16" s="457"/>
      <c r="L16" s="457"/>
      <c r="M16" s="457"/>
      <c r="N16" s="457"/>
      <c r="O16" s="457"/>
      <c r="P16" s="457"/>
      <c r="Q16" s="457"/>
      <c r="R16" s="457"/>
      <c r="S16" s="457"/>
      <c r="T16" s="457"/>
      <c r="U16" s="457"/>
      <c r="V16" s="457"/>
    </row>
    <row r="17">
      <c r="A17" s="457" t="str">
        <f>IFERROR(__xludf.DUMMYFUNCTION("""COMPUTED_VALUE"""),"Strange Vibrations (Partial Supression)")</f>
        <v>Strange Vibrations (Partial Supression)</v>
      </c>
      <c r="B17" s="457"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7" t="str">
        <f>IFERROR(__xludf.DUMMYFUNCTION("""COMPUTED_VALUE"""),"-[]")</f>
        <v>-[]</v>
      </c>
      <c r="D17" s="457" t="str">
        <f>IFERROR(__xludf.DUMMYFUNCTION("""COMPUTED_VALUE"""),"-[]")</f>
        <v>-[]</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IFERROR(__xludf.DUMMYFUNCTION("""COMPUTED_VALUE"""),"Teetotaler")</f>
        <v>Teetotaler</v>
      </c>
      <c r="B18" s="457" t="str">
        <f>IFERROR(__xludf.DUMMYFUNCTION("""COMPUTED_VALUE"""),"[None]
You won't drink alcohol willingly. Drinking Alcohol doesn't restore Fortitude.")</f>
        <v>[None]
You won't drink alcohol willingly. Drinking Alcohol doesn't restore Fortitude.</v>
      </c>
      <c r="C18" s="457" t="str">
        <f>IFERROR(__xludf.DUMMYFUNCTION("""COMPUTED_VALUE"""),"-[]")</f>
        <v>-[]</v>
      </c>
      <c r="D18" s="457" t="str">
        <f>IFERROR(__xludf.DUMMYFUNCTION("""COMPUTED_VALUE"""),"-[]")</f>
        <v>-[]</v>
      </c>
      <c r="E18" s="457">
        <f>IFERROR(__xludf.DUMMYFUNCTION("""COMPUTED_VALUE"""),-4.0)</f>
        <v>-4</v>
      </c>
      <c r="F18" s="457"/>
      <c r="G18" s="457"/>
      <c r="H18" s="457"/>
      <c r="I18" s="457"/>
      <c r="J18" s="457"/>
      <c r="K18" s="457"/>
      <c r="L18" s="457"/>
      <c r="M18" s="457"/>
      <c r="N18" s="457"/>
      <c r="O18" s="457"/>
      <c r="P18" s="457"/>
      <c r="Q18" s="457"/>
      <c r="R18" s="457"/>
      <c r="S18" s="457"/>
      <c r="T18" s="457"/>
      <c r="U18" s="457"/>
      <c r="V18" s="457"/>
    </row>
    <row r="19">
      <c r="A19" s="457" t="str">
        <f>IFERROR(__xludf.DUMMYFUNCTION("""COMPUTED_VALUE"""),"That's Mine!")</f>
        <v>That's Mine!</v>
      </c>
      <c r="B19" s="457" t="str">
        <f>IFERROR(__xludf.DUMMYFUNCTION("""COMPUTED_VALUE"""),"[None]
If you give something away you take strain equal to the value of the object/100. ")</f>
        <v>[None]
If you give something away you take strain equal to the value of the object/100. </v>
      </c>
      <c r="C19" s="457" t="str">
        <f>IFERROR(__xludf.DUMMYFUNCTION("""COMPUTED_VALUE"""),"-[]")</f>
        <v>-[]</v>
      </c>
      <c r="D19" s="457" t="str">
        <f>IFERROR(__xludf.DUMMYFUNCTION("""COMPUTED_VALUE"""),"-[]")</f>
        <v>-[]</v>
      </c>
      <c r="E19" s="457">
        <f>IFERROR(__xludf.DUMMYFUNCTION("""COMPUTED_VALUE"""),-6.0)</f>
        <v>-6</v>
      </c>
      <c r="F19" s="457"/>
      <c r="G19" s="457"/>
      <c r="H19" s="457"/>
      <c r="I19" s="457"/>
      <c r="J19" s="457"/>
      <c r="K19" s="457"/>
      <c r="L19" s="457"/>
      <c r="M19" s="457"/>
      <c r="N19" s="457"/>
      <c r="O19" s="457"/>
      <c r="P19" s="457"/>
      <c r="Q19" s="457"/>
      <c r="R19" s="457"/>
      <c r="S19" s="457"/>
      <c r="T19" s="457"/>
      <c r="U19" s="457"/>
      <c r="V19" s="457"/>
    </row>
    <row r="20">
      <c r="A20" s="457" t="str">
        <f>IFERROR(__xludf.DUMMYFUNCTION("""COMPUTED_VALUE"""),"Weak Weave Connection")</f>
        <v>Weak Weave Connection</v>
      </c>
      <c r="B20" s="457" t="str">
        <f>IFERROR(__xludf.DUMMYFUNCTION("""COMPUTED_VALUE"""),"[None]
You may only Raw Cast Empowered Spells and lower (&lt;30 DR). Woven Spells are unaffected.")</f>
        <v>[None]
You may only Raw Cast Empowered Spells and lower (&lt;30 DR). Woven Spells are unaffected.</v>
      </c>
      <c r="C20" s="457" t="str">
        <f>IFERROR(__xludf.DUMMYFUNCTION("""COMPUTED_VALUE"""),"-[]")</f>
        <v>-[]</v>
      </c>
      <c r="D20" s="457" t="str">
        <f>IFERROR(__xludf.DUMMYFUNCTION("""COMPUTED_VALUE"""),"-[]")</f>
        <v>-[]</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""Natural!B3:B""),""SELECT * WHERE Col1 IS NOT NULL"",0)"),"Ambitious")</f>
        <v>Ambitious</v>
      </c>
      <c r="B1" s="457" t="str">
        <f>IFERROR(__xludf.DUMMYFUNCTION("QUERY(IMPORTRANGE(""1koQqL7bV1rMPtlmhZblwVeK5weyiTfFQ3POD_grK7Rc"",""Natural!$D$3:$D""),""select Col1 where Col1 is not null AND Col1 contains '['"",0)"),"[Human Seed]
You may have an additional Value or Goal.")</f>
        <v>[Human Seed]
You may have an additional Value or Goal.</v>
      </c>
      <c r="C1" s="457" t="str">
        <f>IFERROR(__xludf.DUMMYFUNCTION("QUERY(IMPORTRANGE(""1koQqL7bV1rMPtlmhZblwVeK5weyiTfFQ3POD_grK7Rc"",""Natural!$E$3:$E""),""select Col1 where Col1 is not null AND Col1 contains '['"",0)"),"-[]")</f>
        <v>-[]</v>
      </c>
      <c r="D1" s="457" t="str">
        <f>IFERROR(__xludf.DUMMYFUNCTION("QUERY(IMPORTRANGE(""1koQqL7bV1rMPtlmhZblwVeK5weyiTfFQ3POD_grK7Rc"",""Natural!$F$3:$F""),""select Col1 where Col1 is not null AND Col1 contains '['"",0)"),"-[]")</f>
        <v>-[]</v>
      </c>
      <c r="E1" s="457">
        <f>IFERROR(__xludf.DUMMYFUNCTION("QUERY(IMPORTRANGE(""1koQqL7bV1rMPtlmhZblwVeK5weyiTfFQ3POD_grK7Rc"", ""Natural!C3:C""),""SELECT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IFERROR(__xludf.DUMMYFUNCTION("""COMPUTED_VALUE"""),"Colossal Form")</f>
        <v>Colossal Form</v>
      </c>
      <c r="B2" s="460" t="str">
        <f>IFERROR(__xludf.DUMMYFUNCTION("""COMPUTED_VALUE"""),"[Nephilim Seed]
You can use Two-Handed Weapons with one hand. ")</f>
        <v>[Nephilim Seed]
You can use Two-Handed Weapons with one hand. </v>
      </c>
      <c r="C2" s="460" t="str">
        <f>IFERROR(__xludf.DUMMYFUNCTION("""COMPUTED_VALUE"""),"-[]")</f>
        <v>-[]</v>
      </c>
      <c r="D2" s="460" t="str">
        <f>IFERROR(__xludf.DUMMYFUNCTION("""COMPUTED_VALUE"""),"-[]")</f>
        <v>-[]</v>
      </c>
      <c r="E2" s="457">
        <f>IFERROR(__xludf.DUMMYFUNCTION("""COMPUTED_VALUE"""),7.0)</f>
        <v>7</v>
      </c>
      <c r="F2" s="457"/>
      <c r="G2" s="457"/>
      <c r="H2" s="457"/>
      <c r="I2" s="457"/>
      <c r="J2" s="457"/>
      <c r="K2" s="457"/>
      <c r="L2" s="457"/>
      <c r="M2" s="457"/>
      <c r="N2" s="457"/>
      <c r="O2" s="457"/>
      <c r="P2" s="457"/>
      <c r="Q2" s="457"/>
      <c r="R2" s="457"/>
      <c r="S2" s="457"/>
      <c r="T2" s="457"/>
      <c r="U2" s="457"/>
      <c r="V2" s="457"/>
    </row>
    <row r="3">
      <c r="A3" s="457" t="str">
        <f>IFERROR(__xludf.DUMMYFUNCTION("""COMPUTED_VALUE"""),"Dark Sight")</f>
        <v>Dark Sight</v>
      </c>
      <c r="B3" s="457" t="str">
        <f>IFERROR(__xludf.DUMMYFUNCTION("""COMPUTED_VALUE"""),"[None]
You can see in darkness up to 60ft as grayscale.")</f>
        <v>[None]
You can see in darkness up to 60ft as grayscale.</v>
      </c>
      <c r="C3" s="457" t="str">
        <f>IFERROR(__xludf.DUMMYFUNCTION("""COMPUTED_VALUE"""),"-[]")</f>
        <v>-[]</v>
      </c>
      <c r="D3" s="457" t="str">
        <f>IFERROR(__xludf.DUMMYFUNCTION("""COMPUTED_VALUE"""),"-[]")</f>
        <v>-[]</v>
      </c>
      <c r="E3" s="457">
        <f>IFERROR(__xludf.DUMMYFUNCTION("""COMPUTED_VALUE"""),1.0)</f>
        <v>1</v>
      </c>
      <c r="F3" s="457"/>
      <c r="G3" s="457"/>
      <c r="H3" s="457"/>
      <c r="I3" s="457"/>
      <c r="J3" s="457"/>
      <c r="K3" s="457"/>
      <c r="L3" s="457"/>
      <c r="M3" s="457"/>
      <c r="N3" s="457"/>
      <c r="O3" s="457"/>
      <c r="P3" s="457"/>
      <c r="Q3" s="457"/>
      <c r="R3" s="457"/>
      <c r="S3" s="457"/>
      <c r="T3" s="457"/>
      <c r="U3" s="457"/>
      <c r="V3" s="457"/>
    </row>
    <row r="4">
      <c r="A4" s="457" t="str">
        <f>IFERROR(__xludf.DUMMYFUNCTION("""COMPUTED_VALUE"""),"Dragon Form")</f>
        <v>Dragon Form</v>
      </c>
      <c r="B4" s="457"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IFERROR(__xludf.DUMMYFUNCTION("""COMPUTED_VALUE"""),"Eyeshine")</f>
        <v>Eyeshine</v>
      </c>
      <c r="B5" s="457" t="str">
        <f>IFERROR(__xludf.DUMMYFUNCTION("""COMPUTED_VALUE"""),"[None]
You can see in darkness as well as you could see in full light")</f>
        <v>[None]
You can see in darkness as well as you could see in full light</v>
      </c>
      <c r="C5" s="457" t="str">
        <f>IFERROR(__xludf.DUMMYFUNCTION("""COMPUTED_VALUE"""),"-[]")</f>
        <v>-[]</v>
      </c>
      <c r="D5" s="457" t="str">
        <f>IFERROR(__xludf.DUMMYFUNCTION("""COMPUTED_VALUE"""),"-[]")</f>
        <v>-[]</v>
      </c>
      <c r="E5" s="457">
        <f>IFERROR(__xludf.DUMMYFUNCTION("""COMPUTED_VALUE"""),3.0)</f>
        <v>3</v>
      </c>
      <c r="F5" s="457"/>
      <c r="G5" s="457"/>
      <c r="H5" s="457"/>
      <c r="I5" s="457"/>
      <c r="J5" s="457"/>
      <c r="K5" s="457"/>
      <c r="L5" s="457"/>
      <c r="M5" s="457"/>
      <c r="N5" s="457"/>
      <c r="O5" s="457"/>
      <c r="P5" s="457"/>
      <c r="Q5" s="457"/>
      <c r="R5" s="457"/>
      <c r="S5" s="457"/>
      <c r="T5" s="457"/>
      <c r="U5" s="457"/>
      <c r="V5" s="457"/>
    </row>
    <row r="6">
      <c r="A6" s="457" t="str">
        <f>IFERROR(__xludf.DUMMYFUNCTION("""COMPUTED_VALUE"""),"Hardy")</f>
        <v>Hardy</v>
      </c>
      <c r="B6" s="457" t="str">
        <f>IFERROR(__xludf.DUMMYFUNCTION("""COMPUTED_VALUE"""),"[None]
You shrug most things off. +1 Mod to all Saves.")</f>
        <v>[None]
You shrug most things off. +1 Mod to all Saves.</v>
      </c>
      <c r="C6" s="457" t="str">
        <f>IFERROR(__xludf.DUMMYFUNCTION("""COMPUTED_VALUE"""),"-[]")</f>
        <v>-[]</v>
      </c>
      <c r="D6" s="457" t="str">
        <f>IFERROR(__xludf.DUMMYFUNCTION("""COMPUTED_VALUE"""),"-[]")</f>
        <v>-[]</v>
      </c>
      <c r="E6" s="457">
        <f>IFERROR(__xludf.DUMMYFUNCTION("""COMPUTED_VALUE"""),9.0)</f>
        <v>9</v>
      </c>
      <c r="F6" s="457"/>
      <c r="G6" s="457"/>
      <c r="H6" s="457"/>
      <c r="I6" s="457"/>
      <c r="J6" s="457"/>
      <c r="K6" s="457"/>
      <c r="L6" s="457"/>
      <c r="M6" s="457"/>
      <c r="N6" s="457"/>
      <c r="O6" s="457"/>
      <c r="P6" s="457"/>
      <c r="Q6" s="457"/>
      <c r="R6" s="457"/>
      <c r="S6" s="457"/>
      <c r="T6" s="457"/>
      <c r="U6" s="457"/>
      <c r="V6" s="457"/>
    </row>
    <row r="7">
      <c r="A7" s="457" t="str">
        <f>IFERROR(__xludf.DUMMYFUNCTION("""COMPUTED_VALUE"""),"Ingenious")</f>
        <v>Ingenious</v>
      </c>
      <c r="B7" s="457" t="str">
        <f>IFERROR(__xludf.DUMMYFUNCTION("""COMPUTED_VALUE"""),"[None]
You are a creative genius. +2 Ingenuity Mod.")</f>
        <v>[None]
You are a creative genius. +2 Ingenuity Mod.</v>
      </c>
      <c r="C7" s="457" t="str">
        <f>IFERROR(__xludf.DUMMYFUNCTION("""COMPUTED_VALUE"""),"-[]")</f>
        <v>-[]</v>
      </c>
      <c r="D7" s="457" t="str">
        <f>IFERROR(__xludf.DUMMYFUNCTION("""COMPUTED_VALUE"""),"-[]")</f>
        <v>-[]</v>
      </c>
      <c r="E7" s="457">
        <f>IFERROR(__xludf.DUMMYFUNCTION("""COMPUTED_VALUE"""),3.0)</f>
        <v>3</v>
      </c>
      <c r="F7" s="457"/>
      <c r="G7" s="457"/>
      <c r="H7" s="457"/>
      <c r="I7" s="457"/>
      <c r="J7" s="457"/>
      <c r="K7" s="457"/>
      <c r="L7" s="457"/>
      <c r="M7" s="457"/>
      <c r="N7" s="457"/>
      <c r="O7" s="457"/>
      <c r="P7" s="457"/>
      <c r="Q7" s="457"/>
      <c r="R7" s="457"/>
      <c r="S7" s="457"/>
      <c r="T7" s="457"/>
      <c r="U7" s="457"/>
      <c r="V7" s="457"/>
    </row>
    <row r="8">
      <c r="A8" s="457" t="str">
        <f>IFERROR(__xludf.DUMMYFUNCTION("""COMPUTED_VALUE"""),"Limb Reattachment")</f>
        <v>Limb Reattachment</v>
      </c>
      <c r="B8" s="457" t="str">
        <f>IFERROR(__xludf.DUMMYFUNCTION("""COMPUTED_VALUE"""),"[None]
Intact limbs may be reatached using a support action. Destroyed limbs become broken.")</f>
        <v>[None]
Intact limbs may be reatached using a support action. Destroyed limbs become broken.</v>
      </c>
      <c r="C8" s="457" t="str">
        <f>IFERROR(__xludf.DUMMYFUNCTION("""COMPUTED_VALUE"""),"-[]")</f>
        <v>-[]</v>
      </c>
      <c r="D8" s="457" t="str">
        <f>IFERROR(__xludf.DUMMYFUNCTION("""COMPUTED_VALUE"""),"-[]")</f>
        <v>-[]</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IFERROR(__xludf.DUMMYFUNCTION("""COMPUTED_VALUE"""),"Manufactured Body (X)")</f>
        <v>Manufactured Body (X)</v>
      </c>
      <c r="B9" s="457"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7" t="str">
        <f>IFERROR(__xludf.DUMMYFUNCTION("""COMPUTED_VALUE"""),"-[]")</f>
        <v>-[]</v>
      </c>
      <c r="D9" s="457" t="str">
        <f>IFERROR(__xludf.DUMMYFUNCTION("""COMPUTED_VALUE"""),"-[]")</f>
        <v>-[]</v>
      </c>
      <c r="E9" s="457">
        <f>IFERROR(__xludf.DUMMYFUNCTION("""COMPUTED_VALUE"""),0.0)</f>
        <v>0</v>
      </c>
      <c r="F9" s="457"/>
      <c r="G9" s="457"/>
      <c r="H9" s="457"/>
      <c r="I9" s="457"/>
      <c r="J9" s="457"/>
      <c r="K9" s="457"/>
      <c r="L9" s="457"/>
      <c r="M9" s="457"/>
      <c r="N9" s="457"/>
      <c r="O9" s="457"/>
      <c r="P9" s="457"/>
      <c r="Q9" s="457"/>
      <c r="R9" s="457"/>
      <c r="S9" s="457"/>
      <c r="T9" s="457"/>
      <c r="U9" s="457"/>
      <c r="V9" s="457"/>
    </row>
    <row r="10">
      <c r="A10" s="457" t="str">
        <f>IFERROR(__xludf.DUMMYFUNCTION("""COMPUTED_VALUE"""),"Monstrous")</f>
        <v>Monstrous</v>
      </c>
      <c r="B10" s="457" t="str">
        <f>IFERROR(__xludf.DUMMYFUNCTION("""COMPUTED_VALUE"""),"[None]
NPCs of other races besides your own will become hostile towards you if they can see your face.")</f>
        <v>[None]
NPCs of other races besides your own will become hostile towards you if they can see your face.</v>
      </c>
      <c r="C10" s="457" t="str">
        <f>IFERROR(__xludf.DUMMYFUNCTION("""COMPUTED_VALUE"""),"-[]")</f>
        <v>-[]</v>
      </c>
      <c r="D10" s="457" t="str">
        <f>IFERROR(__xludf.DUMMYFUNCTION("""COMPUTED_VALUE"""),"-[]")</f>
        <v>-[]</v>
      </c>
      <c r="E10" s="457">
        <f>IFERROR(__xludf.DUMMYFUNCTION("""COMPUTED_VALUE"""),0.0)</f>
        <v>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IFERROR(__xludf.DUMMYFUNCTION("""COMPUTED_VALUE"""),"Night Sight")</f>
        <v>Night Sight</v>
      </c>
      <c r="B11" s="457" t="str">
        <f>IFERROR(__xludf.DUMMYFUNCTION("""COMPUTED_VALUE"""),"[None]
You can see in darkness up to 120ft as grayscale.")</f>
        <v>[None]
You can see in darkness up to 120ft as grayscale.</v>
      </c>
      <c r="C11" s="457" t="str">
        <f>IFERROR(__xludf.DUMMYFUNCTION("""COMPUTED_VALUE"""),"-[]")</f>
        <v>-[]</v>
      </c>
      <c r="D11" s="457" t="str">
        <f>IFERROR(__xludf.DUMMYFUNCTION("""COMPUTED_VALUE"""),"-[]")</f>
        <v>-[]</v>
      </c>
      <c r="E11" s="457">
        <f>IFERROR(__xludf.DUMMYFUNCTION("""COMPUTED_VALUE"""),2.0)</f>
        <v>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IFERROR(__xludf.DUMMYFUNCTION("""COMPUTED_VALUE"""),"Nimble")</f>
        <v>Nimble</v>
      </c>
      <c r="B12" s="457" t="str">
        <f>IFERROR(__xludf.DUMMYFUNCTION("""COMPUTED_VALUE"""),"[None]
Lithe and flexible! +2 Nimbleness Mod.")</f>
        <v>[None]
Lithe and flexible! +2 Nimbleness Mod.</v>
      </c>
      <c r="C12" s="457" t="str">
        <f>IFERROR(__xludf.DUMMYFUNCTION("""COMPUTED_VALUE"""),"-[]")</f>
        <v>-[]</v>
      </c>
      <c r="D12" s="457" t="str">
        <f>IFERROR(__xludf.DUMMYFUNCTION("""COMPUTED_VALUE"""),"-[]")</f>
        <v>-[]</v>
      </c>
      <c r="E12" s="457">
        <f>IFERROR(__xludf.DUMMYFUNCTION("""COMPUTED_VALUE"""),3.0)</f>
        <v>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IFERROR(__xludf.DUMMYFUNCTION("""COMPUTED_VALUE"""),"Resilient")</f>
        <v>Resilient</v>
      </c>
      <c r="B13" s="457" t="str">
        <f>IFERROR(__xludf.DUMMYFUNCTION("""COMPUTED_VALUE"""),"[None]
Your mental fortitude is unmatched! +2 Conviction Mod.")</f>
        <v>[None]
Your mental fortitude is unmatched! +2 Conviction Mod.</v>
      </c>
      <c r="C13" s="457" t="str">
        <f>IFERROR(__xludf.DUMMYFUNCTION("""COMPUTED_VALUE"""),"-[]")</f>
        <v>-[]</v>
      </c>
      <c r="D13" s="457" t="str">
        <f>IFERROR(__xludf.DUMMYFUNCTION("""COMPUTED_VALUE"""),"-[]")</f>
        <v>-[]</v>
      </c>
      <c r="E13" s="457">
        <f>IFERROR(__xludf.DUMMYFUNCTION("""COMPUTED_VALUE"""),3.0)</f>
        <v>3</v>
      </c>
      <c r="F13" s="457"/>
      <c r="G13" s="457"/>
      <c r="H13" s="457"/>
      <c r="I13" s="457"/>
      <c r="J13" s="457"/>
      <c r="K13" s="457"/>
      <c r="L13" s="457"/>
      <c r="M13" s="457"/>
      <c r="N13" s="457"/>
      <c r="O13" s="457"/>
      <c r="P13" s="457"/>
      <c r="Q13" s="457"/>
      <c r="R13" s="457"/>
      <c r="S13" s="457"/>
      <c r="T13" s="457"/>
      <c r="U13" s="457"/>
      <c r="V13" s="457"/>
    </row>
    <row r="14">
      <c r="A14" s="457" t="str">
        <f>IFERROR(__xludf.DUMMYFUNCTION("""COMPUTED_VALUE"""),"Robust")</f>
        <v>Robust</v>
      </c>
      <c r="B14" s="457" t="str">
        <f>IFERROR(__xludf.DUMMYFUNCTION("""COMPUTED_VALUE"""),"[None]
Your immune system is legendary. +2 Virility Mod.")</f>
        <v>[None]
Your immune system is legendary. +2 Virility Mod.</v>
      </c>
      <c r="C14" s="457" t="str">
        <f>IFERROR(__xludf.DUMMYFUNCTION("""COMPUTED_VALUE"""),"-[]")</f>
        <v>-[]</v>
      </c>
      <c r="D14" s="457" t="str">
        <f>IFERROR(__xludf.DUMMYFUNCTION("""COMPUTED_VALUE"""),"-[]")</f>
        <v>-[]</v>
      </c>
      <c r="E14" s="457">
        <f>IFERROR(__xludf.DUMMYFUNCTION("""COMPUTED_VALUE"""),3.0)</f>
        <v>3</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IFERROR(__xludf.DUMMYFUNCTION("""COMPUTED_VALUE"""),"Small Hands")</f>
        <v>Small Hands</v>
      </c>
      <c r="B15" s="457"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7" t="str">
        <f>IFERROR(__xludf.DUMMYFUNCTION("""COMPUTED_VALUE"""),"-[]")</f>
        <v>-[]</v>
      </c>
      <c r="D15" s="457" t="str">
        <f>IFERROR(__xludf.DUMMYFUNCTION("""COMPUTED_VALUE"""),"-[]")</f>
        <v>-[]</v>
      </c>
      <c r="E15" s="457">
        <f>IFERROR(__xludf.DUMMYFUNCTION("""COMPUTED_VALUE"""),-7.0)</f>
        <v>-7</v>
      </c>
      <c r="F15" s="457"/>
      <c r="G15" s="457"/>
      <c r="H15" s="457"/>
      <c r="I15" s="457"/>
      <c r="J15" s="457"/>
      <c r="K15" s="457"/>
      <c r="L15" s="457"/>
      <c r="M15" s="457"/>
      <c r="N15" s="457"/>
      <c r="O15" s="457"/>
      <c r="P15" s="457"/>
      <c r="Q15" s="457"/>
      <c r="R15" s="457"/>
      <c r="S15" s="457"/>
      <c r="T15" s="457"/>
      <c r="U15" s="457"/>
      <c r="V15" s="457"/>
    </row>
    <row r="16">
      <c r="A16" s="457" t="str">
        <f>IFERROR(__xludf.DUMMYFUNCTION("""COMPUTED_VALUE"""),"Tough")</f>
        <v>Tough</v>
      </c>
      <c r="B16" s="457" t="str">
        <f>IFERROR(__xludf.DUMMYFUNCTION("""COMPUTED_VALUE"""),"[None]
Strapping Physique! +2 Toughness Mod.")</f>
        <v>[None]
Strapping Physique! +2 Toughness Mod.</v>
      </c>
      <c r="C16" s="457" t="str">
        <f>IFERROR(__xludf.DUMMYFUNCTION("""COMPUTED_VALUE"""),"-[]")</f>
        <v>-[]</v>
      </c>
      <c r="D16" s="457" t="str">
        <f>IFERROR(__xludf.DUMMYFUNCTION("""COMPUTED_VALUE"""),"-[]")</f>
        <v>-[]</v>
      </c>
      <c r="E16" s="457">
        <f>IFERROR(__xludf.DUMMYFUNCTION("""COMPUTED_VALUE"""),3.0)</f>
        <v>3</v>
      </c>
      <c r="F16" s="457"/>
      <c r="G16" s="457"/>
      <c r="H16" s="457"/>
      <c r="I16" s="457"/>
      <c r="J16" s="457"/>
      <c r="K16" s="457"/>
      <c r="L16" s="457"/>
      <c r="M16" s="457"/>
      <c r="N16" s="457"/>
      <c r="O16" s="457"/>
      <c r="P16" s="457"/>
      <c r="Q16" s="457"/>
      <c r="R16" s="457"/>
      <c r="S16" s="457"/>
      <c r="T16" s="457"/>
      <c r="U16" s="457"/>
      <c r="V16" s="457"/>
    </row>
    <row r="17">
      <c r="A17" s="457" t="str">
        <f>IFERROR(__xludf.DUMMYFUNCTION("""COMPUTED_VALUE"""),"Witty")</f>
        <v>Witty</v>
      </c>
      <c r="B17" s="457" t="str">
        <f>IFERROR(__xludf.DUMMYFUNCTION("""COMPUTED_VALUE"""),"[None]
Your mind is quick and adaptive. +2 Wit Mod.")</f>
        <v>[None]
Your mind is quick and adaptive. +2 Wit Mod.</v>
      </c>
      <c r="C17" s="457" t="str">
        <f>IFERROR(__xludf.DUMMYFUNCTION("""COMPUTED_VALUE"""),"-[]")</f>
        <v>-[]</v>
      </c>
      <c r="D17" s="457" t="str">
        <f>IFERROR(__xludf.DUMMYFUNCTION("""COMPUTED_VALUE"""),"-[]")</f>
        <v>-[]</v>
      </c>
      <c r="E17" s="457">
        <f>IFERROR(__xludf.DUMMYFUNCTION("""COMPUTED_VALUE"""),3.0)</f>
        <v>3</v>
      </c>
      <c r="F17" s="457"/>
      <c r="G17" s="457"/>
      <c r="H17" s="457"/>
      <c r="I17" s="457"/>
      <c r="J17" s="457"/>
      <c r="K17" s="457"/>
      <c r="L17" s="457"/>
      <c r="M17" s="457"/>
      <c r="N17" s="457"/>
      <c r="O17" s="457"/>
      <c r="P17" s="457"/>
      <c r="Q17" s="457"/>
      <c r="R17" s="457"/>
      <c r="S17" s="457"/>
      <c r="T17" s="457"/>
      <c r="U17" s="457"/>
      <c r="V17" s="457"/>
    </row>
    <row r="18">
      <c r="A18" s="457" t="str">
        <f>IFERROR(__xludf.DUMMYFUNCTION("""COMPUTED_VALUE"""),"Old Man Strength")</f>
        <v>Old Man Strength</v>
      </c>
      <c r="B18" s="457" t="str">
        <f>IFERROR(__xludf.DUMMYFUNCTION("""COMPUTED_VALUE"""),"[Lifespan can't be Immortal, Strength Reduced via Age]
+2 Toughness Mod.")</f>
        <v>[Lifespan can't be Immortal, Strength Reduced via Age]
+2 Toughness Mod.</v>
      </c>
      <c r="C18" s="457" t="str">
        <f>IFERROR(__xludf.DUMMYFUNCTION("""COMPUTED_VALUE"""),"[Strength Reduced via Age twice]
+2 Toughness Mod, STR +1")</f>
        <v>[Strength Reduced via Age twice]
+2 Toughness Mod, STR +1</v>
      </c>
      <c r="D18" s="457" t="str">
        <f>IFERROR(__xludf.DUMMYFUNCTION("""COMPUTED_VALUE"""),"[Strength Reduced via Age three times]
+4 Toughness Mod, STR +1")</f>
        <v>[Strength Reduced via Age three times]
+4 Toughness Mod, STR +1</v>
      </c>
      <c r="E18" s="457">
        <f>IFERROR(__xludf.DUMMYFUNCTION("""COMPUTED_VALUE"""),5.0)</f>
        <v>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IFERROR(__xludf.DUMMYFUNCTION("""COMPUTED_VALUE"""),"Human Prestige")</f>
        <v>Human Prestige</v>
      </c>
      <c r="B19" s="457"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7"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7"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7">
        <f>IFERROR(__xludf.DUMMYFUNCTION("""COMPUTED_VALUE"""),0.0)</f>
        <v>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IFERROR(__xludf.DUMMYFUNCTION("""COMPUTED_VALUE"""),"Neo-Human Prestige")</f>
        <v>Neo-Human Prestige</v>
      </c>
      <c r="B20" s="457" t="str">
        <f>IFERROR(__xludf.DUMMYFUNCTION("""COMPUTED_VALUE"""),"[20 Karma removed; Neo-Human Seed, KV 400]
Remove Static Negative Exploit.")</f>
        <v>[20 Karma removed; Neo-Human Seed, KV 400]
Remove Static Negative Exploit.</v>
      </c>
      <c r="C20" s="457" t="str">
        <f>IFERROR(__xludf.DUMMYFUNCTION("""COMPUTED_VALUE"""),"[KV 600]
Remove Static Negative Exploit. You may change the race of one willing humanoid to Neo-Human.")</f>
        <v>[KV 600]
Remove Static Negative Exploit. You may change the race of one willing humanoid to Neo-Human.</v>
      </c>
      <c r="D20" s="457"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7">
        <f>IFERROR(__xludf.DUMMYFUNCTION("""COMPUTED_VALUE"""),0.0)</f>
        <v>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IFERROR(__xludf.DUMMYFUNCTION("""COMPUTED_VALUE"""),"Cambion Prestige")</f>
        <v>Cambion Prestige</v>
      </c>
      <c r="B21" s="457"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7"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7"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7">
        <f>IFERROR(__xludf.DUMMYFUNCTION("""COMPUTED_VALUE"""),0.0)</f>
        <v>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IFERROR(__xludf.DUMMYFUNCTION("""COMPUTED_VALUE"""),"Elven Prestige")</f>
        <v>Elven Prestige</v>
      </c>
      <c r="B22" s="457"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7"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7"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7">
        <f>IFERROR(__xludf.DUMMYFUNCTION("""COMPUTED_VALUE"""),0.0)</f>
        <v>0</v>
      </c>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